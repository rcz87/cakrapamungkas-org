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haza012\Downloads\EXCEL SPREADSHEET TEMPLATE\DATA ANALYSIS AND QUALITY CONTROL\"/>
    </mc:Choice>
  </mc:AlternateContent>
  <bookViews>
    <workbookView xWindow="0" yWindow="0" windowWidth="28800" windowHeight="12210"/>
  </bookViews>
  <sheets>
    <sheet name="4-Year" sheetId="34" r:id="rId1"/>
    <sheet name="1-Year" sheetId="31" r:id="rId2"/>
    <sheet name="Multiple" sheetId="36" r:id="rId3"/>
    <sheet name="Data" sheetId="30" r:id="rId4"/>
    <sheet name="Holidays" sheetId="35" r:id="rId5"/>
  </sheets>
  <definedNames>
    <definedName name="chart_date" localSheetId="1">'1-Year'!$K$71:$K$1531</definedName>
    <definedName name="chart_values" localSheetId="1">'1-Year'!$L$71:$L$1531</definedName>
    <definedName name="data_labels">Data!$A$1:$G$1</definedName>
    <definedName name="holidays">Holidays!$A:$A</definedName>
    <definedName name="_xlnm.Print_Area" localSheetId="1">'1-Year'!$A$1:$T$66</definedName>
    <definedName name="_xlnm.Print_Area" localSheetId="0">'4-Year'!$A$1:$BU$64</definedName>
    <definedName name="_xlnm.Print_Area" localSheetId="2">Multiple!$A$1:$BT$73</definedName>
    <definedName name="_xlnm.Print_Titles" localSheetId="1">'1-Year'!$13:$13</definedName>
    <definedName name="_xlnm.Print_Titles" localSheetId="0">'4-Year'!$11:$11</definedName>
    <definedName name="_xlnm.Print_Titles" localSheetId="2">Multiple!$20:$20</definedName>
    <definedName name="valuevx">42.314159</definedName>
    <definedName name="vertex42_copyright" hidden="1">"© 2016 Vertex42 LLC"</definedName>
    <definedName name="vertex42_id" hidden="1">"calendar-chart.xlsx"</definedName>
    <definedName name="vertex42_title" hidden="1">"Calendar Chart Template"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4" i="36" l="1"/>
  <c r="AL4" i="36"/>
  <c r="T4" i="36"/>
  <c r="B4" i="36"/>
  <c r="C4" i="36"/>
  <c r="BD21" i="36" s="1"/>
  <c r="BM21" i="36"/>
  <c r="B21" i="36" l="1"/>
  <c r="T21" i="36"/>
  <c r="AL21" i="36"/>
  <c r="BM5" i="34"/>
  <c r="B12" i="34" s="1"/>
  <c r="K5" i="34"/>
  <c r="AU21" i="36"/>
  <c r="K12" i="34"/>
  <c r="K21" i="36"/>
  <c r="AC21" i="36"/>
  <c r="B22" i="36" l="1"/>
  <c r="B23" i="36" s="1"/>
  <c r="C21" i="36"/>
  <c r="C20" i="36" s="1"/>
  <c r="L20" i="36" s="1"/>
  <c r="B20" i="36"/>
  <c r="K20" i="36" s="1"/>
  <c r="J21" i="36"/>
  <c r="J12" i="34"/>
  <c r="B13" i="34"/>
  <c r="C12" i="34"/>
  <c r="B11" i="34"/>
  <c r="K11" i="34" s="1"/>
  <c r="W8" i="31"/>
  <c r="K23" i="36"/>
  <c r="L21" i="36"/>
  <c r="K13" i="34"/>
  <c r="L12" i="34"/>
  <c r="C22" i="36" l="1"/>
  <c r="D21" i="36"/>
  <c r="C23" i="36"/>
  <c r="B24" i="36"/>
  <c r="D20" i="36"/>
  <c r="M20" i="36" s="1"/>
  <c r="E21" i="36"/>
  <c r="D12" i="34"/>
  <c r="C11" i="34"/>
  <c r="L11" i="34" s="1"/>
  <c r="C13" i="34"/>
  <c r="B14" i="34"/>
  <c r="C14" i="31"/>
  <c r="K14" i="34"/>
  <c r="N21" i="36"/>
  <c r="L22" i="36"/>
  <c r="L23" i="36"/>
  <c r="M12" i="34"/>
  <c r="L13" i="34"/>
  <c r="K22" i="36"/>
  <c r="M21" i="36"/>
  <c r="K24" i="36"/>
  <c r="D22" i="36" l="1"/>
  <c r="D23" i="36"/>
  <c r="F21" i="36"/>
  <c r="E20" i="36"/>
  <c r="N20" i="36" s="1"/>
  <c r="B25" i="36"/>
  <c r="C24" i="36"/>
  <c r="C13" i="31"/>
  <c r="D13" i="34"/>
  <c r="B15" i="34"/>
  <c r="C14" i="34"/>
  <c r="E12" i="34"/>
  <c r="D11" i="34"/>
  <c r="M11" i="34" s="1"/>
  <c r="A14" i="31"/>
  <c r="K13" i="31"/>
  <c r="L13" i="31" s="1"/>
  <c r="M13" i="31" s="1"/>
  <c r="N13" i="31" s="1"/>
  <c r="O13" i="31" s="1"/>
  <c r="P13" i="31" s="1"/>
  <c r="Q13" i="31" s="1"/>
  <c r="M23" i="36"/>
  <c r="K25" i="36"/>
  <c r="L24" i="36"/>
  <c r="N12" i="34"/>
  <c r="O21" i="36"/>
  <c r="K15" i="34"/>
  <c r="L14" i="34"/>
  <c r="M22" i="36"/>
  <c r="M13" i="34"/>
  <c r="E22" i="36" l="1"/>
  <c r="E23" i="36"/>
  <c r="B26" i="36"/>
  <c r="C25" i="36"/>
  <c r="D24" i="36"/>
  <c r="G21" i="36"/>
  <c r="F20" i="36"/>
  <c r="O20" i="36" s="1"/>
  <c r="F12" i="34"/>
  <c r="E11" i="34"/>
  <c r="N11" i="34" s="1"/>
  <c r="B16" i="34"/>
  <c r="C15" i="34"/>
  <c r="D14" i="34"/>
  <c r="E13" i="34"/>
  <c r="L25" i="36"/>
  <c r="K26" i="36"/>
  <c r="N22" i="36"/>
  <c r="M24" i="36"/>
  <c r="N23" i="36"/>
  <c r="N13" i="34"/>
  <c r="K16" i="34"/>
  <c r="O12" i="34"/>
  <c r="P21" i="36"/>
  <c r="M14" i="34"/>
  <c r="L15" i="34"/>
  <c r="F22" i="36" l="1"/>
  <c r="G22" i="36" s="1"/>
  <c r="E24" i="36"/>
  <c r="G20" i="36"/>
  <c r="P20" i="36" s="1"/>
  <c r="H21" i="36"/>
  <c r="B27" i="36"/>
  <c r="C26" i="36"/>
  <c r="F23" i="36"/>
  <c r="D25" i="36"/>
  <c r="E14" i="34"/>
  <c r="G12" i="34"/>
  <c r="F11" i="34"/>
  <c r="O11" i="34" s="1"/>
  <c r="F13" i="34"/>
  <c r="C16" i="34"/>
  <c r="B17" i="34"/>
  <c r="D15" i="34"/>
  <c r="K71" i="31"/>
  <c r="P12" i="34"/>
  <c r="L16" i="34"/>
  <c r="O22" i="36"/>
  <c r="Q21" i="36"/>
  <c r="O23" i="36"/>
  <c r="M25" i="36"/>
  <c r="N24" i="36"/>
  <c r="P22" i="36"/>
  <c r="M15" i="34"/>
  <c r="K27" i="36"/>
  <c r="N14" i="34"/>
  <c r="O13" i="34"/>
  <c r="K17" i="34"/>
  <c r="L26" i="36"/>
  <c r="R21" i="36" l="1"/>
  <c r="D26" i="36"/>
  <c r="H20" i="36"/>
  <c r="Q20" i="36" s="1"/>
  <c r="F24" i="36"/>
  <c r="E25" i="36"/>
  <c r="B28" i="36"/>
  <c r="C27" i="36"/>
  <c r="G23" i="36"/>
  <c r="H22" i="36"/>
  <c r="G13" i="34"/>
  <c r="H12" i="34"/>
  <c r="G11" i="34"/>
  <c r="P11" i="34" s="1"/>
  <c r="F14" i="34"/>
  <c r="E15" i="34"/>
  <c r="C17" i="34"/>
  <c r="B18" i="34"/>
  <c r="D16" i="34"/>
  <c r="K18" i="34"/>
  <c r="M26" i="36"/>
  <c r="Q22" i="36"/>
  <c r="O14" i="34"/>
  <c r="K28" i="36"/>
  <c r="Q12" i="34"/>
  <c r="L27" i="36"/>
  <c r="P13" i="34"/>
  <c r="O24" i="36"/>
  <c r="L17" i="34"/>
  <c r="N15" i="34"/>
  <c r="N25" i="36"/>
  <c r="M16" i="34"/>
  <c r="P23" i="36"/>
  <c r="R22" i="36" l="1"/>
  <c r="H23" i="36"/>
  <c r="J23" i="36" a="1"/>
  <c r="J23" i="36" s="1"/>
  <c r="E26" i="36"/>
  <c r="D27" i="36"/>
  <c r="G24" i="36"/>
  <c r="J22" i="36" a="1"/>
  <c r="J22" i="36" s="1"/>
  <c r="B29" i="36"/>
  <c r="C28" i="36"/>
  <c r="F25" i="36"/>
  <c r="E16" i="34"/>
  <c r="G14" i="34"/>
  <c r="H11" i="34"/>
  <c r="Q11" i="34" s="1"/>
  <c r="B19" i="34"/>
  <c r="C18" i="34"/>
  <c r="H13" i="34"/>
  <c r="D17" i="34"/>
  <c r="F15" i="34"/>
  <c r="N26" i="36"/>
  <c r="K29" i="36"/>
  <c r="K19" i="34"/>
  <c r="Q23" i="36"/>
  <c r="O15" i="34"/>
  <c r="M17" i="34"/>
  <c r="L18" i="34"/>
  <c r="O25" i="36"/>
  <c r="L28" i="36"/>
  <c r="P14" i="34"/>
  <c r="P24" i="36"/>
  <c r="M27" i="36"/>
  <c r="Q13" i="34"/>
  <c r="N16" i="34"/>
  <c r="R23" i="36" l="1"/>
  <c r="G25" i="36"/>
  <c r="D28" i="36"/>
  <c r="E27" i="36"/>
  <c r="B30" i="36"/>
  <c r="C29" i="36"/>
  <c r="H24" i="36"/>
  <c r="J24" i="36" a="1"/>
  <c r="J24" i="36" s="1"/>
  <c r="F26" i="36"/>
  <c r="G15" i="34"/>
  <c r="B20" i="34"/>
  <c r="C19" i="34"/>
  <c r="F16" i="34"/>
  <c r="D18" i="34"/>
  <c r="E17" i="34"/>
  <c r="J13" i="34" a="1"/>
  <c r="J13" i="34" s="1"/>
  <c r="H14" i="34"/>
  <c r="O26" i="36"/>
  <c r="K20" i="34"/>
  <c r="O16" i="34"/>
  <c r="Q24" i="36"/>
  <c r="N27" i="36"/>
  <c r="N17" i="34"/>
  <c r="M18" i="34"/>
  <c r="P15" i="34"/>
  <c r="Q14" i="34"/>
  <c r="P25" i="36"/>
  <c r="L29" i="36"/>
  <c r="L19" i="34"/>
  <c r="K30" i="36"/>
  <c r="M28" i="36"/>
  <c r="R24" i="36" l="1"/>
  <c r="G26" i="36"/>
  <c r="B31" i="36"/>
  <c r="C30" i="36"/>
  <c r="F27" i="36"/>
  <c r="D29" i="36"/>
  <c r="H25" i="36"/>
  <c r="E28" i="36"/>
  <c r="J14" i="34" a="1"/>
  <c r="J14" i="34" s="1"/>
  <c r="G16" i="34"/>
  <c r="H15" i="34"/>
  <c r="D19" i="34"/>
  <c r="E18" i="34"/>
  <c r="F17" i="34"/>
  <c r="C20" i="34"/>
  <c r="B21" i="34"/>
  <c r="Q15" i="34"/>
  <c r="O17" i="34"/>
  <c r="M19" i="34"/>
  <c r="Q25" i="36"/>
  <c r="O27" i="36"/>
  <c r="L30" i="36"/>
  <c r="N28" i="36"/>
  <c r="K21" i="34"/>
  <c r="N18" i="34"/>
  <c r="L20" i="34"/>
  <c r="P26" i="36"/>
  <c r="M29" i="36"/>
  <c r="K31" i="36"/>
  <c r="P16" i="34"/>
  <c r="R25" i="36" l="1"/>
  <c r="J25" i="36" a="1"/>
  <c r="J25" i="36" s="1"/>
  <c r="F28" i="36"/>
  <c r="E29" i="36"/>
  <c r="D30" i="36"/>
  <c r="H26" i="36"/>
  <c r="G27" i="36"/>
  <c r="B32" i="36"/>
  <c r="C31" i="36"/>
  <c r="G17" i="34"/>
  <c r="E19" i="34"/>
  <c r="B22" i="34"/>
  <c r="C21" i="34"/>
  <c r="F18" i="34"/>
  <c r="D20" i="34"/>
  <c r="J15" i="34" a="1"/>
  <c r="J15" i="34" s="1"/>
  <c r="H16" i="34"/>
  <c r="K4" i="31"/>
  <c r="Q26" i="36"/>
  <c r="Q16" i="34"/>
  <c r="L21" i="34"/>
  <c r="K32" i="36"/>
  <c r="P17" i="34"/>
  <c r="L31" i="36"/>
  <c r="N19" i="34"/>
  <c r="O18" i="34"/>
  <c r="M20" i="34"/>
  <c r="M30" i="36"/>
  <c r="N29" i="36"/>
  <c r="K22" i="34"/>
  <c r="O28" i="36"/>
  <c r="P27" i="36"/>
  <c r="R26" i="36" l="1"/>
  <c r="B33" i="36"/>
  <c r="C32" i="36"/>
  <c r="F29" i="36"/>
  <c r="D31" i="36"/>
  <c r="H27" i="36"/>
  <c r="E30" i="36"/>
  <c r="G28" i="36"/>
  <c r="J26" i="36" a="1"/>
  <c r="J26" i="36" s="1"/>
  <c r="J16" i="34" a="1"/>
  <c r="J16" i="34" s="1"/>
  <c r="E20" i="34"/>
  <c r="F19" i="34"/>
  <c r="H17" i="34"/>
  <c r="G18" i="34"/>
  <c r="B23" i="34"/>
  <c r="C22" i="34"/>
  <c r="D21" i="34"/>
  <c r="L70" i="31"/>
  <c r="M31" i="36"/>
  <c r="M21" i="34"/>
  <c r="L32" i="36"/>
  <c r="P18" i="34"/>
  <c r="N30" i="36"/>
  <c r="Q27" i="36"/>
  <c r="L22" i="34"/>
  <c r="O29" i="36"/>
  <c r="K33" i="36"/>
  <c r="N20" i="34"/>
  <c r="K23" i="34"/>
  <c r="P28" i="36"/>
  <c r="O19" i="34"/>
  <c r="Q17" i="34"/>
  <c r="R27" i="36" l="1"/>
  <c r="H28" i="36"/>
  <c r="J28" i="36" s="1" a="1"/>
  <c r="J28" i="36" s="1"/>
  <c r="J27" i="36" a="1"/>
  <c r="J27" i="36" s="1"/>
  <c r="G29" i="36"/>
  <c r="B34" i="36"/>
  <c r="C33" i="36"/>
  <c r="F30" i="36"/>
  <c r="E31" i="36"/>
  <c r="D32" i="36"/>
  <c r="J17" i="34" a="1"/>
  <c r="J17" i="34" s="1"/>
  <c r="G19" i="34"/>
  <c r="C23" i="34"/>
  <c r="B24" i="34"/>
  <c r="D22" i="34"/>
  <c r="H18" i="34"/>
  <c r="F20" i="34"/>
  <c r="E21" i="34"/>
  <c r="Q18" i="34"/>
  <c r="L23" i="34"/>
  <c r="K24" i="34"/>
  <c r="P29" i="36"/>
  <c r="O30" i="36"/>
  <c r="P19" i="34"/>
  <c r="N31" i="36"/>
  <c r="K34" i="36"/>
  <c r="L33" i="36"/>
  <c r="M22" i="34"/>
  <c r="M32" i="36"/>
  <c r="N21" i="34"/>
  <c r="O20" i="34"/>
  <c r="B35" i="36" l="1"/>
  <c r="C34" i="36"/>
  <c r="F31" i="36"/>
  <c r="H29" i="36"/>
  <c r="E32" i="36"/>
  <c r="G30" i="36"/>
  <c r="D33" i="36"/>
  <c r="J18" i="34" a="1"/>
  <c r="J18" i="34" s="1"/>
  <c r="F21" i="34"/>
  <c r="G20" i="34"/>
  <c r="C24" i="34"/>
  <c r="B25" i="34"/>
  <c r="E22" i="34"/>
  <c r="D23" i="34"/>
  <c r="H19" i="34"/>
  <c r="P20" i="34"/>
  <c r="Q28" i="36"/>
  <c r="O21" i="34"/>
  <c r="L24" i="34"/>
  <c r="L34" i="36"/>
  <c r="Q29" i="36"/>
  <c r="K25" i="34"/>
  <c r="N22" i="34"/>
  <c r="N32" i="36"/>
  <c r="M23" i="34"/>
  <c r="K35" i="36"/>
  <c r="O31" i="36"/>
  <c r="P30" i="36"/>
  <c r="M33" i="36"/>
  <c r="Q19" i="34"/>
  <c r="R28" i="36" l="1"/>
  <c r="R29" i="36"/>
  <c r="F32" i="36"/>
  <c r="D34" i="36"/>
  <c r="H30" i="36"/>
  <c r="E33" i="36"/>
  <c r="J29" i="36" a="1"/>
  <c r="J29" i="36" s="1"/>
  <c r="G31" i="36"/>
  <c r="B36" i="36"/>
  <c r="C35" i="36"/>
  <c r="J19" i="34" a="1"/>
  <c r="J19" i="34" s="1"/>
  <c r="E23" i="34"/>
  <c r="B26" i="34"/>
  <c r="C25" i="34"/>
  <c r="D24" i="34"/>
  <c r="H20" i="34"/>
  <c r="F22" i="34"/>
  <c r="G21" i="34"/>
  <c r="N33" i="36"/>
  <c r="P21" i="34"/>
  <c r="Q20" i="34"/>
  <c r="L25" i="34"/>
  <c r="K26" i="34"/>
  <c r="L35" i="36"/>
  <c r="Q30" i="36"/>
  <c r="O22" i="34"/>
  <c r="K36" i="36"/>
  <c r="M24" i="34"/>
  <c r="M34" i="36"/>
  <c r="P31" i="36"/>
  <c r="N23" i="34"/>
  <c r="O32" i="36"/>
  <c r="R30" i="36" l="1"/>
  <c r="J30" i="36" a="1"/>
  <c r="J30" i="36" s="1"/>
  <c r="G32" i="36"/>
  <c r="B37" i="36"/>
  <c r="C36" i="36"/>
  <c r="D35" i="36"/>
  <c r="H31" i="36"/>
  <c r="F33" i="36"/>
  <c r="E34" i="36"/>
  <c r="J20" i="34" a="1"/>
  <c r="J20" i="34" s="1"/>
  <c r="H21" i="34"/>
  <c r="C26" i="34"/>
  <c r="B27" i="34"/>
  <c r="E24" i="34"/>
  <c r="G22" i="34"/>
  <c r="D25" i="34"/>
  <c r="F23" i="34"/>
  <c r="P22" i="34"/>
  <c r="O33" i="36"/>
  <c r="N24" i="34"/>
  <c r="Q21" i="34"/>
  <c r="K27" i="34"/>
  <c r="O23" i="34"/>
  <c r="P32" i="36"/>
  <c r="M25" i="34"/>
  <c r="N34" i="36"/>
  <c r="K37" i="36"/>
  <c r="Q31" i="36"/>
  <c r="M35" i="36"/>
  <c r="L26" i="34"/>
  <c r="L36" i="36"/>
  <c r="R31" i="36" l="1"/>
  <c r="J31" i="36" a="1"/>
  <c r="J31" i="36" s="1"/>
  <c r="G33" i="36"/>
  <c r="E35" i="36"/>
  <c r="H32" i="36"/>
  <c r="B38" i="36"/>
  <c r="C37" i="36"/>
  <c r="F34" i="36"/>
  <c r="D36" i="36"/>
  <c r="H22" i="34"/>
  <c r="B28" i="34"/>
  <c r="C27" i="34"/>
  <c r="J21" i="34" a="1"/>
  <c r="J21" i="34" s="1"/>
  <c r="E25" i="34"/>
  <c r="F24" i="34"/>
  <c r="G23" i="34"/>
  <c r="D26" i="34"/>
  <c r="L37" i="36"/>
  <c r="K28" i="34"/>
  <c r="N25" i="34"/>
  <c r="O34" i="36"/>
  <c r="P23" i="34"/>
  <c r="K38" i="36"/>
  <c r="O24" i="34"/>
  <c r="M26" i="34"/>
  <c r="Q22" i="34"/>
  <c r="M36" i="36"/>
  <c r="P33" i="36"/>
  <c r="N35" i="36"/>
  <c r="Q32" i="36"/>
  <c r="L27" i="34"/>
  <c r="R32" i="36" l="1"/>
  <c r="B39" i="36"/>
  <c r="C38" i="36"/>
  <c r="J32" i="36" a="1"/>
  <c r="J32" i="36" s="1"/>
  <c r="E36" i="36"/>
  <c r="H33" i="36"/>
  <c r="D37" i="36"/>
  <c r="G34" i="36"/>
  <c r="F35" i="36"/>
  <c r="D27" i="34"/>
  <c r="J22" i="34" a="1"/>
  <c r="J22" i="34" s="1"/>
  <c r="H23" i="34"/>
  <c r="F25" i="34"/>
  <c r="G24" i="34"/>
  <c r="C28" i="34"/>
  <c r="B29" i="34"/>
  <c r="E26" i="34"/>
  <c r="P34" i="36"/>
  <c r="M27" i="34"/>
  <c r="L28" i="34"/>
  <c r="O25" i="34"/>
  <c r="O35" i="36"/>
  <c r="K29" i="34"/>
  <c r="Q33" i="36"/>
  <c r="Q23" i="34"/>
  <c r="N36" i="36"/>
  <c r="L38" i="36"/>
  <c r="M37" i="36"/>
  <c r="N26" i="34"/>
  <c r="P24" i="34"/>
  <c r="K39" i="36"/>
  <c r="R33" i="36" l="1"/>
  <c r="H34" i="36"/>
  <c r="J33" i="36" a="1"/>
  <c r="J33" i="36" s="1"/>
  <c r="B40" i="36"/>
  <c r="C39" i="36"/>
  <c r="G35" i="36"/>
  <c r="E37" i="36"/>
  <c r="F36" i="36"/>
  <c r="D38" i="36"/>
  <c r="E27" i="34"/>
  <c r="F26" i="34"/>
  <c r="J23" i="34" a="1"/>
  <c r="J23" i="34" s="1"/>
  <c r="D28" i="34"/>
  <c r="G25" i="34"/>
  <c r="B30" i="34"/>
  <c r="C29" i="34"/>
  <c r="H24" i="34"/>
  <c r="L39" i="36"/>
  <c r="N27" i="34"/>
  <c r="P35" i="36"/>
  <c r="Q24" i="34"/>
  <c r="O36" i="36"/>
  <c r="M28" i="34"/>
  <c r="K30" i="34"/>
  <c r="P25" i="34"/>
  <c r="M38" i="36"/>
  <c r="Q34" i="36"/>
  <c r="O26" i="34"/>
  <c r="K40" i="36"/>
  <c r="N37" i="36"/>
  <c r="L29" i="34"/>
  <c r="R34" i="36" l="1"/>
  <c r="F37" i="36"/>
  <c r="D39" i="36"/>
  <c r="E38" i="36"/>
  <c r="G36" i="36"/>
  <c r="H35" i="36"/>
  <c r="B41" i="36"/>
  <c r="C40" i="36"/>
  <c r="J34" i="36" a="1"/>
  <c r="J34" i="36" s="1"/>
  <c r="G26" i="34"/>
  <c r="D29" i="34"/>
  <c r="H25" i="34"/>
  <c r="E28" i="34"/>
  <c r="J24" i="34" a="1"/>
  <c r="J24" i="34" s="1"/>
  <c r="C30" i="34"/>
  <c r="B31" i="34"/>
  <c r="F27" i="34"/>
  <c r="Q25" i="34"/>
  <c r="M39" i="36"/>
  <c r="N28" i="34"/>
  <c r="O27" i="34"/>
  <c r="M29" i="34"/>
  <c r="L30" i="34"/>
  <c r="P26" i="34"/>
  <c r="K41" i="36"/>
  <c r="K31" i="34"/>
  <c r="L40" i="36"/>
  <c r="Q35" i="36"/>
  <c r="O37" i="36"/>
  <c r="N38" i="36"/>
  <c r="P36" i="36"/>
  <c r="R35" i="36" l="1"/>
  <c r="B42" i="36"/>
  <c r="C41" i="36"/>
  <c r="H36" i="36"/>
  <c r="J35" i="36" a="1"/>
  <c r="J35" i="36" s="1"/>
  <c r="E39" i="36"/>
  <c r="D40" i="36"/>
  <c r="F38" i="36"/>
  <c r="G37" i="36"/>
  <c r="J25" i="34" a="1"/>
  <c r="J25" i="34" s="1"/>
  <c r="D30" i="34"/>
  <c r="E29" i="34"/>
  <c r="H26" i="34"/>
  <c r="B32" i="34"/>
  <c r="C31" i="34"/>
  <c r="G27" i="34"/>
  <c r="F28" i="34"/>
  <c r="O38" i="36"/>
  <c r="L41" i="36"/>
  <c r="N29" i="34"/>
  <c r="M40" i="36"/>
  <c r="O28" i="34"/>
  <c r="P27" i="34"/>
  <c r="K32" i="34"/>
  <c r="Q26" i="34"/>
  <c r="L31" i="34"/>
  <c r="M30" i="34"/>
  <c r="Q36" i="36"/>
  <c r="K42" i="36"/>
  <c r="N39" i="36"/>
  <c r="P37" i="36"/>
  <c r="R36" i="36" l="1"/>
  <c r="J36" i="36" a="1"/>
  <c r="J36" i="36" s="1"/>
  <c r="D41" i="36"/>
  <c r="H37" i="36"/>
  <c r="F39" i="36"/>
  <c r="E40" i="36"/>
  <c r="B43" i="36"/>
  <c r="C42" i="36"/>
  <c r="G38" i="36"/>
  <c r="H27" i="34"/>
  <c r="E30" i="34"/>
  <c r="G28" i="34"/>
  <c r="D31" i="34"/>
  <c r="J26" i="34" a="1"/>
  <c r="J26" i="34" s="1"/>
  <c r="F29" i="34"/>
  <c r="C32" i="34"/>
  <c r="B33" i="34"/>
  <c r="K43" i="36"/>
  <c r="N40" i="36"/>
  <c r="Q27" i="34"/>
  <c r="M41" i="36"/>
  <c r="O39" i="36"/>
  <c r="L42" i="36"/>
  <c r="O29" i="34"/>
  <c r="N30" i="34"/>
  <c r="L32" i="34"/>
  <c r="P38" i="36"/>
  <c r="M31" i="34"/>
  <c r="P28" i="34"/>
  <c r="Q37" i="36"/>
  <c r="K33" i="34"/>
  <c r="R37" i="36" l="1"/>
  <c r="F40" i="36"/>
  <c r="J37" i="36" a="1"/>
  <c r="J37" i="36" s="1"/>
  <c r="D42" i="36"/>
  <c r="H38" i="36"/>
  <c r="B44" i="36"/>
  <c r="C43" i="36"/>
  <c r="G39" i="36"/>
  <c r="E41" i="36"/>
  <c r="J27" i="34" a="1"/>
  <c r="J27" i="34" s="1"/>
  <c r="G29" i="34"/>
  <c r="D32" i="34"/>
  <c r="E31" i="34"/>
  <c r="H28" i="34"/>
  <c r="F30" i="34"/>
  <c r="B34" i="34"/>
  <c r="C33" i="34"/>
  <c r="M32" i="34"/>
  <c r="N31" i="34"/>
  <c r="O30" i="34"/>
  <c r="P29" i="34"/>
  <c r="K34" i="34"/>
  <c r="Q28" i="34"/>
  <c r="O40" i="36"/>
  <c r="L43" i="36"/>
  <c r="P39" i="36"/>
  <c r="L33" i="34"/>
  <c r="N41" i="36"/>
  <c r="Q38" i="36"/>
  <c r="M42" i="36"/>
  <c r="K44" i="36"/>
  <c r="R38" i="36" l="1"/>
  <c r="J38" i="36" a="1"/>
  <c r="J38" i="36" s="1"/>
  <c r="F41" i="36"/>
  <c r="B45" i="36"/>
  <c r="C44" i="36"/>
  <c r="E42" i="36"/>
  <c r="G40" i="36"/>
  <c r="D43" i="36"/>
  <c r="H39" i="36"/>
  <c r="J28" i="34" a="1"/>
  <c r="J28" i="34" s="1"/>
  <c r="E32" i="34"/>
  <c r="D33" i="34"/>
  <c r="G30" i="34"/>
  <c r="C34" i="34"/>
  <c r="B35" i="34"/>
  <c r="F31" i="34"/>
  <c r="H29" i="34"/>
  <c r="N42" i="36"/>
  <c r="K45" i="36"/>
  <c r="K35" i="34"/>
  <c r="N32" i="34"/>
  <c r="O41" i="36"/>
  <c r="Q29" i="34"/>
  <c r="P40" i="36"/>
  <c r="M33" i="34"/>
  <c r="L34" i="34"/>
  <c r="O31" i="34"/>
  <c r="P30" i="34"/>
  <c r="M43" i="36"/>
  <c r="Q39" i="36"/>
  <c r="L44" i="36"/>
  <c r="R39" i="36" l="1"/>
  <c r="J39" i="36" a="1"/>
  <c r="J39" i="36" s="1"/>
  <c r="F42" i="36"/>
  <c r="H40" i="36"/>
  <c r="D44" i="36"/>
  <c r="E43" i="36"/>
  <c r="B46" i="36"/>
  <c r="C45" i="36"/>
  <c r="G41" i="36"/>
  <c r="H30" i="34"/>
  <c r="F32" i="34"/>
  <c r="J30" i="34" a="1"/>
  <c r="J30" i="34" s="1"/>
  <c r="E33" i="34"/>
  <c r="J29" i="34" a="1"/>
  <c r="J29" i="34" s="1"/>
  <c r="B36" i="34"/>
  <c r="C35" i="34"/>
  <c r="G31" i="34"/>
  <c r="D34" i="34"/>
  <c r="K46" i="36"/>
  <c r="P31" i="34"/>
  <c r="M44" i="36"/>
  <c r="M34" i="34"/>
  <c r="P41" i="36"/>
  <c r="O32" i="34"/>
  <c r="N43" i="36"/>
  <c r="Q30" i="34"/>
  <c r="O42" i="36"/>
  <c r="N33" i="34"/>
  <c r="L45" i="36"/>
  <c r="L35" i="34"/>
  <c r="K36" i="34"/>
  <c r="Q40" i="36"/>
  <c r="R40" i="36" l="1"/>
  <c r="D45" i="36"/>
  <c r="J40" i="36" a="1"/>
  <c r="J40" i="36" s="1"/>
  <c r="G42" i="36"/>
  <c r="B47" i="36"/>
  <c r="C46" i="36"/>
  <c r="H41" i="36"/>
  <c r="F43" i="36"/>
  <c r="E44" i="36"/>
  <c r="H31" i="34"/>
  <c r="G32" i="34"/>
  <c r="E34" i="34"/>
  <c r="D35" i="34"/>
  <c r="F33" i="34"/>
  <c r="C36" i="34"/>
  <c r="B37" i="34"/>
  <c r="L36" i="34"/>
  <c r="Q41" i="36"/>
  <c r="P32" i="34"/>
  <c r="K47" i="36"/>
  <c r="N44" i="36"/>
  <c r="L46" i="36"/>
  <c r="M35" i="34"/>
  <c r="N34" i="34"/>
  <c r="Q31" i="34"/>
  <c r="M45" i="36"/>
  <c r="K37" i="34"/>
  <c r="O43" i="36"/>
  <c r="O33" i="34"/>
  <c r="P42" i="36"/>
  <c r="R41" i="36" l="1"/>
  <c r="J41" i="36" a="1"/>
  <c r="J41" i="36" s="1"/>
  <c r="G43" i="36"/>
  <c r="F44" i="36"/>
  <c r="D46" i="36"/>
  <c r="H42" i="36"/>
  <c r="E45" i="36"/>
  <c r="B48" i="36"/>
  <c r="C47" i="36"/>
  <c r="J31" i="34" a="1"/>
  <c r="J31" i="34" s="1"/>
  <c r="E35" i="34"/>
  <c r="G33" i="34"/>
  <c r="H32" i="34"/>
  <c r="B38" i="34"/>
  <c r="C37" i="34"/>
  <c r="D36" i="34"/>
  <c r="F34" i="34"/>
  <c r="Q42" i="36"/>
  <c r="L47" i="36"/>
  <c r="Q32" i="34"/>
  <c r="O34" i="34"/>
  <c r="N35" i="34"/>
  <c r="M36" i="34"/>
  <c r="M46" i="36"/>
  <c r="L37" i="34"/>
  <c r="N45" i="36"/>
  <c r="P43" i="36"/>
  <c r="O44" i="36"/>
  <c r="K48" i="36"/>
  <c r="P33" i="34"/>
  <c r="K38" i="34"/>
  <c r="R42" i="36" l="1"/>
  <c r="B49" i="36"/>
  <c r="C48" i="36"/>
  <c r="J42" i="36" a="1"/>
  <c r="J42" i="36" s="1"/>
  <c r="G44" i="36"/>
  <c r="D47" i="36"/>
  <c r="F45" i="36"/>
  <c r="E46" i="36"/>
  <c r="H43" i="36"/>
  <c r="J32" i="34" a="1"/>
  <c r="J32" i="34" s="1"/>
  <c r="F35" i="34"/>
  <c r="D37" i="34"/>
  <c r="H33" i="34"/>
  <c r="E36" i="34"/>
  <c r="C38" i="34"/>
  <c r="B39" i="34"/>
  <c r="G34" i="34"/>
  <c r="O45" i="36"/>
  <c r="O35" i="34"/>
  <c r="L38" i="34"/>
  <c r="N46" i="36"/>
  <c r="Q43" i="36"/>
  <c r="M37" i="34"/>
  <c r="Q33" i="34"/>
  <c r="N36" i="34"/>
  <c r="P34" i="34"/>
  <c r="K39" i="34"/>
  <c r="K49" i="36"/>
  <c r="P44" i="36"/>
  <c r="M47" i="36"/>
  <c r="L48" i="36"/>
  <c r="R43" i="36" l="1"/>
  <c r="J43" i="36" a="1"/>
  <c r="J43" i="36" s="1"/>
  <c r="B50" i="36"/>
  <c r="C49" i="36"/>
  <c r="F46" i="36"/>
  <c r="E47" i="36"/>
  <c r="G45" i="36"/>
  <c r="H44" i="36"/>
  <c r="J44" i="36" s="1" a="1"/>
  <c r="J44" i="36" s="1"/>
  <c r="D48" i="36"/>
  <c r="J33" i="34" a="1"/>
  <c r="J33" i="34" s="1"/>
  <c r="E37" i="34"/>
  <c r="H34" i="34"/>
  <c r="D38" i="34"/>
  <c r="G35" i="34"/>
  <c r="B40" i="34"/>
  <c r="C39" i="34"/>
  <c r="F36" i="34"/>
  <c r="P45" i="36"/>
  <c r="M38" i="34"/>
  <c r="K40" i="34"/>
  <c r="N47" i="36"/>
  <c r="O46" i="36"/>
  <c r="M48" i="36"/>
  <c r="O36" i="34"/>
  <c r="N37" i="34"/>
  <c r="Q34" i="34"/>
  <c r="K50" i="36"/>
  <c r="L49" i="36"/>
  <c r="L39" i="34"/>
  <c r="P35" i="34"/>
  <c r="E48" i="36" l="1"/>
  <c r="F47" i="36"/>
  <c r="D49" i="36"/>
  <c r="H45" i="36"/>
  <c r="G46" i="36"/>
  <c r="B51" i="36"/>
  <c r="C50" i="36"/>
  <c r="G36" i="34"/>
  <c r="H35" i="34"/>
  <c r="J34" i="34" a="1"/>
  <c r="J34" i="34" s="1"/>
  <c r="F37" i="34"/>
  <c r="C40" i="34"/>
  <c r="B41" i="34"/>
  <c r="D39" i="34"/>
  <c r="E38" i="34"/>
  <c r="L50" i="36"/>
  <c r="O47" i="36"/>
  <c r="M39" i="34"/>
  <c r="N38" i="34"/>
  <c r="K51" i="36"/>
  <c r="O37" i="34"/>
  <c r="N48" i="36"/>
  <c r="Q44" i="36"/>
  <c r="Q45" i="36"/>
  <c r="P36" i="34"/>
  <c r="M49" i="36"/>
  <c r="P46" i="36"/>
  <c r="K41" i="34"/>
  <c r="L40" i="34"/>
  <c r="Q35" i="34"/>
  <c r="R44" i="36" l="1"/>
  <c r="R45" i="36"/>
  <c r="G47" i="36"/>
  <c r="C51" i="36"/>
  <c r="B52" i="36"/>
  <c r="J45" i="36" a="1"/>
  <c r="J45" i="36" s="1"/>
  <c r="D50" i="36"/>
  <c r="H46" i="36"/>
  <c r="E49" i="36"/>
  <c r="F48" i="36"/>
  <c r="J35" i="34" a="1"/>
  <c r="J35" i="34" s="1"/>
  <c r="F38" i="34"/>
  <c r="G37" i="34"/>
  <c r="B42" i="34"/>
  <c r="C41" i="34"/>
  <c r="E39" i="34"/>
  <c r="D40" i="34"/>
  <c r="H36" i="34"/>
  <c r="Q36" i="34"/>
  <c r="P37" i="34"/>
  <c r="Q46" i="36"/>
  <c r="O48" i="36"/>
  <c r="L51" i="36"/>
  <c r="K52" i="36"/>
  <c r="P47" i="36"/>
  <c r="M50" i="36"/>
  <c r="L41" i="34"/>
  <c r="O38" i="34"/>
  <c r="N39" i="34"/>
  <c r="M40" i="34"/>
  <c r="K42" i="34"/>
  <c r="N49" i="36"/>
  <c r="R46" i="36" l="1"/>
  <c r="F49" i="36"/>
  <c r="E50" i="36"/>
  <c r="B53" i="36"/>
  <c r="C52" i="36"/>
  <c r="H47" i="36"/>
  <c r="D51" i="36"/>
  <c r="G48" i="36"/>
  <c r="J46" i="36" a="1"/>
  <c r="J46" i="36" s="1"/>
  <c r="J36" i="34" a="1"/>
  <c r="J36" i="34" s="1"/>
  <c r="C42" i="34"/>
  <c r="B43" i="34"/>
  <c r="E40" i="34"/>
  <c r="F39" i="34"/>
  <c r="D41" i="34"/>
  <c r="H37" i="34"/>
  <c r="G38" i="34"/>
  <c r="Q47" i="36"/>
  <c r="M41" i="34"/>
  <c r="N40" i="34"/>
  <c r="K53" i="36"/>
  <c r="K43" i="34"/>
  <c r="M51" i="36"/>
  <c r="L52" i="36"/>
  <c r="O49" i="36"/>
  <c r="N50" i="36"/>
  <c r="L42" i="34"/>
  <c r="Q37" i="34"/>
  <c r="P48" i="36"/>
  <c r="O39" i="34"/>
  <c r="P38" i="34"/>
  <c r="R47" i="36" l="1"/>
  <c r="E51" i="36"/>
  <c r="G49" i="36"/>
  <c r="F50" i="36"/>
  <c r="D52" i="36"/>
  <c r="H48" i="36"/>
  <c r="B54" i="36"/>
  <c r="C53" i="36"/>
  <c r="J47" i="36" a="1"/>
  <c r="J47" i="36" s="1"/>
  <c r="H38" i="34"/>
  <c r="E41" i="34"/>
  <c r="G39" i="34"/>
  <c r="B44" i="34"/>
  <c r="C43" i="34"/>
  <c r="J37" i="34" a="1"/>
  <c r="J37" i="34" s="1"/>
  <c r="F40" i="34"/>
  <c r="D42" i="34"/>
  <c r="Q48" i="36"/>
  <c r="K44" i="34"/>
  <c r="M42" i="34"/>
  <c r="Q38" i="34"/>
  <c r="N41" i="34"/>
  <c r="P39" i="34"/>
  <c r="L43" i="34"/>
  <c r="K54" i="36"/>
  <c r="O40" i="34"/>
  <c r="N51" i="36"/>
  <c r="P49" i="36"/>
  <c r="O50" i="36"/>
  <c r="L53" i="36"/>
  <c r="M52" i="36"/>
  <c r="R48" i="36" l="1"/>
  <c r="E52" i="36"/>
  <c r="H49" i="36"/>
  <c r="C54" i="36"/>
  <c r="B55" i="36"/>
  <c r="J48" i="36" a="1"/>
  <c r="J48" i="36" s="1"/>
  <c r="G50" i="36"/>
  <c r="D53" i="36"/>
  <c r="F51" i="36"/>
  <c r="J38" i="34" a="1"/>
  <c r="J38" i="34" s="1"/>
  <c r="C44" i="34"/>
  <c r="B45" i="34"/>
  <c r="F41" i="34"/>
  <c r="G40" i="34"/>
  <c r="E42" i="34"/>
  <c r="D43" i="34"/>
  <c r="H39" i="34"/>
  <c r="M53" i="36"/>
  <c r="K55" i="36"/>
  <c r="P40" i="34"/>
  <c r="O51" i="36"/>
  <c r="L54" i="36"/>
  <c r="N42" i="34"/>
  <c r="Q39" i="34"/>
  <c r="L44" i="34"/>
  <c r="K45" i="34"/>
  <c r="O41" i="34"/>
  <c r="Q49" i="36"/>
  <c r="M43" i="34"/>
  <c r="N52" i="36"/>
  <c r="P50" i="36"/>
  <c r="R49" i="36" l="1"/>
  <c r="G51" i="36"/>
  <c r="B56" i="36"/>
  <c r="C55" i="36"/>
  <c r="J49" i="36" a="1"/>
  <c r="J49" i="36" s="1"/>
  <c r="H50" i="36"/>
  <c r="E53" i="36"/>
  <c r="D54" i="36"/>
  <c r="F52" i="36"/>
  <c r="J39" i="34" a="1"/>
  <c r="J39" i="34" s="1"/>
  <c r="H40" i="34"/>
  <c r="B46" i="34"/>
  <c r="C45" i="34"/>
  <c r="E43" i="34"/>
  <c r="F42" i="34"/>
  <c r="G41" i="34"/>
  <c r="D44" i="34"/>
  <c r="Q40" i="34"/>
  <c r="L45" i="34"/>
  <c r="N43" i="34"/>
  <c r="K56" i="36"/>
  <c r="P41" i="34"/>
  <c r="K46" i="34"/>
  <c r="M44" i="34"/>
  <c r="N53" i="36"/>
  <c r="O52" i="36"/>
  <c r="Q50" i="36"/>
  <c r="O42" i="34"/>
  <c r="M54" i="36"/>
  <c r="P51" i="36"/>
  <c r="L55" i="36"/>
  <c r="R50" i="36" l="1"/>
  <c r="H51" i="36"/>
  <c r="J51" i="36" s="1" a="1"/>
  <c r="J51" i="36" s="1"/>
  <c r="B57" i="36"/>
  <c r="C56" i="36"/>
  <c r="E54" i="36"/>
  <c r="G52" i="36"/>
  <c r="F53" i="36"/>
  <c r="J50" i="36" a="1"/>
  <c r="J50" i="36" s="1"/>
  <c r="D55" i="36"/>
  <c r="G42" i="34"/>
  <c r="D45" i="34"/>
  <c r="J40" i="34" a="1"/>
  <c r="J40" i="34" s="1"/>
  <c r="H41" i="34"/>
  <c r="F43" i="34"/>
  <c r="E44" i="34"/>
  <c r="C46" i="34"/>
  <c r="B47" i="34"/>
  <c r="P42" i="34"/>
  <c r="K57" i="36"/>
  <c r="K47" i="34"/>
  <c r="L46" i="34"/>
  <c r="O43" i="34"/>
  <c r="M55" i="36"/>
  <c r="M45" i="34"/>
  <c r="L56" i="36"/>
  <c r="N54" i="36"/>
  <c r="Q41" i="34"/>
  <c r="O53" i="36"/>
  <c r="Q51" i="36"/>
  <c r="P52" i="36"/>
  <c r="N44" i="34"/>
  <c r="R51" i="36" l="1"/>
  <c r="D56" i="36"/>
  <c r="F54" i="36"/>
  <c r="E55" i="36"/>
  <c r="G53" i="36"/>
  <c r="H52" i="36"/>
  <c r="B58" i="36"/>
  <c r="C57" i="36"/>
  <c r="D46" i="34"/>
  <c r="B48" i="34"/>
  <c r="C47" i="34"/>
  <c r="F44" i="34"/>
  <c r="H42" i="34"/>
  <c r="G43" i="34"/>
  <c r="J41" i="34" a="1"/>
  <c r="J41" i="34" s="1"/>
  <c r="E45" i="34"/>
  <c r="N45" i="34"/>
  <c r="P43" i="34"/>
  <c r="K58" i="36"/>
  <c r="M46" i="34"/>
  <c r="O44" i="34"/>
  <c r="Q52" i="36"/>
  <c r="L47" i="34"/>
  <c r="Q42" i="34"/>
  <c r="L57" i="36"/>
  <c r="N55" i="36"/>
  <c r="K48" i="34"/>
  <c r="O54" i="36"/>
  <c r="M56" i="36"/>
  <c r="P53" i="36"/>
  <c r="R52" i="36" l="1"/>
  <c r="H53" i="36"/>
  <c r="F55" i="36"/>
  <c r="E56" i="36"/>
  <c r="J52" i="36" a="1"/>
  <c r="J52" i="36" s="1"/>
  <c r="G54" i="36"/>
  <c r="D57" i="36"/>
  <c r="C58" i="36"/>
  <c r="B59" i="36"/>
  <c r="F45" i="34"/>
  <c r="J42" i="34" a="1"/>
  <c r="J42" i="34" s="1"/>
  <c r="C48" i="34"/>
  <c r="B49" i="34"/>
  <c r="D47" i="34"/>
  <c r="E46" i="34"/>
  <c r="H43" i="34"/>
  <c r="G44" i="34"/>
  <c r="P44" i="34"/>
  <c r="O45" i="34"/>
  <c r="Q53" i="36"/>
  <c r="P54" i="36"/>
  <c r="N46" i="34"/>
  <c r="M47" i="34"/>
  <c r="K49" i="34"/>
  <c r="N56" i="36"/>
  <c r="K59" i="36"/>
  <c r="O55" i="36"/>
  <c r="Q43" i="34"/>
  <c r="M57" i="36"/>
  <c r="L48" i="34"/>
  <c r="L58" i="36"/>
  <c r="R53" i="36" l="1"/>
  <c r="E57" i="36"/>
  <c r="B60" i="36"/>
  <c r="C59" i="36"/>
  <c r="F56" i="36"/>
  <c r="D58" i="36"/>
  <c r="J53" i="36" a="1"/>
  <c r="J53" i="36" s="1"/>
  <c r="H54" i="36"/>
  <c r="G55" i="36"/>
  <c r="E47" i="34"/>
  <c r="D48" i="34"/>
  <c r="G45" i="34"/>
  <c r="H44" i="34"/>
  <c r="F46" i="34"/>
  <c r="B50" i="34"/>
  <c r="C49" i="34"/>
  <c r="J43" i="34" a="1"/>
  <c r="J43" i="34" s="1"/>
  <c r="O56" i="36"/>
  <c r="O46" i="34"/>
  <c r="M48" i="34"/>
  <c r="M58" i="36"/>
  <c r="N47" i="34"/>
  <c r="P55" i="36"/>
  <c r="N57" i="36"/>
  <c r="K50" i="34"/>
  <c r="P45" i="34"/>
  <c r="L49" i="34"/>
  <c r="K60" i="36"/>
  <c r="Q54" i="36"/>
  <c r="L59" i="36"/>
  <c r="Q44" i="34"/>
  <c r="R54" i="36" l="1"/>
  <c r="G56" i="36"/>
  <c r="J54" i="36" a="1"/>
  <c r="J54" i="36" s="1"/>
  <c r="C60" i="36"/>
  <c r="B61" i="36"/>
  <c r="H55" i="36"/>
  <c r="E58" i="36"/>
  <c r="D59" i="36"/>
  <c r="F57" i="36"/>
  <c r="J44" i="34" a="1"/>
  <c r="J44" i="34" s="1"/>
  <c r="F47" i="34"/>
  <c r="D49" i="34"/>
  <c r="E48" i="34"/>
  <c r="G46" i="34"/>
  <c r="C50" i="34"/>
  <c r="B51" i="34"/>
  <c r="H45" i="34"/>
  <c r="L60" i="36"/>
  <c r="L50" i="34"/>
  <c r="N48" i="34"/>
  <c r="Q45" i="34"/>
  <c r="K61" i="36"/>
  <c r="M49" i="34"/>
  <c r="Q55" i="36"/>
  <c r="P46" i="34"/>
  <c r="O47" i="34"/>
  <c r="N58" i="36"/>
  <c r="K51" i="34"/>
  <c r="O57" i="36"/>
  <c r="P56" i="36"/>
  <c r="M59" i="36"/>
  <c r="R55" i="36" l="1"/>
  <c r="E59" i="36"/>
  <c r="J55" i="36" a="1"/>
  <c r="J55" i="36" s="1"/>
  <c r="D60" i="36"/>
  <c r="H56" i="36"/>
  <c r="G57" i="36"/>
  <c r="F58" i="36"/>
  <c r="B62" i="36"/>
  <c r="C61" i="36"/>
  <c r="J45" i="34" a="1"/>
  <c r="J45" i="34" s="1"/>
  <c r="F48" i="34"/>
  <c r="B52" i="34"/>
  <c r="C51" i="34"/>
  <c r="E49" i="34"/>
  <c r="D50" i="34"/>
  <c r="H46" i="34"/>
  <c r="G47" i="34"/>
  <c r="P47" i="34"/>
  <c r="O48" i="34"/>
  <c r="N59" i="36"/>
  <c r="M60" i="36"/>
  <c r="P57" i="36"/>
  <c r="M50" i="34"/>
  <c r="N49" i="34"/>
  <c r="K52" i="34"/>
  <c r="Q56" i="36"/>
  <c r="K62" i="36"/>
  <c r="L61" i="36"/>
  <c r="O58" i="36"/>
  <c r="Q46" i="34"/>
  <c r="L51" i="34"/>
  <c r="R56" i="36" l="1"/>
  <c r="J56" i="36" a="1"/>
  <c r="J56" i="36" s="1"/>
  <c r="B63" i="36"/>
  <c r="C62" i="36"/>
  <c r="F59" i="36"/>
  <c r="H57" i="36"/>
  <c r="D61" i="36"/>
  <c r="G58" i="36"/>
  <c r="E60" i="36"/>
  <c r="G48" i="34"/>
  <c r="E50" i="34"/>
  <c r="D51" i="34"/>
  <c r="H47" i="34"/>
  <c r="J46" i="34" a="1"/>
  <c r="J46" i="34" s="1"/>
  <c r="F49" i="34"/>
  <c r="B53" i="34"/>
  <c r="C52" i="34"/>
  <c r="P58" i="36"/>
  <c r="O49" i="34"/>
  <c r="Q47" i="34"/>
  <c r="K63" i="36"/>
  <c r="M61" i="36"/>
  <c r="Q57" i="36"/>
  <c r="P48" i="34"/>
  <c r="N60" i="36"/>
  <c r="N50" i="34"/>
  <c r="K53" i="34"/>
  <c r="M51" i="34"/>
  <c r="L52" i="34"/>
  <c r="O59" i="36"/>
  <c r="L62" i="36"/>
  <c r="R57" i="36" l="1"/>
  <c r="B64" i="36"/>
  <c r="C63" i="36"/>
  <c r="F60" i="36"/>
  <c r="D62" i="36"/>
  <c r="H58" i="36"/>
  <c r="J57" i="36" a="1"/>
  <c r="J57" i="36" s="1"/>
  <c r="E61" i="36"/>
  <c r="G59" i="36"/>
  <c r="D52" i="34"/>
  <c r="G49" i="34"/>
  <c r="E51" i="34"/>
  <c r="B54" i="34"/>
  <c r="C53" i="34"/>
  <c r="H48" i="34"/>
  <c r="J47" i="34" a="1"/>
  <c r="J47" i="34" s="1"/>
  <c r="F50" i="34"/>
  <c r="Q58" i="36"/>
  <c r="Q48" i="34"/>
  <c r="O60" i="36"/>
  <c r="M52" i="34"/>
  <c r="O50" i="34"/>
  <c r="K54" i="34"/>
  <c r="L53" i="34"/>
  <c r="P49" i="34"/>
  <c r="L63" i="36"/>
  <c r="M62" i="36"/>
  <c r="P59" i="36"/>
  <c r="N51" i="34"/>
  <c r="K64" i="36"/>
  <c r="N61" i="36"/>
  <c r="R58" i="36" l="1"/>
  <c r="J58" i="36" a="1"/>
  <c r="J58" i="36" s="1"/>
  <c r="E62" i="36"/>
  <c r="D63" i="36"/>
  <c r="F61" i="36"/>
  <c r="G60" i="36"/>
  <c r="C64" i="36"/>
  <c r="B65" i="36"/>
  <c r="H59" i="36"/>
  <c r="J59" i="36" a="1"/>
  <c r="J59" i="36" s="1"/>
  <c r="B55" i="34"/>
  <c r="C54" i="34"/>
  <c r="F51" i="34"/>
  <c r="H49" i="34"/>
  <c r="G50" i="34"/>
  <c r="D53" i="34"/>
  <c r="J48" i="34" a="1"/>
  <c r="J48" i="34" s="1"/>
  <c r="E52" i="34"/>
  <c r="N52" i="34"/>
  <c r="M53" i="34"/>
  <c r="P50" i="34"/>
  <c r="L64" i="36"/>
  <c r="L54" i="34"/>
  <c r="Q59" i="36"/>
  <c r="K55" i="34"/>
  <c r="O51" i="34"/>
  <c r="O61" i="36"/>
  <c r="Q49" i="34"/>
  <c r="M63" i="36"/>
  <c r="N62" i="36"/>
  <c r="P60" i="36"/>
  <c r="K65" i="36"/>
  <c r="R59" i="36" l="1"/>
  <c r="H60" i="36"/>
  <c r="F62" i="36"/>
  <c r="D64" i="36"/>
  <c r="E63" i="36"/>
  <c r="B66" i="36"/>
  <c r="C65" i="36"/>
  <c r="J60" i="36" a="1"/>
  <c r="J60" i="36" s="1"/>
  <c r="G61" i="36"/>
  <c r="J49" i="34" a="1"/>
  <c r="J49" i="34" s="1"/>
  <c r="H50" i="34"/>
  <c r="G51" i="34"/>
  <c r="B56" i="34"/>
  <c r="C55" i="34"/>
  <c r="F52" i="34"/>
  <c r="E53" i="34"/>
  <c r="D54" i="34"/>
  <c r="M64" i="36"/>
  <c r="O52" i="34"/>
  <c r="L55" i="34"/>
  <c r="K66" i="36"/>
  <c r="N63" i="36"/>
  <c r="N53" i="34"/>
  <c r="P51" i="34"/>
  <c r="P61" i="36"/>
  <c r="O62" i="36"/>
  <c r="M54" i="34"/>
  <c r="L65" i="36"/>
  <c r="Q50" i="34"/>
  <c r="K56" i="34"/>
  <c r="Q60" i="36"/>
  <c r="R60" i="36" l="1"/>
  <c r="E64" i="36"/>
  <c r="B67" i="36"/>
  <c r="C66" i="36"/>
  <c r="D65" i="36"/>
  <c r="F63" i="36"/>
  <c r="G62" i="36"/>
  <c r="H61" i="36"/>
  <c r="B57" i="34"/>
  <c r="C56" i="34"/>
  <c r="F53" i="34"/>
  <c r="D55" i="34"/>
  <c r="H51" i="34"/>
  <c r="G52" i="34"/>
  <c r="E54" i="34"/>
  <c r="J50" i="34" a="1"/>
  <c r="J50" i="34" s="1"/>
  <c r="K67" i="36"/>
  <c r="L56" i="34"/>
  <c r="P62" i="36"/>
  <c r="O63" i="36"/>
  <c r="M55" i="34"/>
  <c r="O53" i="34"/>
  <c r="N54" i="34"/>
  <c r="P52" i="34"/>
  <c r="K57" i="34"/>
  <c r="M65" i="36"/>
  <c r="Q61" i="36"/>
  <c r="Q51" i="34"/>
  <c r="L66" i="36"/>
  <c r="N64" i="36"/>
  <c r="R61" i="36" l="1"/>
  <c r="H62" i="36"/>
  <c r="D66" i="36"/>
  <c r="F64" i="36"/>
  <c r="E65" i="36"/>
  <c r="J61" i="36" a="1"/>
  <c r="J61" i="36" s="1"/>
  <c r="B68" i="36"/>
  <c r="C67" i="36"/>
  <c r="G63" i="36"/>
  <c r="J51" i="34" a="1"/>
  <c r="J51" i="34" s="1"/>
  <c r="H52" i="34"/>
  <c r="E55" i="34"/>
  <c r="D56" i="34"/>
  <c r="F54" i="34"/>
  <c r="G53" i="34"/>
  <c r="B58" i="34"/>
  <c r="C57" i="34"/>
  <c r="N65" i="36"/>
  <c r="P53" i="34"/>
  <c r="L57" i="34"/>
  <c r="Q62" i="36"/>
  <c r="K68" i="36"/>
  <c r="O54" i="34"/>
  <c r="Q52" i="34"/>
  <c r="O64" i="36"/>
  <c r="M66" i="36"/>
  <c r="P63" i="36"/>
  <c r="K58" i="34"/>
  <c r="L67" i="36"/>
  <c r="M56" i="34"/>
  <c r="N55" i="34"/>
  <c r="R62" i="36" l="1"/>
  <c r="J62" i="36" a="1"/>
  <c r="J62" i="36" s="1"/>
  <c r="G64" i="36"/>
  <c r="H63" i="36"/>
  <c r="J63" i="36" s="1" a="1"/>
  <c r="J63" i="36" s="1"/>
  <c r="F65" i="36"/>
  <c r="E66" i="36"/>
  <c r="B69" i="36"/>
  <c r="C68" i="36"/>
  <c r="D67" i="36"/>
  <c r="H53" i="34"/>
  <c r="D57" i="34"/>
  <c r="G54" i="34"/>
  <c r="F55" i="34"/>
  <c r="B59" i="34"/>
  <c r="C58" i="34"/>
  <c r="E56" i="34"/>
  <c r="J52" i="34" a="1"/>
  <c r="J52" i="34" s="1"/>
  <c r="M67" i="36"/>
  <c r="Q53" i="34"/>
  <c r="M57" i="34"/>
  <c r="O55" i="34"/>
  <c r="Q63" i="36"/>
  <c r="L68" i="36"/>
  <c r="P54" i="34"/>
  <c r="N56" i="34"/>
  <c r="K59" i="34"/>
  <c r="P64" i="36"/>
  <c r="L58" i="34"/>
  <c r="O65" i="36"/>
  <c r="K69" i="36"/>
  <c r="N66" i="36"/>
  <c r="R63" i="36" l="1"/>
  <c r="H64" i="36"/>
  <c r="J64" i="36" s="1" a="1"/>
  <c r="J64" i="36" s="1"/>
  <c r="D68" i="36"/>
  <c r="F66" i="36"/>
  <c r="E67" i="36"/>
  <c r="B70" i="36"/>
  <c r="C69" i="36"/>
  <c r="G65" i="36"/>
  <c r="J53" i="34" a="1"/>
  <c r="J53" i="34" s="1"/>
  <c r="B60" i="34"/>
  <c r="C59" i="34"/>
  <c r="H54" i="34"/>
  <c r="E57" i="34"/>
  <c r="F56" i="34"/>
  <c r="D58" i="34"/>
  <c r="G55" i="34"/>
  <c r="L59" i="34"/>
  <c r="L69" i="36"/>
  <c r="Q54" i="34"/>
  <c r="M68" i="36"/>
  <c r="N57" i="34"/>
  <c r="P55" i="34"/>
  <c r="O56" i="34"/>
  <c r="M58" i="34"/>
  <c r="O66" i="36"/>
  <c r="K60" i="34"/>
  <c r="Q64" i="36"/>
  <c r="K70" i="36"/>
  <c r="P65" i="36"/>
  <c r="N67" i="36"/>
  <c r="R64" i="36" l="1"/>
  <c r="B71" i="36"/>
  <c r="C70" i="36"/>
  <c r="G66" i="36"/>
  <c r="H65" i="36"/>
  <c r="F67" i="36"/>
  <c r="E68" i="36"/>
  <c r="D69" i="36"/>
  <c r="J54" i="34" a="1"/>
  <c r="J54" i="34" s="1"/>
  <c r="H55" i="34"/>
  <c r="G56" i="34"/>
  <c r="B61" i="34"/>
  <c r="C60" i="34"/>
  <c r="F57" i="34"/>
  <c r="D59" i="34"/>
  <c r="E58" i="34"/>
  <c r="Q55" i="34"/>
  <c r="L70" i="36"/>
  <c r="O57" i="34"/>
  <c r="N58" i="34"/>
  <c r="P66" i="36"/>
  <c r="P56" i="34"/>
  <c r="K71" i="36"/>
  <c r="N68" i="36"/>
  <c r="M69" i="36"/>
  <c r="M59" i="34"/>
  <c r="L60" i="34"/>
  <c r="Q65" i="36"/>
  <c r="O67" i="36"/>
  <c r="K61" i="34"/>
  <c r="R65" i="36" l="1"/>
  <c r="F68" i="36"/>
  <c r="J65" i="36" a="1"/>
  <c r="J65" i="36" s="1"/>
  <c r="D70" i="36"/>
  <c r="E69" i="36"/>
  <c r="G67" i="36"/>
  <c r="H66" i="36"/>
  <c r="B72" i="36"/>
  <c r="C71" i="36"/>
  <c r="G57" i="34"/>
  <c r="B62" i="34"/>
  <c r="C61" i="34"/>
  <c r="F58" i="34"/>
  <c r="J55" i="34" a="1"/>
  <c r="J55" i="34" s="1"/>
  <c r="D60" i="34"/>
  <c r="H56" i="34"/>
  <c r="E59" i="34"/>
  <c r="Q56" i="34"/>
  <c r="P67" i="36"/>
  <c r="L71" i="36"/>
  <c r="O68" i="36"/>
  <c r="Q66" i="36"/>
  <c r="K72" i="36"/>
  <c r="N69" i="36"/>
  <c r="L61" i="34"/>
  <c r="O58" i="34"/>
  <c r="M60" i="34"/>
  <c r="N59" i="34"/>
  <c r="K62" i="34"/>
  <c r="P57" i="34"/>
  <c r="M70" i="36"/>
  <c r="R66" i="36" l="1"/>
  <c r="F69" i="36"/>
  <c r="B73" i="36"/>
  <c r="C72" i="36"/>
  <c r="H67" i="36"/>
  <c r="E70" i="36"/>
  <c r="D71" i="36"/>
  <c r="J66" i="36" a="1"/>
  <c r="J66" i="36" s="1"/>
  <c r="G68" i="36"/>
  <c r="F59" i="34"/>
  <c r="E60" i="34"/>
  <c r="D61" i="34"/>
  <c r="H57" i="34"/>
  <c r="G58" i="34"/>
  <c r="B63" i="34"/>
  <c r="C62" i="34"/>
  <c r="J56" i="34" a="1"/>
  <c r="J56" i="34" s="1"/>
  <c r="N60" i="34"/>
  <c r="K63" i="34"/>
  <c r="K73" i="36"/>
  <c r="O59" i="34"/>
  <c r="Q57" i="34"/>
  <c r="L62" i="34"/>
  <c r="P58" i="34"/>
  <c r="M61" i="34"/>
  <c r="M71" i="36"/>
  <c r="P68" i="36"/>
  <c r="O69" i="36"/>
  <c r="L72" i="36"/>
  <c r="N70" i="36"/>
  <c r="Q67" i="36"/>
  <c r="K18" i="36" l="1"/>
  <c r="R67" i="36"/>
  <c r="E71" i="36"/>
  <c r="J67" i="36" a="1"/>
  <c r="J67" i="36" s="1"/>
  <c r="H68" i="36"/>
  <c r="D72" i="36"/>
  <c r="C73" i="36"/>
  <c r="F70" i="36"/>
  <c r="G69" i="36"/>
  <c r="D62" i="34"/>
  <c r="E61" i="34"/>
  <c r="G59" i="34"/>
  <c r="H58" i="34"/>
  <c r="B64" i="34"/>
  <c r="C63" i="34"/>
  <c r="J57" i="34" a="1"/>
  <c r="J57" i="34" s="1"/>
  <c r="F60" i="34"/>
  <c r="N61" i="34"/>
  <c r="K64" i="34"/>
  <c r="O70" i="36"/>
  <c r="N71" i="36"/>
  <c r="P59" i="34"/>
  <c r="Q58" i="34"/>
  <c r="P69" i="36"/>
  <c r="L63" i="34"/>
  <c r="O60" i="34"/>
  <c r="M62" i="34"/>
  <c r="M72" i="36"/>
  <c r="L73" i="36"/>
  <c r="Q68" i="36"/>
  <c r="L18" i="36" l="1"/>
  <c r="R68" i="36"/>
  <c r="E72" i="36"/>
  <c r="F71" i="36"/>
  <c r="D73" i="36"/>
  <c r="H69" i="36"/>
  <c r="B19" i="36" s="1"/>
  <c r="K19" i="36" s="1"/>
  <c r="G70" i="36"/>
  <c r="J68" i="36" a="1"/>
  <c r="J68" i="36" s="1"/>
  <c r="K9" i="34"/>
  <c r="H59" i="34"/>
  <c r="G60" i="34"/>
  <c r="D63" i="34"/>
  <c r="F61" i="34"/>
  <c r="E62" i="34"/>
  <c r="C64" i="34"/>
  <c r="J58" i="34" a="1"/>
  <c r="J58" i="34" s="1"/>
  <c r="M63" i="34"/>
  <c r="O61" i="34"/>
  <c r="N72" i="36"/>
  <c r="M73" i="36"/>
  <c r="P70" i="36"/>
  <c r="O71" i="36"/>
  <c r="L64" i="34"/>
  <c r="N62" i="34"/>
  <c r="P60" i="34"/>
  <c r="Q59" i="34"/>
  <c r="M18" i="36" l="1"/>
  <c r="H70" i="36"/>
  <c r="E73" i="36"/>
  <c r="J69" i="36" a="1"/>
  <c r="J69" i="36" s="1"/>
  <c r="F72" i="36"/>
  <c r="G71" i="36"/>
  <c r="L9" i="34"/>
  <c r="J59" i="34" a="1"/>
  <c r="J59" i="34" s="1"/>
  <c r="G61" i="34"/>
  <c r="H60" i="34"/>
  <c r="F62" i="34"/>
  <c r="E63" i="34"/>
  <c r="D64" i="34"/>
  <c r="N73" i="36"/>
  <c r="P61" i="34"/>
  <c r="O62" i="34"/>
  <c r="O72" i="36"/>
  <c r="P71" i="36"/>
  <c r="Q70" i="36"/>
  <c r="Q69" i="36"/>
  <c r="M64" i="34"/>
  <c r="Q60" i="34"/>
  <c r="N63" i="34"/>
  <c r="R69" i="36" l="1"/>
  <c r="N18" i="36"/>
  <c r="R70" i="36"/>
  <c r="J70" i="36" a="1"/>
  <c r="J70" i="36" s="1"/>
  <c r="G72" i="36"/>
  <c r="H71" i="36"/>
  <c r="F73" i="36"/>
  <c r="M9" i="34"/>
  <c r="J60" i="34" a="1"/>
  <c r="J60" i="34" s="1"/>
  <c r="B10" i="34"/>
  <c r="K10" i="34" s="1"/>
  <c r="G62" i="34"/>
  <c r="H61" i="34"/>
  <c r="F63" i="34"/>
  <c r="E64" i="34"/>
  <c r="P62" i="34"/>
  <c r="Q71" i="36"/>
  <c r="N64" i="34"/>
  <c r="P72" i="36"/>
  <c r="O73" i="36"/>
  <c r="Q61" i="34"/>
  <c r="O63" i="34"/>
  <c r="O18" i="36" l="1"/>
  <c r="R71" i="36"/>
  <c r="G73" i="36"/>
  <c r="J71" i="36" a="1"/>
  <c r="J71" i="36" s="1"/>
  <c r="H72" i="36"/>
  <c r="N9" i="34"/>
  <c r="H62" i="34"/>
  <c r="F64" i="34"/>
  <c r="J61" i="34" a="1"/>
  <c r="J61" i="34" s="1"/>
  <c r="G63" i="34"/>
  <c r="P63" i="34"/>
  <c r="Q62" i="34"/>
  <c r="Q72" i="36"/>
  <c r="O64" i="34"/>
  <c r="P73" i="36"/>
  <c r="P18" i="36" l="1"/>
  <c r="R72" i="36"/>
  <c r="J72" i="36" a="1"/>
  <c r="J72" i="36" s="1"/>
  <c r="H73" i="36"/>
  <c r="O9" i="34"/>
  <c r="J62" i="34" a="1"/>
  <c r="J62" i="34" s="1"/>
  <c r="H63" i="34"/>
  <c r="G64" i="34"/>
  <c r="Q73" i="36"/>
  <c r="P64" i="34"/>
  <c r="Q63" i="34"/>
  <c r="Q18" i="36" l="1"/>
  <c r="L14" i="36"/>
  <c r="K14" i="36" s="1"/>
  <c r="L11" i="36"/>
  <c r="K11" i="36" s="1"/>
  <c r="L10" i="36"/>
  <c r="K10" i="36" s="1"/>
  <c r="R73" i="36"/>
  <c r="L13" i="36"/>
  <c r="K13" i="36" s="1"/>
  <c r="L15" i="36"/>
  <c r="K15" i="36" s="1"/>
  <c r="L12" i="36"/>
  <c r="K12" i="36" s="1"/>
  <c r="J73" i="36" a="1"/>
  <c r="J73" i="36" s="1"/>
  <c r="P9" i="34"/>
  <c r="H64" i="34"/>
  <c r="J63" i="34" a="1"/>
  <c r="J63" i="34" s="1"/>
  <c r="Q64" i="34"/>
  <c r="T22" i="36" l="1"/>
  <c r="AB21" i="36"/>
  <c r="U21" i="36"/>
  <c r="T20" i="36"/>
  <c r="AC20" i="36" s="1"/>
  <c r="Q9" i="34"/>
  <c r="T12" i="34"/>
  <c r="U12" i="34" s="1"/>
  <c r="J64" i="34" a="1"/>
  <c r="J64" i="34" s="1"/>
  <c r="AD12" i="34"/>
  <c r="AC22" i="36"/>
  <c r="AD21" i="36"/>
  <c r="T23" i="36" l="1"/>
  <c r="U22" i="36"/>
  <c r="V21" i="36"/>
  <c r="U20" i="36"/>
  <c r="AD20" i="36" s="1"/>
  <c r="T13" i="34"/>
  <c r="U13" i="34" s="1"/>
  <c r="AB12" i="34"/>
  <c r="T11" i="34"/>
  <c r="AC11" i="34" s="1"/>
  <c r="U11" i="34"/>
  <c r="AD11" i="34" s="1"/>
  <c r="V12" i="34"/>
  <c r="AC12" i="34"/>
  <c r="AC23" i="36"/>
  <c r="AC13" i="34"/>
  <c r="AD22" i="36"/>
  <c r="AE21" i="36"/>
  <c r="AD13" i="34"/>
  <c r="AE12" i="34"/>
  <c r="U23" i="36" l="1"/>
  <c r="T24" i="36"/>
  <c r="V20" i="36"/>
  <c r="AE20" i="36" s="1"/>
  <c r="W21" i="36"/>
  <c r="V22" i="36"/>
  <c r="T14" i="34"/>
  <c r="T15" i="34" s="1"/>
  <c r="W12" i="34"/>
  <c r="V11" i="34"/>
  <c r="AE11" i="34" s="1"/>
  <c r="V13" i="34"/>
  <c r="AE22" i="36"/>
  <c r="AD23" i="36"/>
  <c r="AF12" i="34"/>
  <c r="AC14" i="34"/>
  <c r="AE13" i="34"/>
  <c r="AF21" i="36"/>
  <c r="AC15" i="34"/>
  <c r="AC24" i="36"/>
  <c r="V23" i="36" l="1"/>
  <c r="W22" i="36"/>
  <c r="W20" i="36"/>
  <c r="AF20" i="36" s="1"/>
  <c r="X21" i="36"/>
  <c r="T25" i="36"/>
  <c r="U24" i="36"/>
  <c r="U14" i="34"/>
  <c r="V14" i="34" s="1"/>
  <c r="X12" i="34"/>
  <c r="W11" i="34"/>
  <c r="AF11" i="34" s="1"/>
  <c r="W13" i="34"/>
  <c r="U15" i="34"/>
  <c r="T16" i="34"/>
  <c r="AE23" i="36"/>
  <c r="AF22" i="36"/>
  <c r="AC25" i="36"/>
  <c r="AG21" i="36"/>
  <c r="AD15" i="34"/>
  <c r="AG12" i="34"/>
  <c r="AD24" i="36"/>
  <c r="AC16" i="34"/>
  <c r="AE14" i="34"/>
  <c r="AF13" i="34"/>
  <c r="W23" i="36" l="1"/>
  <c r="T26" i="36"/>
  <c r="U25" i="36"/>
  <c r="Y21" i="36"/>
  <c r="X20" i="36"/>
  <c r="AG20" i="36" s="1"/>
  <c r="X22" i="36"/>
  <c r="V24" i="36"/>
  <c r="U16" i="34"/>
  <c r="T17" i="34"/>
  <c r="X13" i="34"/>
  <c r="V15" i="34"/>
  <c r="W14" i="34"/>
  <c r="Y12" i="34"/>
  <c r="X11" i="34"/>
  <c r="AG11" i="34" s="1"/>
  <c r="AG13" i="34"/>
  <c r="AE24" i="36"/>
  <c r="AC26" i="36"/>
  <c r="AC17" i="34"/>
  <c r="AF14" i="34"/>
  <c r="AH12" i="34"/>
  <c r="AD16" i="34"/>
  <c r="AD14" i="34"/>
  <c r="AF23" i="36"/>
  <c r="AD25" i="36"/>
  <c r="AG22" i="36"/>
  <c r="AH21" i="36"/>
  <c r="AE15" i="34"/>
  <c r="Z21" i="36" l="1"/>
  <c r="Y20" i="36"/>
  <c r="AH20" i="36" s="1"/>
  <c r="T27" i="36"/>
  <c r="U26" i="36"/>
  <c r="X23" i="36"/>
  <c r="Y22" i="36"/>
  <c r="W24" i="36"/>
  <c r="V25" i="36"/>
  <c r="X14" i="34"/>
  <c r="T18" i="34"/>
  <c r="U17" i="34"/>
  <c r="W15" i="34"/>
  <c r="V16" i="34"/>
  <c r="Z12" i="34"/>
  <c r="Y11" i="34"/>
  <c r="AH11" i="34" s="1"/>
  <c r="Y13" i="34"/>
  <c r="AH13" i="34"/>
  <c r="AI12" i="34"/>
  <c r="AI21" i="36"/>
  <c r="AC27" i="36"/>
  <c r="AD26" i="36"/>
  <c r="AF24" i="36"/>
  <c r="AC18" i="34"/>
  <c r="AE16" i="34"/>
  <c r="AG23" i="36"/>
  <c r="AF15" i="34"/>
  <c r="AD17" i="34"/>
  <c r="AE25" i="36"/>
  <c r="AG14" i="34"/>
  <c r="AH22" i="36"/>
  <c r="AJ21" i="36" l="1"/>
  <c r="V26" i="36"/>
  <c r="X24" i="36"/>
  <c r="W25" i="36"/>
  <c r="Y23" i="36"/>
  <c r="T28" i="36"/>
  <c r="U27" i="36"/>
  <c r="Z20" i="36"/>
  <c r="AI20" i="36" s="1"/>
  <c r="Z22" i="36"/>
  <c r="V17" i="34"/>
  <c r="W16" i="34"/>
  <c r="T19" i="34"/>
  <c r="U18" i="34"/>
  <c r="Z11" i="34"/>
  <c r="AI11" i="34" s="1"/>
  <c r="Z13" i="34"/>
  <c r="X15" i="34"/>
  <c r="Y14" i="34"/>
  <c r="AI13" i="34"/>
  <c r="AI22" i="36"/>
  <c r="AF25" i="36"/>
  <c r="AH14" i="34"/>
  <c r="AD27" i="36"/>
  <c r="AC28" i="36"/>
  <c r="AD18" i="34"/>
  <c r="AF16" i="34"/>
  <c r="AH23" i="36"/>
  <c r="AG24" i="36"/>
  <c r="AC19" i="34"/>
  <c r="AG15" i="34"/>
  <c r="AE17" i="34"/>
  <c r="AE26" i="36"/>
  <c r="AJ22" i="36" l="1"/>
  <c r="T29" i="36"/>
  <c r="U28" i="36"/>
  <c r="Y24" i="36"/>
  <c r="X25" i="36"/>
  <c r="W26" i="36"/>
  <c r="V27" i="36"/>
  <c r="T19" i="36"/>
  <c r="AC19" i="36" s="1"/>
  <c r="AB22" i="36" a="1"/>
  <c r="AB22" i="36" s="1"/>
  <c r="Z23" i="36"/>
  <c r="Z14" i="34"/>
  <c r="X16" i="34"/>
  <c r="Y15" i="34"/>
  <c r="V18" i="34"/>
  <c r="W17" i="34"/>
  <c r="AB13" i="34" a="1"/>
  <c r="AB13" i="34" s="1"/>
  <c r="U19" i="34"/>
  <c r="T20" i="34"/>
  <c r="AE27" i="36"/>
  <c r="AF17" i="34"/>
  <c r="AG25" i="36"/>
  <c r="AC20" i="34"/>
  <c r="AH15" i="34"/>
  <c r="AG16" i="34"/>
  <c r="AI14" i="34"/>
  <c r="AF26" i="36"/>
  <c r="AC29" i="36"/>
  <c r="AE18" i="34"/>
  <c r="AD19" i="34"/>
  <c r="AI23" i="36"/>
  <c r="AD28" i="36"/>
  <c r="AH24" i="36"/>
  <c r="AJ23" i="36" l="1"/>
  <c r="W27" i="36"/>
  <c r="Y25" i="36"/>
  <c r="T30" i="36"/>
  <c r="U29" i="36"/>
  <c r="X26" i="36"/>
  <c r="V28" i="36"/>
  <c r="AB23" i="36" a="1"/>
  <c r="AB23" i="36" s="1"/>
  <c r="Z24" i="36"/>
  <c r="V19" i="34"/>
  <c r="Z15" i="34"/>
  <c r="X17" i="34"/>
  <c r="Y16" i="34"/>
  <c r="U20" i="34"/>
  <c r="T21" i="34"/>
  <c r="W18" i="34"/>
  <c r="AB14" i="34" a="1"/>
  <c r="AB14" i="34" s="1"/>
  <c r="AE19" i="34"/>
  <c r="AG17" i="34"/>
  <c r="AG26" i="36"/>
  <c r="AD20" i="34"/>
  <c r="AC30" i="36"/>
  <c r="AF18" i="34"/>
  <c r="AI15" i="34"/>
  <c r="AH25" i="36"/>
  <c r="AF27" i="36"/>
  <c r="AD29" i="36"/>
  <c r="AH16" i="34"/>
  <c r="AE28" i="36"/>
  <c r="AI24" i="36"/>
  <c r="AC21" i="34"/>
  <c r="AJ24" i="36" l="1"/>
  <c r="AB24" i="36" a="1"/>
  <c r="AB24" i="36" s="1"/>
  <c r="T31" i="36"/>
  <c r="U30" i="36"/>
  <c r="X27" i="36"/>
  <c r="Z25" i="36"/>
  <c r="Y26" i="36"/>
  <c r="V29" i="36"/>
  <c r="W28" i="36"/>
  <c r="V20" i="34"/>
  <c r="Y17" i="34"/>
  <c r="X18" i="34"/>
  <c r="Z16" i="34"/>
  <c r="AB15" i="34" a="1"/>
  <c r="AB15" i="34" s="1"/>
  <c r="U21" i="34"/>
  <c r="T22" i="34"/>
  <c r="W19" i="34"/>
  <c r="AF28" i="36"/>
  <c r="AD21" i="34"/>
  <c r="AH17" i="34"/>
  <c r="AI16" i="34"/>
  <c r="AC31" i="36"/>
  <c r="AF19" i="34"/>
  <c r="AG18" i="34"/>
  <c r="AE20" i="34"/>
  <c r="AE29" i="36"/>
  <c r="AG27" i="36"/>
  <c r="AD30" i="36"/>
  <c r="AI25" i="36"/>
  <c r="AH26" i="36"/>
  <c r="AC22" i="34"/>
  <c r="AJ25" i="36" l="1"/>
  <c r="X28" i="36"/>
  <c r="Z26" i="36"/>
  <c r="Y27" i="36"/>
  <c r="T32" i="36"/>
  <c r="U31" i="36"/>
  <c r="W29" i="36"/>
  <c r="AB25" i="36" a="1"/>
  <c r="AB25" i="36" s="1"/>
  <c r="V30" i="36"/>
  <c r="T23" i="34"/>
  <c r="U22" i="34"/>
  <c r="X19" i="34"/>
  <c r="V21" i="34"/>
  <c r="Y18" i="34"/>
  <c r="Z17" i="34"/>
  <c r="AB16" i="34" a="1"/>
  <c r="AB16" i="34" s="1"/>
  <c r="W20" i="34"/>
  <c r="AE21" i="34"/>
  <c r="AI17" i="34"/>
  <c r="AI26" i="36"/>
  <c r="AG19" i="34"/>
  <c r="AF29" i="36"/>
  <c r="AE30" i="36"/>
  <c r="AC23" i="34"/>
  <c r="AH18" i="34"/>
  <c r="AG28" i="36"/>
  <c r="AD22" i="34"/>
  <c r="AH27" i="36"/>
  <c r="AF20" i="34"/>
  <c r="AC32" i="36"/>
  <c r="AD31" i="36"/>
  <c r="AJ26" i="36" l="1"/>
  <c r="AB26" i="36" a="1"/>
  <c r="AB26" i="36" s="1"/>
  <c r="X29" i="36"/>
  <c r="T33" i="36"/>
  <c r="U32" i="36"/>
  <c r="V31" i="36"/>
  <c r="Z27" i="36"/>
  <c r="W30" i="36"/>
  <c r="Y28" i="36"/>
  <c r="AB17" i="34" a="1"/>
  <c r="AB17" i="34" s="1"/>
  <c r="Y19" i="34"/>
  <c r="Z18" i="34"/>
  <c r="W21" i="34"/>
  <c r="V22" i="34"/>
  <c r="X20" i="34"/>
  <c r="U23" i="34"/>
  <c r="T24" i="34"/>
  <c r="AH19" i="34"/>
  <c r="AG20" i="34"/>
  <c r="AF30" i="36"/>
  <c r="AI27" i="36"/>
  <c r="AF21" i="34"/>
  <c r="AI18" i="34"/>
  <c r="AE22" i="34"/>
  <c r="AE31" i="36"/>
  <c r="AH28" i="36"/>
  <c r="AG29" i="36"/>
  <c r="AD23" i="34"/>
  <c r="AD32" i="36"/>
  <c r="AC24" i="34"/>
  <c r="AC33" i="36"/>
  <c r="AJ27" i="36" l="1"/>
  <c r="AB27" i="36" a="1"/>
  <c r="AB27" i="36" s="1"/>
  <c r="X30" i="36"/>
  <c r="Z28" i="36"/>
  <c r="W31" i="36"/>
  <c r="T34" i="36"/>
  <c r="U33" i="36"/>
  <c r="V32" i="36"/>
  <c r="Y29" i="36"/>
  <c r="U24" i="34"/>
  <c r="T25" i="34"/>
  <c r="W22" i="34"/>
  <c r="V23" i="34"/>
  <c r="X21" i="34"/>
  <c r="AB18" i="34" a="1"/>
  <c r="AB18" i="34" s="1"/>
  <c r="Y20" i="34"/>
  <c r="Z19" i="34"/>
  <c r="AI28" i="36"/>
  <c r="AH29" i="36"/>
  <c r="AF31" i="36"/>
  <c r="AF22" i="34"/>
  <c r="AC34" i="36"/>
  <c r="AE32" i="36"/>
  <c r="AC25" i="34"/>
  <c r="AD24" i="34"/>
  <c r="AD33" i="36"/>
  <c r="AG21" i="34"/>
  <c r="AE23" i="34"/>
  <c r="AH20" i="34"/>
  <c r="AG30" i="36"/>
  <c r="AI19" i="34"/>
  <c r="AJ28" i="36" l="1"/>
  <c r="Y30" i="36"/>
  <c r="T35" i="36"/>
  <c r="U34" i="36"/>
  <c r="AB28" i="36" a="1"/>
  <c r="AB28" i="36" s="1"/>
  <c r="W32" i="36"/>
  <c r="Z29" i="36"/>
  <c r="V33" i="36"/>
  <c r="X31" i="36"/>
  <c r="AB19" i="34" a="1"/>
  <c r="AB19" i="34" s="1"/>
  <c r="X22" i="34"/>
  <c r="Z20" i="34"/>
  <c r="Y21" i="34"/>
  <c r="W23" i="34"/>
  <c r="U25" i="34"/>
  <c r="T26" i="34"/>
  <c r="V24" i="34"/>
  <c r="AE33" i="36"/>
  <c r="AG31" i="36"/>
  <c r="AE24" i="34"/>
  <c r="AC35" i="36"/>
  <c r="AF32" i="36"/>
  <c r="AI29" i="36"/>
  <c r="AH21" i="34"/>
  <c r="AF23" i="34"/>
  <c r="AD25" i="34"/>
  <c r="AI20" i="34"/>
  <c r="AC26" i="34"/>
  <c r="AH30" i="36"/>
  <c r="AD34" i="36"/>
  <c r="AG22" i="34"/>
  <c r="AJ29" i="36" l="1"/>
  <c r="AB29" i="36" a="1"/>
  <c r="AB29" i="36" s="1"/>
  <c r="T36" i="36"/>
  <c r="U35" i="36"/>
  <c r="W33" i="36"/>
  <c r="Y31" i="36"/>
  <c r="X32" i="36"/>
  <c r="V34" i="36"/>
  <c r="Z30" i="36"/>
  <c r="AB20" i="34" a="1"/>
  <c r="AB20" i="34" s="1"/>
  <c r="V25" i="34"/>
  <c r="U26" i="34"/>
  <c r="T27" i="34"/>
  <c r="W24" i="34"/>
  <c r="X23" i="34"/>
  <c r="Y22" i="34"/>
  <c r="Z21" i="34"/>
  <c r="AH31" i="36"/>
  <c r="AE25" i="34"/>
  <c r="AI21" i="34"/>
  <c r="AI30" i="36"/>
  <c r="AG32" i="36"/>
  <c r="AE34" i="36"/>
  <c r="AC27" i="34"/>
  <c r="AD26" i="34"/>
  <c r="AF24" i="34"/>
  <c r="AF33" i="36"/>
  <c r="AG23" i="34"/>
  <c r="AC36" i="36"/>
  <c r="AD35" i="36"/>
  <c r="AH22" i="34"/>
  <c r="AJ30" i="36" l="1"/>
  <c r="T37" i="36"/>
  <c r="U36" i="36"/>
  <c r="X33" i="36"/>
  <c r="W34" i="36"/>
  <c r="AB30" i="36" a="1"/>
  <c r="AB30" i="36" s="1"/>
  <c r="Z31" i="36"/>
  <c r="V35" i="36"/>
  <c r="Y32" i="36"/>
  <c r="Y23" i="34"/>
  <c r="U27" i="34"/>
  <c r="T28" i="34"/>
  <c r="V26" i="34"/>
  <c r="AB21" i="34" a="1"/>
  <c r="AB21" i="34" s="1"/>
  <c r="Z22" i="34"/>
  <c r="X24" i="34"/>
  <c r="W25" i="34"/>
  <c r="AG33" i="36"/>
  <c r="AI22" i="34"/>
  <c r="AC28" i="34"/>
  <c r="AG24" i="34"/>
  <c r="AE35" i="36"/>
  <c r="AI31" i="36"/>
  <c r="AD27" i="34"/>
  <c r="AE26" i="34"/>
  <c r="AD36" i="36"/>
  <c r="AC37" i="36"/>
  <c r="AH23" i="34"/>
  <c r="AH32" i="36"/>
  <c r="AF34" i="36"/>
  <c r="AF25" i="34"/>
  <c r="AJ31" i="36" l="1"/>
  <c r="Z32" i="36"/>
  <c r="AB31" i="36" a="1"/>
  <c r="AB31" i="36" s="1"/>
  <c r="X34" i="36"/>
  <c r="V36" i="36"/>
  <c r="W35" i="36"/>
  <c r="Y33" i="36"/>
  <c r="T38" i="36"/>
  <c r="U37" i="36"/>
  <c r="Y24" i="34"/>
  <c r="AB22" i="34" a="1"/>
  <c r="AB22" i="34" s="1"/>
  <c r="U28" i="34"/>
  <c r="T29" i="34"/>
  <c r="V27" i="34"/>
  <c r="X25" i="34"/>
  <c r="W26" i="34"/>
  <c r="Z23" i="34"/>
  <c r="AD28" i="34"/>
  <c r="AC29" i="34"/>
  <c r="AE36" i="36"/>
  <c r="AE27" i="34"/>
  <c r="AI32" i="36"/>
  <c r="AF35" i="36"/>
  <c r="AG25" i="34"/>
  <c r="AF26" i="34"/>
  <c r="AC38" i="36"/>
  <c r="AH33" i="36"/>
  <c r="AD37" i="36"/>
  <c r="AG34" i="36"/>
  <c r="AI23" i="34"/>
  <c r="AH24" i="34"/>
  <c r="AJ32" i="36" l="1"/>
  <c r="X35" i="36"/>
  <c r="T39" i="36"/>
  <c r="U38" i="36"/>
  <c r="Y34" i="36"/>
  <c r="AB32" i="36" a="1"/>
  <c r="AB32" i="36" s="1"/>
  <c r="V37" i="36"/>
  <c r="Z33" i="36"/>
  <c r="W36" i="36"/>
  <c r="AB23" i="34" a="1"/>
  <c r="AB23" i="34" s="1"/>
  <c r="X26" i="34"/>
  <c r="V28" i="34"/>
  <c r="Y25" i="34"/>
  <c r="W27" i="34"/>
  <c r="T30" i="34"/>
  <c r="U29" i="34"/>
  <c r="Z24" i="34"/>
  <c r="AF36" i="36"/>
  <c r="AC30" i="34"/>
  <c r="AI24" i="34"/>
  <c r="AD29" i="34"/>
  <c r="AI33" i="36"/>
  <c r="AE28" i="34"/>
  <c r="AG26" i="34"/>
  <c r="AF27" i="34"/>
  <c r="AG35" i="36"/>
  <c r="AC39" i="36"/>
  <c r="AH25" i="34"/>
  <c r="AE37" i="36"/>
  <c r="AD38" i="36"/>
  <c r="AH34" i="36"/>
  <c r="AJ33" i="36" l="1"/>
  <c r="V38" i="36"/>
  <c r="Y35" i="36"/>
  <c r="AB33" i="36" a="1"/>
  <c r="AB33" i="36" s="1"/>
  <c r="X36" i="36"/>
  <c r="W37" i="36"/>
  <c r="Z34" i="36"/>
  <c r="T40" i="36"/>
  <c r="U39" i="36"/>
  <c r="V29" i="34"/>
  <c r="T31" i="34"/>
  <c r="U30" i="34"/>
  <c r="Z25" i="34"/>
  <c r="W28" i="34"/>
  <c r="X27" i="34"/>
  <c r="Y26" i="34"/>
  <c r="AB24" i="34" a="1"/>
  <c r="AB24" i="34" s="1"/>
  <c r="AC31" i="34"/>
  <c r="AD30" i="34"/>
  <c r="AE29" i="34"/>
  <c r="AH35" i="36"/>
  <c r="AG36" i="36"/>
  <c r="AG27" i="34"/>
  <c r="AD39" i="36"/>
  <c r="AH26" i="34"/>
  <c r="AI25" i="34"/>
  <c r="AC40" i="36"/>
  <c r="AE38" i="36"/>
  <c r="AF37" i="36"/>
  <c r="AF28" i="34"/>
  <c r="AI34" i="36"/>
  <c r="AJ34" i="36" l="1"/>
  <c r="AB34" i="36" a="1"/>
  <c r="AB34" i="36" s="1"/>
  <c r="V39" i="36"/>
  <c r="X37" i="36"/>
  <c r="W38" i="36"/>
  <c r="Z35" i="36"/>
  <c r="T41" i="36"/>
  <c r="U40" i="36"/>
  <c r="Y36" i="36"/>
  <c r="Y27" i="34"/>
  <c r="V30" i="34"/>
  <c r="X28" i="34"/>
  <c r="U31" i="34"/>
  <c r="T32" i="34"/>
  <c r="Z26" i="34"/>
  <c r="AB25" i="34" a="1"/>
  <c r="AB25" i="34" s="1"/>
  <c r="W29" i="34"/>
  <c r="AF38" i="36"/>
  <c r="AH36" i="36"/>
  <c r="AH27" i="34"/>
  <c r="AE30" i="34"/>
  <c r="AF29" i="34"/>
  <c r="AC41" i="36"/>
  <c r="AG37" i="36"/>
  <c r="AI26" i="34"/>
  <c r="AI35" i="36"/>
  <c r="AD31" i="34"/>
  <c r="AE39" i="36"/>
  <c r="AG28" i="34"/>
  <c r="AC32" i="34"/>
  <c r="AD40" i="36"/>
  <c r="AJ35" i="36" l="1"/>
  <c r="V40" i="36"/>
  <c r="X38" i="36"/>
  <c r="W39" i="36"/>
  <c r="T42" i="36"/>
  <c r="U41" i="36"/>
  <c r="Z36" i="36"/>
  <c r="AB35" i="36" a="1"/>
  <c r="AB35" i="36" s="1"/>
  <c r="Y37" i="36"/>
  <c r="W30" i="34"/>
  <c r="V31" i="34"/>
  <c r="Z27" i="34"/>
  <c r="X29" i="34"/>
  <c r="U32" i="34"/>
  <c r="T33" i="34"/>
  <c r="AB26" i="34" a="1"/>
  <c r="AB26" i="34" s="1"/>
  <c r="Y28" i="34"/>
  <c r="AD32" i="34"/>
  <c r="AI27" i="34"/>
  <c r="AI36" i="36"/>
  <c r="AF39" i="36"/>
  <c r="AC33" i="34"/>
  <c r="AH28" i="34"/>
  <c r="AC42" i="36"/>
  <c r="AD41" i="36"/>
  <c r="AE31" i="34"/>
  <c r="AF30" i="34"/>
  <c r="AG29" i="34"/>
  <c r="AH37" i="36"/>
  <c r="AE40" i="36"/>
  <c r="AG38" i="36"/>
  <c r="AJ36" i="36" l="1"/>
  <c r="AB36" i="36" a="1"/>
  <c r="AB36" i="36" s="1"/>
  <c r="Z37" i="36"/>
  <c r="T43" i="36"/>
  <c r="U42" i="36"/>
  <c r="Y38" i="36"/>
  <c r="X39" i="36"/>
  <c r="V41" i="36"/>
  <c r="W40" i="36"/>
  <c r="Y29" i="34"/>
  <c r="U33" i="34"/>
  <c r="T34" i="34"/>
  <c r="AB27" i="34" a="1"/>
  <c r="AB27" i="34" s="1"/>
  <c r="V32" i="34"/>
  <c r="W31" i="34"/>
  <c r="Z28" i="34"/>
  <c r="X30" i="34"/>
  <c r="AD33" i="34"/>
  <c r="AC34" i="34"/>
  <c r="AE32" i="34"/>
  <c r="AF31" i="34"/>
  <c r="AI28" i="34"/>
  <c r="AG30" i="34"/>
  <c r="AI37" i="36"/>
  <c r="AF40" i="36"/>
  <c r="AD42" i="36"/>
  <c r="AC43" i="36"/>
  <c r="AE41" i="36"/>
  <c r="AH29" i="34"/>
  <c r="AG39" i="36"/>
  <c r="AH38" i="36"/>
  <c r="AJ37" i="36" l="1"/>
  <c r="W41" i="36"/>
  <c r="Z38" i="36"/>
  <c r="T44" i="36"/>
  <c r="U43" i="36"/>
  <c r="X40" i="36"/>
  <c r="Y39" i="36"/>
  <c r="V42" i="36"/>
  <c r="AB37" i="36" a="1"/>
  <c r="AB37" i="36" s="1"/>
  <c r="AB28" i="34" a="1"/>
  <c r="AB28" i="34" s="1"/>
  <c r="T35" i="34"/>
  <c r="U34" i="34"/>
  <c r="X31" i="34"/>
  <c r="Y30" i="34"/>
  <c r="W32" i="34"/>
  <c r="V33" i="34"/>
  <c r="Z29" i="34"/>
  <c r="AG31" i="34"/>
  <c r="AF32" i="34"/>
  <c r="AE33" i="34"/>
  <c r="AH30" i="34"/>
  <c r="AC35" i="34"/>
  <c r="AD34" i="34"/>
  <c r="AC44" i="36"/>
  <c r="AE42" i="36"/>
  <c r="AF41" i="36"/>
  <c r="AI38" i="36"/>
  <c r="AG40" i="36"/>
  <c r="AD43" i="36"/>
  <c r="AH39" i="36"/>
  <c r="AI29" i="34"/>
  <c r="AJ38" i="36" l="1"/>
  <c r="Y40" i="36"/>
  <c r="Z39" i="36"/>
  <c r="T45" i="36"/>
  <c r="U44" i="36"/>
  <c r="X41" i="36"/>
  <c r="AB38" i="36" a="1"/>
  <c r="AB38" i="36" s="1"/>
  <c r="W42" i="36"/>
  <c r="V43" i="36"/>
  <c r="W33" i="34"/>
  <c r="Y31" i="34"/>
  <c r="X32" i="34"/>
  <c r="V34" i="34"/>
  <c r="AB29" i="34" a="1"/>
  <c r="AB29" i="34" s="1"/>
  <c r="Z30" i="34"/>
  <c r="T36" i="34"/>
  <c r="U35" i="34"/>
  <c r="AE43" i="36"/>
  <c r="AF33" i="34"/>
  <c r="AC36" i="34"/>
  <c r="AI39" i="36"/>
  <c r="AG41" i="36"/>
  <c r="AG32" i="34"/>
  <c r="AF42" i="36"/>
  <c r="AI30" i="34"/>
  <c r="AD44" i="36"/>
  <c r="AE34" i="34"/>
  <c r="AD35" i="34"/>
  <c r="AH31" i="34"/>
  <c r="AC45" i="36"/>
  <c r="AH40" i="36"/>
  <c r="AJ39" i="36" l="1"/>
  <c r="U45" i="36"/>
  <c r="T46" i="36"/>
  <c r="W43" i="36"/>
  <c r="X42" i="36"/>
  <c r="Y41" i="36"/>
  <c r="Z40" i="36"/>
  <c r="V44" i="36"/>
  <c r="AB39" i="36" a="1"/>
  <c r="AB39" i="36" s="1"/>
  <c r="U36" i="34"/>
  <c r="T37" i="34"/>
  <c r="Y32" i="34"/>
  <c r="AB30" i="34" a="1"/>
  <c r="AB30" i="34" s="1"/>
  <c r="Z31" i="34"/>
  <c r="V35" i="34"/>
  <c r="W34" i="34"/>
  <c r="X33" i="34"/>
  <c r="AE35" i="34"/>
  <c r="AI31" i="34"/>
  <c r="AD36" i="34"/>
  <c r="AC46" i="36"/>
  <c r="AH41" i="36"/>
  <c r="AG33" i="34"/>
  <c r="AF43" i="36"/>
  <c r="AG42" i="36"/>
  <c r="AC37" i="34"/>
  <c r="AD45" i="36"/>
  <c r="AH32" i="34"/>
  <c r="AE44" i="36"/>
  <c r="AF34" i="34"/>
  <c r="AI40" i="36"/>
  <c r="AJ40" i="36" l="1"/>
  <c r="W44" i="36"/>
  <c r="V45" i="36"/>
  <c r="X43" i="36"/>
  <c r="Y42" i="36"/>
  <c r="AB40" i="36" a="1"/>
  <c r="AB40" i="36" s="1"/>
  <c r="Z41" i="36"/>
  <c r="T47" i="36"/>
  <c r="U46" i="36"/>
  <c r="X34" i="34"/>
  <c r="Z32" i="34"/>
  <c r="W35" i="34"/>
  <c r="Y33" i="34"/>
  <c r="AB31" i="34" a="1"/>
  <c r="AB31" i="34" s="1"/>
  <c r="U37" i="34"/>
  <c r="T38" i="34"/>
  <c r="V36" i="34"/>
  <c r="AH42" i="36"/>
  <c r="AG34" i="34"/>
  <c r="AD46" i="36"/>
  <c r="AD37" i="34"/>
  <c r="AE36" i="34"/>
  <c r="AI41" i="36"/>
  <c r="AC47" i="36"/>
  <c r="AC38" i="34"/>
  <c r="AH33" i="34"/>
  <c r="AF44" i="36"/>
  <c r="AF35" i="34"/>
  <c r="AE45" i="36"/>
  <c r="AI32" i="34"/>
  <c r="AG43" i="36"/>
  <c r="AJ41" i="36" l="1"/>
  <c r="Y43" i="36"/>
  <c r="Z42" i="36"/>
  <c r="X44" i="36"/>
  <c r="V46" i="36"/>
  <c r="AB41" i="36" a="1"/>
  <c r="AB41" i="36" s="1"/>
  <c r="T48" i="36"/>
  <c r="U47" i="36"/>
  <c r="W45" i="36"/>
  <c r="X35" i="34"/>
  <c r="V37" i="34"/>
  <c r="AB32" i="34" a="1"/>
  <c r="AB32" i="34" s="1"/>
  <c r="W36" i="34"/>
  <c r="U38" i="34"/>
  <c r="T39" i="34"/>
  <c r="Z33" i="34"/>
  <c r="Y34" i="34"/>
  <c r="AF45" i="36"/>
  <c r="AE46" i="36"/>
  <c r="AC48" i="36"/>
  <c r="AI42" i="36"/>
  <c r="AF36" i="34"/>
  <c r="AE37" i="34"/>
  <c r="AH34" i="34"/>
  <c r="AG35" i="34"/>
  <c r="AD38" i="34"/>
  <c r="AD47" i="36"/>
  <c r="AC39" i="34"/>
  <c r="AH43" i="36"/>
  <c r="AG44" i="36"/>
  <c r="AI33" i="34"/>
  <c r="AJ42" i="36" l="1"/>
  <c r="T49" i="36"/>
  <c r="U48" i="36"/>
  <c r="Y44" i="36"/>
  <c r="Z43" i="36"/>
  <c r="X45" i="36"/>
  <c r="V47" i="36"/>
  <c r="W46" i="36"/>
  <c r="AB42" i="36" a="1"/>
  <c r="AB42" i="36" s="1"/>
  <c r="W37" i="34"/>
  <c r="V38" i="34"/>
  <c r="Z34" i="34"/>
  <c r="Y35" i="34"/>
  <c r="T40" i="34"/>
  <c r="U39" i="34"/>
  <c r="X36" i="34"/>
  <c r="AB33" i="34" a="1"/>
  <c r="AB33" i="34" s="1"/>
  <c r="AI34" i="34"/>
  <c r="AE38" i="34"/>
  <c r="AG45" i="36"/>
  <c r="AC49" i="36"/>
  <c r="AD39" i="34"/>
  <c r="AI43" i="36"/>
  <c r="AH44" i="36"/>
  <c r="AF37" i="34"/>
  <c r="AH35" i="34"/>
  <c r="AG36" i="34"/>
  <c r="AF46" i="36"/>
  <c r="AC40" i="34"/>
  <c r="AD48" i="36"/>
  <c r="AE47" i="36"/>
  <c r="AJ43" i="36" l="1"/>
  <c r="W47" i="36"/>
  <c r="Z44" i="36"/>
  <c r="T50" i="36"/>
  <c r="U49" i="36"/>
  <c r="Y45" i="36"/>
  <c r="AB43" i="36" a="1"/>
  <c r="AB43" i="36" s="1"/>
  <c r="X46" i="36"/>
  <c r="V48" i="36"/>
  <c r="AB34" i="34" a="1"/>
  <c r="AB34" i="34" s="1"/>
  <c r="Z35" i="34"/>
  <c r="V39" i="34"/>
  <c r="W38" i="34"/>
  <c r="U40" i="34"/>
  <c r="T41" i="34"/>
  <c r="X37" i="34"/>
  <c r="Y36" i="34"/>
  <c r="AF38" i="34"/>
  <c r="AI35" i="34"/>
  <c r="AE39" i="34"/>
  <c r="AC41" i="34"/>
  <c r="AF47" i="36"/>
  <c r="AE48" i="36"/>
  <c r="AG37" i="34"/>
  <c r="AG46" i="36"/>
  <c r="AD40" i="34"/>
  <c r="AH45" i="36"/>
  <c r="AC50" i="36"/>
  <c r="AH36" i="34"/>
  <c r="AD49" i="36"/>
  <c r="AI44" i="36"/>
  <c r="AJ44" i="36" l="1"/>
  <c r="W48" i="36"/>
  <c r="Y46" i="36"/>
  <c r="Z45" i="36"/>
  <c r="T51" i="36"/>
  <c r="U50" i="36"/>
  <c r="X47" i="36"/>
  <c r="V49" i="36"/>
  <c r="AB44" i="36" a="1"/>
  <c r="AB44" i="36" s="1"/>
  <c r="W39" i="34"/>
  <c r="Z36" i="34"/>
  <c r="T42" i="34"/>
  <c r="U41" i="34"/>
  <c r="AB35" i="34" a="1"/>
  <c r="AB35" i="34" s="1"/>
  <c r="V40" i="34"/>
  <c r="Y37" i="34"/>
  <c r="X38" i="34"/>
  <c r="AI45" i="36"/>
  <c r="AF39" i="34"/>
  <c r="AH37" i="34"/>
  <c r="AC42" i="34"/>
  <c r="AI36" i="34"/>
  <c r="AE40" i="34"/>
  <c r="AG38" i="34"/>
  <c r="AE49" i="36"/>
  <c r="AF48" i="36"/>
  <c r="AD41" i="34"/>
  <c r="AH46" i="36"/>
  <c r="AC51" i="36"/>
  <c r="AG47" i="36"/>
  <c r="AD50" i="36"/>
  <c r="AJ45" i="36" l="1"/>
  <c r="AB45" i="36" a="1"/>
  <c r="AB45" i="36" s="1"/>
  <c r="V50" i="36"/>
  <c r="Y47" i="36"/>
  <c r="Z46" i="36"/>
  <c r="W49" i="36"/>
  <c r="T52" i="36"/>
  <c r="U51" i="36"/>
  <c r="X48" i="36"/>
  <c r="W40" i="34"/>
  <c r="T43" i="34"/>
  <c r="U42" i="34"/>
  <c r="AB36" i="34" a="1"/>
  <c r="AB36" i="34" s="1"/>
  <c r="Y38" i="34"/>
  <c r="X39" i="34"/>
  <c r="Z37" i="34"/>
  <c r="V41" i="34"/>
  <c r="AG48" i="36"/>
  <c r="AF40" i="34"/>
  <c r="AH38" i="34"/>
  <c r="AD42" i="34"/>
  <c r="AI37" i="34"/>
  <c r="AC43" i="34"/>
  <c r="AF49" i="36"/>
  <c r="AG39" i="34"/>
  <c r="AH47" i="36"/>
  <c r="AE50" i="36"/>
  <c r="AI46" i="36"/>
  <c r="AD51" i="36"/>
  <c r="AE41" i="34"/>
  <c r="AC52" i="36"/>
  <c r="AJ46" i="36" l="1"/>
  <c r="T53" i="36"/>
  <c r="U52" i="36"/>
  <c r="AB46" i="36" a="1"/>
  <c r="AB46" i="36" s="1"/>
  <c r="W50" i="36"/>
  <c r="Y48" i="36"/>
  <c r="X49" i="36"/>
  <c r="V51" i="36"/>
  <c r="Z47" i="36"/>
  <c r="AB37" i="34" a="1"/>
  <c r="AB37" i="34" s="1"/>
  <c r="Y39" i="34"/>
  <c r="V42" i="34"/>
  <c r="W41" i="34"/>
  <c r="Z38" i="34"/>
  <c r="T44" i="34"/>
  <c r="U43" i="34"/>
  <c r="X40" i="34"/>
  <c r="AF41" i="34"/>
  <c r="AH39" i="34"/>
  <c r="AD43" i="34"/>
  <c r="AH48" i="36"/>
  <c r="AG49" i="36"/>
  <c r="AI47" i="36"/>
  <c r="AD52" i="36"/>
  <c r="AG40" i="34"/>
  <c r="AI38" i="34"/>
  <c r="AC53" i="36"/>
  <c r="AC44" i="34"/>
  <c r="AE42" i="34"/>
  <c r="AE51" i="36"/>
  <c r="AF50" i="36"/>
  <c r="AJ47" i="36" l="1"/>
  <c r="V52" i="36"/>
  <c r="T54" i="36"/>
  <c r="U53" i="36"/>
  <c r="Z48" i="36"/>
  <c r="W51" i="36"/>
  <c r="AB47" i="36" a="1"/>
  <c r="AB47" i="36" s="1"/>
  <c r="Y49" i="36"/>
  <c r="X50" i="36"/>
  <c r="X41" i="34"/>
  <c r="V43" i="34"/>
  <c r="W42" i="34"/>
  <c r="T45" i="34"/>
  <c r="U44" i="34"/>
  <c r="Y40" i="34"/>
  <c r="AB38" i="34" a="1"/>
  <c r="AB38" i="34" s="1"/>
  <c r="Z39" i="34"/>
  <c r="AI48" i="36"/>
  <c r="AG50" i="36"/>
  <c r="AE52" i="36"/>
  <c r="AI39" i="34"/>
  <c r="AG41" i="34"/>
  <c r="AD44" i="34"/>
  <c r="AF42" i="34"/>
  <c r="AC54" i="36"/>
  <c r="AC45" i="34"/>
  <c r="AH40" i="34"/>
  <c r="AD53" i="36"/>
  <c r="AE43" i="34"/>
  <c r="AH49" i="36"/>
  <c r="AF51" i="36"/>
  <c r="AJ48" i="36" l="1"/>
  <c r="U54" i="36"/>
  <c r="T55" i="36"/>
  <c r="Z49" i="36"/>
  <c r="W52" i="36"/>
  <c r="V53" i="36"/>
  <c r="X51" i="36"/>
  <c r="Y50" i="36"/>
  <c r="AB48" i="36" a="1"/>
  <c r="AB48" i="36" s="1"/>
  <c r="Z40" i="34"/>
  <c r="AB39" i="34" a="1"/>
  <c r="AB39" i="34" s="1"/>
  <c r="X42" i="34"/>
  <c r="V44" i="34"/>
  <c r="W43" i="34"/>
  <c r="U45" i="34"/>
  <c r="T46" i="34"/>
  <c r="Y41" i="34"/>
  <c r="AE53" i="36"/>
  <c r="AG42" i="34"/>
  <c r="AI49" i="36"/>
  <c r="AD45" i="34"/>
  <c r="AC55" i="36"/>
  <c r="AH50" i="36"/>
  <c r="AC46" i="34"/>
  <c r="AE44" i="34"/>
  <c r="AD54" i="36"/>
  <c r="AG51" i="36"/>
  <c r="AI40" i="34"/>
  <c r="AF43" i="34"/>
  <c r="AF52" i="36"/>
  <c r="AH41" i="34"/>
  <c r="AJ49" i="36" l="1"/>
  <c r="Z50" i="36"/>
  <c r="W53" i="36"/>
  <c r="AB49" i="36" a="1"/>
  <c r="AB49" i="36" s="1"/>
  <c r="V54" i="36"/>
  <c r="Y51" i="36"/>
  <c r="X52" i="36"/>
  <c r="T56" i="36"/>
  <c r="U55" i="36"/>
  <c r="T47" i="34"/>
  <c r="U46" i="34"/>
  <c r="Y42" i="34"/>
  <c r="V45" i="34"/>
  <c r="Z41" i="34"/>
  <c r="X43" i="34"/>
  <c r="AB40" i="34" a="1"/>
  <c r="AB40" i="34" s="1"/>
  <c r="W44" i="34"/>
  <c r="AC56" i="36"/>
  <c r="AH51" i="36"/>
  <c r="AD55" i="36"/>
  <c r="AH42" i="34"/>
  <c r="AC47" i="34"/>
  <c r="AI41" i="34"/>
  <c r="AG43" i="34"/>
  <c r="AD46" i="34"/>
  <c r="AE54" i="36"/>
  <c r="AF44" i="34"/>
  <c r="AI50" i="36"/>
  <c r="AE45" i="34"/>
  <c r="AG52" i="36"/>
  <c r="AF53" i="36"/>
  <c r="AJ50" i="36" l="1"/>
  <c r="W54" i="36"/>
  <c r="Y52" i="36"/>
  <c r="T57" i="36"/>
  <c r="U56" i="36"/>
  <c r="X53" i="36"/>
  <c r="Z51" i="36"/>
  <c r="V55" i="36"/>
  <c r="AB50" i="36" a="1"/>
  <c r="AB50" i="36" s="1"/>
  <c r="Y43" i="34"/>
  <c r="Z42" i="34"/>
  <c r="AB42" i="34" s="1" a="1"/>
  <c r="AB42" i="34" s="1"/>
  <c r="AB41" i="34" a="1"/>
  <c r="AB41" i="34" s="1"/>
  <c r="X44" i="34"/>
  <c r="W45" i="34"/>
  <c r="V46" i="34"/>
  <c r="T48" i="34"/>
  <c r="U47" i="34"/>
  <c r="AG44" i="34"/>
  <c r="AH43" i="34"/>
  <c r="AF54" i="36"/>
  <c r="AD56" i="36"/>
  <c r="AC57" i="36"/>
  <c r="AC48" i="34"/>
  <c r="AF45" i="34"/>
  <c r="AH52" i="36"/>
  <c r="AE55" i="36"/>
  <c r="AG53" i="36"/>
  <c r="AE46" i="34"/>
  <c r="AD47" i="34"/>
  <c r="AI51" i="36"/>
  <c r="AJ51" i="36" l="1"/>
  <c r="AB51" i="36" a="1"/>
  <c r="AB51" i="36" s="1"/>
  <c r="Y53" i="36"/>
  <c r="X54" i="36"/>
  <c r="T58" i="36"/>
  <c r="U57" i="36"/>
  <c r="W55" i="36"/>
  <c r="V56" i="36"/>
  <c r="Z52" i="36"/>
  <c r="V47" i="34"/>
  <c r="W46" i="34"/>
  <c r="U48" i="34"/>
  <c r="T49" i="34"/>
  <c r="X45" i="34"/>
  <c r="Y44" i="34"/>
  <c r="Z43" i="34"/>
  <c r="AF46" i="34"/>
  <c r="AC49" i="34"/>
  <c r="AD57" i="36"/>
  <c r="AE56" i="36"/>
  <c r="AG54" i="36"/>
  <c r="AF55" i="36"/>
  <c r="AG45" i="34"/>
  <c r="AE47" i="34"/>
  <c r="AH44" i="34"/>
  <c r="AI52" i="36"/>
  <c r="AD48" i="34"/>
  <c r="AI43" i="34"/>
  <c r="AI42" i="34"/>
  <c r="AC58" i="36"/>
  <c r="AH53" i="36"/>
  <c r="AJ52" i="36" l="1"/>
  <c r="T59" i="36"/>
  <c r="U58" i="36"/>
  <c r="X55" i="36"/>
  <c r="Z53" i="36"/>
  <c r="W56" i="36"/>
  <c r="AB52" i="36" a="1"/>
  <c r="AB52" i="36" s="1"/>
  <c r="Y54" i="36"/>
  <c r="V57" i="36"/>
  <c r="V48" i="34"/>
  <c r="Y45" i="34"/>
  <c r="X46" i="34"/>
  <c r="AB43" i="34" a="1"/>
  <c r="AB43" i="34" s="1"/>
  <c r="U49" i="34"/>
  <c r="T50" i="34"/>
  <c r="W47" i="34"/>
  <c r="Z44" i="34"/>
  <c r="AE57" i="36"/>
  <c r="AE48" i="34"/>
  <c r="AH45" i="34"/>
  <c r="AF47" i="34"/>
  <c r="AD49" i="34"/>
  <c r="AG55" i="36"/>
  <c r="AG46" i="34"/>
  <c r="AC59" i="36"/>
  <c r="AD58" i="36"/>
  <c r="AI53" i="36"/>
  <c r="AH54" i="36"/>
  <c r="AC50" i="34"/>
  <c r="AF56" i="36"/>
  <c r="AI44" i="34"/>
  <c r="AJ53" i="36" l="1"/>
  <c r="V58" i="36"/>
  <c r="Z54" i="36"/>
  <c r="T60" i="36"/>
  <c r="U59" i="36"/>
  <c r="W57" i="36"/>
  <c r="X56" i="36"/>
  <c r="Y55" i="36"/>
  <c r="AB53" i="36" a="1"/>
  <c r="AB53" i="36" s="1"/>
  <c r="Y46" i="34"/>
  <c r="AB44" i="34" a="1"/>
  <c r="AB44" i="34" s="1"/>
  <c r="U50" i="34"/>
  <c r="T51" i="34"/>
  <c r="Z45" i="34"/>
  <c r="X47" i="34"/>
  <c r="V49" i="34"/>
  <c r="W48" i="34"/>
  <c r="AG56" i="36"/>
  <c r="AH46" i="34"/>
  <c r="AI45" i="34"/>
  <c r="AH55" i="36"/>
  <c r="AD50" i="34"/>
  <c r="AG47" i="34"/>
  <c r="AC51" i="34"/>
  <c r="AF48" i="34"/>
  <c r="AE49" i="34"/>
  <c r="AF57" i="36"/>
  <c r="AI54" i="36"/>
  <c r="AC60" i="36"/>
  <c r="AD59" i="36"/>
  <c r="AE58" i="36"/>
  <c r="AJ54" i="36" l="1"/>
  <c r="X57" i="36"/>
  <c r="W58" i="36"/>
  <c r="U60" i="36"/>
  <c r="T61" i="36"/>
  <c r="Y56" i="36"/>
  <c r="V59" i="36"/>
  <c r="AB54" i="36" a="1"/>
  <c r="AB54" i="36" s="1"/>
  <c r="Z55" i="36"/>
  <c r="Y47" i="34"/>
  <c r="V50" i="34"/>
  <c r="X48" i="34"/>
  <c r="AB45" i="34" a="1"/>
  <c r="AB45" i="34" s="1"/>
  <c r="W49" i="34"/>
  <c r="U51" i="34"/>
  <c r="T52" i="34"/>
  <c r="Z46" i="34"/>
  <c r="AC61" i="36"/>
  <c r="AF49" i="34"/>
  <c r="AE50" i="34"/>
  <c r="AD60" i="36"/>
  <c r="AH56" i="36"/>
  <c r="AE59" i="36"/>
  <c r="AF58" i="36"/>
  <c r="AI46" i="34"/>
  <c r="AG57" i="36"/>
  <c r="AG48" i="34"/>
  <c r="AH47" i="34"/>
  <c r="AC52" i="34"/>
  <c r="AI55" i="36"/>
  <c r="AD51" i="34"/>
  <c r="AJ55" i="36" l="1"/>
  <c r="AB55" i="36" a="1"/>
  <c r="AB55" i="36" s="1"/>
  <c r="Z56" i="36"/>
  <c r="V60" i="36"/>
  <c r="Y57" i="36"/>
  <c r="W59" i="36"/>
  <c r="T62" i="36"/>
  <c r="U61" i="36"/>
  <c r="X58" i="36"/>
  <c r="Y48" i="34"/>
  <c r="U52" i="34"/>
  <c r="T53" i="34"/>
  <c r="V51" i="34"/>
  <c r="AB46" i="34" a="1"/>
  <c r="AB46" i="34" s="1"/>
  <c r="X49" i="34"/>
  <c r="W50" i="34"/>
  <c r="Z47" i="34"/>
  <c r="AB47" i="34" s="1" a="1"/>
  <c r="AB47" i="34" s="1"/>
  <c r="AC62" i="36"/>
  <c r="AG58" i="36"/>
  <c r="AH57" i="36"/>
  <c r="AE60" i="36"/>
  <c r="AF59" i="36"/>
  <c r="AF50" i="34"/>
  <c r="AE51" i="34"/>
  <c r="AG49" i="34"/>
  <c r="AH48" i="34"/>
  <c r="AD61" i="36"/>
  <c r="AC53" i="34"/>
  <c r="AI47" i="34"/>
  <c r="AD52" i="34"/>
  <c r="AI56" i="36"/>
  <c r="AJ56" i="36" l="1"/>
  <c r="Y58" i="36"/>
  <c r="T63" i="36"/>
  <c r="U62" i="36"/>
  <c r="Z57" i="36"/>
  <c r="AB56" i="36" a="1"/>
  <c r="AB56" i="36" s="1"/>
  <c r="V61" i="36"/>
  <c r="X59" i="36"/>
  <c r="W60" i="36"/>
  <c r="Y49" i="34"/>
  <c r="U53" i="34"/>
  <c r="T54" i="34"/>
  <c r="V52" i="34"/>
  <c r="X50" i="34"/>
  <c r="W51" i="34"/>
  <c r="Z48" i="34"/>
  <c r="AC54" i="34"/>
  <c r="AF51" i="34"/>
  <c r="AD62" i="36"/>
  <c r="AG59" i="36"/>
  <c r="AH49" i="34"/>
  <c r="AI48" i="34"/>
  <c r="AC63" i="36"/>
  <c r="AG50" i="34"/>
  <c r="AE61" i="36"/>
  <c r="AD53" i="34"/>
  <c r="AI57" i="36"/>
  <c r="AH58" i="36"/>
  <c r="AE52" i="34"/>
  <c r="AF60" i="36"/>
  <c r="AJ57" i="36" l="1"/>
  <c r="X60" i="36"/>
  <c r="W61" i="36"/>
  <c r="AB57" i="36" a="1"/>
  <c r="AB57" i="36" s="1"/>
  <c r="T64" i="36"/>
  <c r="U63" i="36"/>
  <c r="Y59" i="36"/>
  <c r="V62" i="36"/>
  <c r="Z58" i="36"/>
  <c r="Y50" i="34"/>
  <c r="AB48" i="34" a="1"/>
  <c r="AB48" i="34" s="1"/>
  <c r="U54" i="34"/>
  <c r="T55" i="34"/>
  <c r="X51" i="34"/>
  <c r="V53" i="34"/>
  <c r="W52" i="34"/>
  <c r="Z49" i="34"/>
  <c r="AC55" i="34"/>
  <c r="AH50" i="34"/>
  <c r="AI49" i="34"/>
  <c r="AG60" i="36"/>
  <c r="AF61" i="36"/>
  <c r="AI58" i="36"/>
  <c r="AF52" i="34"/>
  <c r="AC64" i="36"/>
  <c r="AE62" i="36"/>
  <c r="AD63" i="36"/>
  <c r="AG51" i="34"/>
  <c r="AD54" i="34"/>
  <c r="AE53" i="34"/>
  <c r="AH59" i="36"/>
  <c r="AJ58" i="36" l="1"/>
  <c r="X61" i="36"/>
  <c r="Y60" i="36"/>
  <c r="W62" i="36"/>
  <c r="AB58" i="36" a="1"/>
  <c r="AB58" i="36" s="1"/>
  <c r="V63" i="36"/>
  <c r="Z59" i="36"/>
  <c r="U64" i="36"/>
  <c r="T65" i="36"/>
  <c r="AB49" i="34" a="1"/>
  <c r="AB49" i="34" s="1"/>
  <c r="V54" i="34"/>
  <c r="Y51" i="34"/>
  <c r="X52" i="34"/>
  <c r="W53" i="34"/>
  <c r="U55" i="34"/>
  <c r="T56" i="34"/>
  <c r="Z50" i="34"/>
  <c r="AE63" i="36"/>
  <c r="AE54" i="34"/>
  <c r="AD55" i="34"/>
  <c r="AH51" i="34"/>
  <c r="AC65" i="36"/>
  <c r="AF53" i="34"/>
  <c r="AH60" i="36"/>
  <c r="AC56" i="34"/>
  <c r="AD64" i="36"/>
  <c r="AG52" i="34"/>
  <c r="AF62" i="36"/>
  <c r="AG61" i="36"/>
  <c r="AI59" i="36"/>
  <c r="AI50" i="34"/>
  <c r="AJ59" i="36" l="1"/>
  <c r="V64" i="36"/>
  <c r="W63" i="36"/>
  <c r="AB59" i="36" a="1"/>
  <c r="AB59" i="36" s="1"/>
  <c r="Y61" i="36"/>
  <c r="X62" i="36"/>
  <c r="T66" i="36"/>
  <c r="U65" i="36"/>
  <c r="Z60" i="36"/>
  <c r="Y52" i="34"/>
  <c r="U56" i="34"/>
  <c r="T57" i="34"/>
  <c r="Z51" i="34"/>
  <c r="V55" i="34"/>
  <c r="W54" i="34"/>
  <c r="AB50" i="34" a="1"/>
  <c r="AB50" i="34" s="1"/>
  <c r="X53" i="34"/>
  <c r="AD56" i="34"/>
  <c r="AC57" i="34"/>
  <c r="AF63" i="36"/>
  <c r="AF54" i="34"/>
  <c r="AD65" i="36"/>
  <c r="AE55" i="34"/>
  <c r="AG53" i="34"/>
  <c r="AH61" i="36"/>
  <c r="AI60" i="36"/>
  <c r="AH52" i="34"/>
  <c r="AG62" i="36"/>
  <c r="AC66" i="36"/>
  <c r="AI51" i="34"/>
  <c r="AE64" i="36"/>
  <c r="AJ60" i="36" l="1"/>
  <c r="AB60" i="36" a="1"/>
  <c r="AB60" i="36" s="1"/>
  <c r="V65" i="36"/>
  <c r="Z61" i="36"/>
  <c r="W64" i="36"/>
  <c r="T67" i="36"/>
  <c r="U66" i="36"/>
  <c r="Y62" i="36"/>
  <c r="X63" i="36"/>
  <c r="X54" i="34"/>
  <c r="U57" i="34"/>
  <c r="T58" i="34"/>
  <c r="Y53" i="34"/>
  <c r="W55" i="34"/>
  <c r="V56" i="34"/>
  <c r="AB51" i="34" a="1"/>
  <c r="AB51" i="34" s="1"/>
  <c r="Z52" i="34"/>
  <c r="AD57" i="34"/>
  <c r="AE56" i="34"/>
  <c r="AG54" i="34"/>
  <c r="AH53" i="34"/>
  <c r="AE65" i="36"/>
  <c r="AF55" i="34"/>
  <c r="AC58" i="34"/>
  <c r="AH62" i="36"/>
  <c r="AG63" i="36"/>
  <c r="AI52" i="34"/>
  <c r="AF64" i="36"/>
  <c r="AI61" i="36"/>
  <c r="AC67" i="36"/>
  <c r="AD66" i="36"/>
  <c r="AJ61" i="36" l="1"/>
  <c r="X64" i="36"/>
  <c r="W65" i="36"/>
  <c r="Z62" i="36"/>
  <c r="V66" i="36"/>
  <c r="AB61" i="36" a="1"/>
  <c r="AB61" i="36" s="1"/>
  <c r="Y63" i="36"/>
  <c r="T68" i="36"/>
  <c r="U67" i="36"/>
  <c r="U58" i="34"/>
  <c r="T59" i="34"/>
  <c r="W56" i="34"/>
  <c r="X55" i="34"/>
  <c r="V57" i="34"/>
  <c r="Z53" i="34"/>
  <c r="Y54" i="34"/>
  <c r="AB52" i="34" a="1"/>
  <c r="AB52" i="34" s="1"/>
  <c r="AG55" i="34"/>
  <c r="AC59" i="34"/>
  <c r="AF56" i="34"/>
  <c r="AG64" i="36"/>
  <c r="AE66" i="36"/>
  <c r="AD58" i="34"/>
  <c r="AF65" i="36"/>
  <c r="AI62" i="36"/>
  <c r="AD67" i="36"/>
  <c r="AH54" i="34"/>
  <c r="AI53" i="34"/>
  <c r="AC68" i="36"/>
  <c r="AE57" i="34"/>
  <c r="AH63" i="36"/>
  <c r="AJ62" i="36" l="1"/>
  <c r="V67" i="36"/>
  <c r="AB62" i="36" a="1"/>
  <c r="AB62" i="36" s="1"/>
  <c r="Y64" i="36"/>
  <c r="T69" i="36"/>
  <c r="U68" i="36"/>
  <c r="Z63" i="36"/>
  <c r="W66" i="36"/>
  <c r="X65" i="36"/>
  <c r="W57" i="34"/>
  <c r="Y55" i="34"/>
  <c r="U59" i="34"/>
  <c r="T60" i="34"/>
  <c r="Z54" i="34"/>
  <c r="V58" i="34"/>
  <c r="AB53" i="34" a="1"/>
  <c r="AB53" i="34" s="1"/>
  <c r="X56" i="34"/>
  <c r="AI63" i="36"/>
  <c r="AD59" i="34"/>
  <c r="AH64" i="36"/>
  <c r="AH55" i="34"/>
  <c r="AE67" i="36"/>
  <c r="AG65" i="36"/>
  <c r="AE58" i="34"/>
  <c r="AG56" i="34"/>
  <c r="AI54" i="34"/>
  <c r="AF57" i="34"/>
  <c r="AC69" i="36"/>
  <c r="AD68" i="36"/>
  <c r="AC60" i="34"/>
  <c r="AF66" i="36"/>
  <c r="AJ63" i="36" l="1"/>
  <c r="Y65" i="36"/>
  <c r="AB63" i="36" a="1"/>
  <c r="AB63" i="36" s="1"/>
  <c r="T70" i="36"/>
  <c r="U69" i="36"/>
  <c r="X66" i="36"/>
  <c r="V68" i="36"/>
  <c r="W67" i="36"/>
  <c r="Z64" i="36"/>
  <c r="AB54" i="34" a="1"/>
  <c r="AB54" i="34" s="1"/>
  <c r="Z55" i="34"/>
  <c r="T61" i="34"/>
  <c r="U60" i="34"/>
  <c r="X57" i="34"/>
  <c r="Y56" i="34"/>
  <c r="W58" i="34"/>
  <c r="V59" i="34"/>
  <c r="AI55" i="34"/>
  <c r="AI64" i="36"/>
  <c r="AF67" i="36"/>
  <c r="AG57" i="34"/>
  <c r="AC61" i="34"/>
  <c r="AG66" i="36"/>
  <c r="AF58" i="34"/>
  <c r="AE59" i="34"/>
  <c r="AE68" i="36"/>
  <c r="AD60" i="34"/>
  <c r="AH65" i="36"/>
  <c r="AC70" i="36"/>
  <c r="AD69" i="36"/>
  <c r="AH56" i="34"/>
  <c r="AJ64" i="36" l="1"/>
  <c r="AB64" i="36" a="1"/>
  <c r="AB64" i="36" s="1"/>
  <c r="T71" i="36"/>
  <c r="U70" i="36"/>
  <c r="Z65" i="36"/>
  <c r="W68" i="36"/>
  <c r="X67" i="36"/>
  <c r="Y66" i="36"/>
  <c r="V69" i="36"/>
  <c r="X58" i="34"/>
  <c r="V60" i="34"/>
  <c r="U61" i="34"/>
  <c r="T62" i="34"/>
  <c r="Z56" i="34"/>
  <c r="W59" i="34"/>
  <c r="Y57" i="34"/>
  <c r="AB55" i="34" a="1"/>
  <c r="AB55" i="34" s="1"/>
  <c r="AG67" i="36"/>
  <c r="AE69" i="36"/>
  <c r="AG58" i="34"/>
  <c r="AD70" i="36"/>
  <c r="AC62" i="34"/>
  <c r="AF68" i="36"/>
  <c r="AC71" i="36"/>
  <c r="AI56" i="34"/>
  <c r="AF59" i="34"/>
  <c r="AE60" i="34"/>
  <c r="AH66" i="36"/>
  <c r="AI65" i="36"/>
  <c r="AD61" i="34"/>
  <c r="AH57" i="34"/>
  <c r="AJ65" i="36" l="1"/>
  <c r="Y67" i="36"/>
  <c r="AB65" i="36" a="1"/>
  <c r="AB65" i="36" s="1"/>
  <c r="T72" i="36"/>
  <c r="U71" i="36"/>
  <c r="V70" i="36"/>
  <c r="Z66" i="36"/>
  <c r="X68" i="36"/>
  <c r="W69" i="36"/>
  <c r="U62" i="34"/>
  <c r="T63" i="34"/>
  <c r="X59" i="34"/>
  <c r="V61" i="34"/>
  <c r="AB56" i="34" a="1"/>
  <c r="AB56" i="34" s="1"/>
  <c r="W60" i="34"/>
  <c r="Z57" i="34"/>
  <c r="Y58" i="34"/>
  <c r="AF69" i="36"/>
  <c r="AC63" i="34"/>
  <c r="AG59" i="34"/>
  <c r="AH67" i="36"/>
  <c r="AE61" i="34"/>
  <c r="AC72" i="36"/>
  <c r="AE70" i="36"/>
  <c r="AH58" i="34"/>
  <c r="AI66" i="36"/>
  <c r="AD62" i="34"/>
  <c r="AF60" i="34"/>
  <c r="AG68" i="36"/>
  <c r="AI57" i="34"/>
  <c r="AD71" i="36"/>
  <c r="AJ66" i="36" l="1"/>
  <c r="V71" i="36"/>
  <c r="W70" i="36"/>
  <c r="Z67" i="36"/>
  <c r="AB66" i="36" a="1"/>
  <c r="AB66" i="36" s="1"/>
  <c r="Y68" i="36"/>
  <c r="X69" i="36"/>
  <c r="T73" i="36"/>
  <c r="U72" i="36"/>
  <c r="Z58" i="34"/>
  <c r="X60" i="34"/>
  <c r="U63" i="34"/>
  <c r="T64" i="34"/>
  <c r="AB57" i="34" a="1"/>
  <c r="AB57" i="34" s="1"/>
  <c r="W61" i="34"/>
  <c r="V62" i="34"/>
  <c r="Y59" i="34"/>
  <c r="AI58" i="34"/>
  <c r="AC64" i="34"/>
  <c r="AI67" i="36"/>
  <c r="AF61" i="34"/>
  <c r="AG60" i="34"/>
  <c r="AE62" i="34"/>
  <c r="AH68" i="36"/>
  <c r="AC73" i="36"/>
  <c r="AD72" i="36"/>
  <c r="AE71" i="36"/>
  <c r="AH59" i="34"/>
  <c r="AF70" i="36"/>
  <c r="AD63" i="34"/>
  <c r="AG69" i="36"/>
  <c r="AC18" i="36" l="1"/>
  <c r="AJ67" i="36"/>
  <c r="Z68" i="36"/>
  <c r="AB67" i="36" a="1"/>
  <c r="AB67" i="36" s="1"/>
  <c r="W71" i="36"/>
  <c r="U73" i="36"/>
  <c r="X70" i="36"/>
  <c r="Y69" i="36"/>
  <c r="V72" i="36"/>
  <c r="AC9" i="34"/>
  <c r="Z59" i="34"/>
  <c r="W62" i="34"/>
  <c r="U64" i="34"/>
  <c r="X61" i="34"/>
  <c r="V63" i="34"/>
  <c r="Y60" i="34"/>
  <c r="AB58" i="34" a="1"/>
  <c r="AB58" i="34" s="1"/>
  <c r="AF62" i="34"/>
  <c r="AI68" i="36"/>
  <c r="AD64" i="34"/>
  <c r="AH60" i="34"/>
  <c r="AE63" i="34"/>
  <c r="AH69" i="36"/>
  <c r="AG70" i="36"/>
  <c r="AI59" i="34"/>
  <c r="AD73" i="36"/>
  <c r="AE72" i="36"/>
  <c r="AG61" i="34"/>
  <c r="AF71" i="36"/>
  <c r="AD18" i="36" l="1"/>
  <c r="AJ68" i="36"/>
  <c r="Z69" i="36"/>
  <c r="V73" i="36"/>
  <c r="X71" i="36"/>
  <c r="AB68" i="36" a="1"/>
  <c r="AB68" i="36" s="1"/>
  <c r="W72" i="36"/>
  <c r="Y70" i="36"/>
  <c r="AD9" i="34"/>
  <c r="W63" i="34"/>
  <c r="V64" i="34"/>
  <c r="Y61" i="34"/>
  <c r="X62" i="34"/>
  <c r="Z60" i="34"/>
  <c r="T10" i="34" s="1"/>
  <c r="AC10" i="34" s="1"/>
  <c r="AB59" i="34" a="1"/>
  <c r="AB59" i="34" s="1"/>
  <c r="AI69" i="36"/>
  <c r="AE73" i="36"/>
  <c r="AE64" i="34"/>
  <c r="AF72" i="36"/>
  <c r="AH70" i="36"/>
  <c r="AH61" i="34"/>
  <c r="AF63" i="34"/>
  <c r="AG71" i="36"/>
  <c r="AG62" i="34"/>
  <c r="AE18" i="36" l="1"/>
  <c r="AJ69" i="36"/>
  <c r="X72" i="36"/>
  <c r="Y71" i="36"/>
  <c r="Z70" i="36"/>
  <c r="AB69" i="36" a="1"/>
  <c r="AB69" i="36" s="1"/>
  <c r="W73" i="36"/>
  <c r="AE9" i="34"/>
  <c r="AB60" i="34" a="1"/>
  <c r="AB60" i="34" s="1"/>
  <c r="Z61" i="34"/>
  <c r="W64" i="34"/>
  <c r="Y62" i="34"/>
  <c r="X63" i="34"/>
  <c r="AI60" i="34"/>
  <c r="AF73" i="36"/>
  <c r="AH62" i="34"/>
  <c r="AI61" i="34"/>
  <c r="AG72" i="36"/>
  <c r="AF64" i="34"/>
  <c r="AH71" i="36"/>
  <c r="AI70" i="36"/>
  <c r="AG63" i="34"/>
  <c r="AF18" i="36" l="1"/>
  <c r="AJ70" i="36"/>
  <c r="X73" i="36"/>
  <c r="AB70" i="36" a="1"/>
  <c r="AB70" i="36" s="1"/>
  <c r="Y72" i="36"/>
  <c r="Z71" i="36"/>
  <c r="AF9" i="34"/>
  <c r="Z62" i="34"/>
  <c r="X64" i="34"/>
  <c r="Y63" i="34"/>
  <c r="AB61" i="34" a="1"/>
  <c r="AB61" i="34" s="1"/>
  <c r="AI71" i="36"/>
  <c r="AG64" i="34"/>
  <c r="AH63" i="34"/>
  <c r="AG73" i="36"/>
  <c r="AI62" i="34"/>
  <c r="AH72" i="36"/>
  <c r="AG18" i="36" l="1"/>
  <c r="AJ71" i="36"/>
  <c r="Z72" i="36"/>
  <c r="AB71" i="36" a="1"/>
  <c r="AB71" i="36" s="1"/>
  <c r="Y73" i="36"/>
  <c r="AG9" i="34"/>
  <c r="AB62" i="34" a="1"/>
  <c r="AB62" i="34" s="1"/>
  <c r="Y64" i="34"/>
  <c r="Z63" i="34"/>
  <c r="AB63" i="34" s="1" a="1"/>
  <c r="AB63" i="34" s="1"/>
  <c r="AI72" i="36"/>
  <c r="AH73" i="36"/>
  <c r="AH64" i="34"/>
  <c r="AH18" i="36" l="1"/>
  <c r="AJ72" i="36"/>
  <c r="AB72" i="36" a="1"/>
  <c r="AB72" i="36" s="1"/>
  <c r="Z73" i="36"/>
  <c r="AH9" i="34"/>
  <c r="Z64" i="34"/>
  <c r="AI64" i="34"/>
  <c r="AI63" i="34"/>
  <c r="AI73" i="36"/>
  <c r="AI18" i="36" l="1"/>
  <c r="AD14" i="36"/>
  <c r="AC14" i="36" s="1"/>
  <c r="AD11" i="36"/>
  <c r="AC11" i="36" s="1"/>
  <c r="AJ73" i="36"/>
  <c r="AB73" i="36" a="1"/>
  <c r="AB73" i="36" s="1"/>
  <c r="AD15" i="36"/>
  <c r="AC15" i="36" s="1"/>
  <c r="AD10" i="36"/>
  <c r="AC10" i="36" s="1"/>
  <c r="AD13" i="36"/>
  <c r="AC13" i="36" s="1"/>
  <c r="AD12" i="36"/>
  <c r="AC12" i="36" s="1"/>
  <c r="AI9" i="34"/>
  <c r="AB64" i="34" a="1"/>
  <c r="AB64" i="34" s="1"/>
  <c r="AL12" i="34"/>
  <c r="AU12" i="34"/>
  <c r="AL22" i="36" l="1"/>
  <c r="AT21" i="36"/>
  <c r="AM21" i="36"/>
  <c r="AL20" i="36"/>
  <c r="AU20" i="36" s="1"/>
  <c r="AM12" i="34"/>
  <c r="AM11" i="34" s="1"/>
  <c r="AV11" i="34" s="1"/>
  <c r="AL11" i="34"/>
  <c r="AU11" i="34" s="1"/>
  <c r="AL13" i="34"/>
  <c r="AM13" i="34" s="1"/>
  <c r="AT12" i="34"/>
  <c r="AU13" i="34"/>
  <c r="AU22" i="36"/>
  <c r="AV13" i="34"/>
  <c r="AV21" i="36"/>
  <c r="AN12" i="34" l="1"/>
  <c r="AL23" i="36"/>
  <c r="AM22" i="36"/>
  <c r="AM20" i="36"/>
  <c r="AV20" i="36" s="1"/>
  <c r="AN21" i="36"/>
  <c r="AL14" i="34"/>
  <c r="AM14" i="34" s="1"/>
  <c r="AN11" i="34"/>
  <c r="AW11" i="34" s="1"/>
  <c r="AO12" i="34"/>
  <c r="AN13" i="34"/>
  <c r="AW13" i="34"/>
  <c r="AX12" i="34"/>
  <c r="AU23" i="36"/>
  <c r="AV22" i="36"/>
  <c r="AW12" i="34"/>
  <c r="AV12" i="34"/>
  <c r="AV14" i="34"/>
  <c r="AW21" i="36"/>
  <c r="AN22" i="36" l="1"/>
  <c r="AM23" i="36"/>
  <c r="AL24" i="36"/>
  <c r="AO21" i="36"/>
  <c r="AN20" i="36"/>
  <c r="AW20" i="36" s="1"/>
  <c r="AL15" i="34"/>
  <c r="AM15" i="34" s="1"/>
  <c r="AN14" i="34"/>
  <c r="AO11" i="34"/>
  <c r="AX11" i="34" s="1"/>
  <c r="AP12" i="34"/>
  <c r="AO13" i="34"/>
  <c r="AU24" i="36"/>
  <c r="AX13" i="34"/>
  <c r="AW22" i="36"/>
  <c r="AX21" i="36"/>
  <c r="AY12" i="34"/>
  <c r="AU14" i="34"/>
  <c r="AV15" i="34"/>
  <c r="AV23" i="36"/>
  <c r="AW14" i="34"/>
  <c r="AL16" i="34" l="1"/>
  <c r="AP21" i="36"/>
  <c r="AO20" i="36"/>
  <c r="AX20" i="36" s="1"/>
  <c r="AN23" i="36"/>
  <c r="AL25" i="36"/>
  <c r="AM24" i="36"/>
  <c r="AO22" i="36"/>
  <c r="AP13" i="34"/>
  <c r="AM16" i="34"/>
  <c r="AL17" i="34"/>
  <c r="AN15" i="34"/>
  <c r="AO14" i="34"/>
  <c r="AP11" i="34"/>
  <c r="AY11" i="34" s="1"/>
  <c r="AQ12" i="34"/>
  <c r="AU17" i="34"/>
  <c r="AX22" i="36"/>
  <c r="AV24" i="36"/>
  <c r="AY21" i="36"/>
  <c r="AW15" i="34"/>
  <c r="AZ12" i="34"/>
  <c r="AW23" i="36"/>
  <c r="AX14" i="34"/>
  <c r="AV16" i="34"/>
  <c r="AU25" i="36"/>
  <c r="AU15" i="34"/>
  <c r="AU16" i="34"/>
  <c r="AY13" i="34"/>
  <c r="AN24" i="36" l="1"/>
  <c r="AO23" i="36"/>
  <c r="AP22" i="36"/>
  <c r="AQ21" i="36"/>
  <c r="AP20" i="36"/>
  <c r="AY20" i="36" s="1"/>
  <c r="AL26" i="36"/>
  <c r="AM25" i="36"/>
  <c r="AO15" i="34"/>
  <c r="AN16" i="34"/>
  <c r="AR12" i="34"/>
  <c r="AQ11" i="34"/>
  <c r="AZ11" i="34" s="1"/>
  <c r="AP14" i="34"/>
  <c r="AM17" i="34"/>
  <c r="AL18" i="34"/>
  <c r="AQ13" i="34"/>
  <c r="AY14" i="34"/>
  <c r="AV17" i="34"/>
  <c r="AW24" i="36"/>
  <c r="AZ21" i="36"/>
  <c r="AU18" i="34"/>
  <c r="BA12" i="34"/>
  <c r="AX23" i="36"/>
  <c r="AX15" i="34"/>
  <c r="AV25" i="36"/>
  <c r="AY22" i="36"/>
  <c r="AU26" i="36"/>
  <c r="AZ13" i="34"/>
  <c r="AW16" i="34"/>
  <c r="AL27" i="36" l="1"/>
  <c r="AM26" i="36"/>
  <c r="AP23" i="36"/>
  <c r="AQ22" i="36"/>
  <c r="AO24" i="36"/>
  <c r="AN25" i="36"/>
  <c r="AQ20" i="36"/>
  <c r="AZ20" i="36" s="1"/>
  <c r="AR21" i="36"/>
  <c r="AR13" i="34"/>
  <c r="AO16" i="34"/>
  <c r="AL19" i="34"/>
  <c r="AM18" i="34"/>
  <c r="AR11" i="34"/>
  <c r="BA11" i="34" s="1"/>
  <c r="AN17" i="34"/>
  <c r="AQ14" i="34"/>
  <c r="AP15" i="34"/>
  <c r="AW17" i="34"/>
  <c r="AZ14" i="34"/>
  <c r="AV18" i="34"/>
  <c r="BA21" i="36"/>
  <c r="AW25" i="36"/>
  <c r="BA13" i="34"/>
  <c r="AX16" i="34"/>
  <c r="AY15" i="34"/>
  <c r="AX24" i="36"/>
  <c r="AY23" i="36"/>
  <c r="AV26" i="36"/>
  <c r="AU27" i="36"/>
  <c r="AZ22" i="36"/>
  <c r="AU19" i="34"/>
  <c r="BB21" i="36" l="1"/>
  <c r="AO25" i="36"/>
  <c r="AQ23" i="36"/>
  <c r="AL28" i="36"/>
  <c r="AM27" i="36"/>
  <c r="AR22" i="36"/>
  <c r="AP24" i="36"/>
  <c r="AR20" i="36"/>
  <c r="BA20" i="36" s="1"/>
  <c r="AN26" i="36"/>
  <c r="AQ15" i="34"/>
  <c r="AO17" i="34"/>
  <c r="AN18" i="34"/>
  <c r="AR14" i="34"/>
  <c r="AP16" i="34"/>
  <c r="AL20" i="34"/>
  <c r="AM19" i="34"/>
  <c r="AT13" i="34" a="1"/>
  <c r="AT13" i="34" s="1"/>
  <c r="AY16" i="34"/>
  <c r="AU20" i="34"/>
  <c r="AZ15" i="34"/>
  <c r="AU28" i="36"/>
  <c r="AW18" i="34"/>
  <c r="AZ23" i="36"/>
  <c r="BA14" i="34"/>
  <c r="AW26" i="36"/>
  <c r="AX17" i="34"/>
  <c r="AV19" i="34"/>
  <c r="AY24" i="36"/>
  <c r="BA22" i="36"/>
  <c r="AX25" i="36"/>
  <c r="AV27" i="36"/>
  <c r="BB22" i="36" l="1"/>
  <c r="AO26" i="36"/>
  <c r="AL19" i="36"/>
  <c r="AU19" i="36" s="1"/>
  <c r="AT22" i="36" a="1"/>
  <c r="AT22" i="36" s="1"/>
  <c r="AP25" i="36"/>
  <c r="AL29" i="36"/>
  <c r="AM28" i="36"/>
  <c r="AN27" i="36"/>
  <c r="AQ24" i="36"/>
  <c r="AR23" i="36"/>
  <c r="AT14" i="34" a="1"/>
  <c r="AT14" i="34" s="1"/>
  <c r="AN19" i="34"/>
  <c r="AO18" i="34"/>
  <c r="AP17" i="34"/>
  <c r="AM20" i="34"/>
  <c r="AL21" i="34"/>
  <c r="AR15" i="34"/>
  <c r="AQ16" i="34"/>
  <c r="AU29" i="36"/>
  <c r="AV20" i="34"/>
  <c r="BA15" i="34"/>
  <c r="AV28" i="36"/>
  <c r="AZ24" i="36"/>
  <c r="AZ16" i="34"/>
  <c r="AY25" i="36"/>
  <c r="AW27" i="36"/>
  <c r="AU21" i="34"/>
  <c r="AX18" i="34"/>
  <c r="BA23" i="36"/>
  <c r="AY17" i="34"/>
  <c r="AX26" i="36"/>
  <c r="AW19" i="34"/>
  <c r="BB23" i="36" l="1"/>
  <c r="AL30" i="36"/>
  <c r="AM29" i="36"/>
  <c r="AR24" i="36"/>
  <c r="AQ25" i="36"/>
  <c r="AT23" i="36" a="1"/>
  <c r="AT23" i="36" s="1"/>
  <c r="AN28" i="36"/>
  <c r="AO27" i="36"/>
  <c r="AP26" i="36"/>
  <c r="AN20" i="34"/>
  <c r="AR16" i="34"/>
  <c r="AQ17" i="34"/>
  <c r="AP18" i="34"/>
  <c r="AT15" i="34" a="1"/>
  <c r="AT15" i="34" s="1"/>
  <c r="AM21" i="34"/>
  <c r="AL22" i="34"/>
  <c r="AO19" i="34"/>
  <c r="BA16" i="34"/>
  <c r="AY18" i="34"/>
  <c r="AY26" i="36"/>
  <c r="AW20" i="34"/>
  <c r="AU30" i="36"/>
  <c r="AZ17" i="34"/>
  <c r="AZ25" i="36"/>
  <c r="BA24" i="36"/>
  <c r="AX27" i="36"/>
  <c r="AU22" i="34"/>
  <c r="AW28" i="36"/>
  <c r="AV21" i="34"/>
  <c r="AV29" i="36"/>
  <c r="AX19" i="34"/>
  <c r="BB24" i="36" l="1"/>
  <c r="AQ26" i="36"/>
  <c r="AO28" i="36"/>
  <c r="AR25" i="36"/>
  <c r="AL31" i="36"/>
  <c r="AM30" i="36"/>
  <c r="AP27" i="36"/>
  <c r="AT24" i="36" a="1"/>
  <c r="AT24" i="36" s="1"/>
  <c r="AN29" i="36"/>
  <c r="AN21" i="34"/>
  <c r="AR17" i="34"/>
  <c r="AL23" i="34"/>
  <c r="AM22" i="34"/>
  <c r="AP19" i="34"/>
  <c r="AQ18" i="34"/>
  <c r="AT16" i="34" a="1"/>
  <c r="AT16" i="34" s="1"/>
  <c r="AO20" i="34"/>
  <c r="AX28" i="36"/>
  <c r="AY27" i="36"/>
  <c r="AW29" i="36"/>
  <c r="AV22" i="34"/>
  <c r="AW21" i="34"/>
  <c r="AX20" i="34"/>
  <c r="BA17" i="34"/>
  <c r="AY19" i="34"/>
  <c r="AV30" i="36"/>
  <c r="AZ18" i="34"/>
  <c r="AU31" i="36"/>
  <c r="AZ26" i="36"/>
  <c r="AU23" i="34"/>
  <c r="BA25" i="36"/>
  <c r="BB25" i="36" l="1"/>
  <c r="AN30" i="36"/>
  <c r="AT25" i="36" a="1"/>
  <c r="AT25" i="36" s="1"/>
  <c r="AR26" i="36"/>
  <c r="AQ27" i="36"/>
  <c r="AO29" i="36"/>
  <c r="AL32" i="36"/>
  <c r="AM31" i="36"/>
  <c r="AP28" i="36"/>
  <c r="AR18" i="34"/>
  <c r="AT17" i="34" a="1"/>
  <c r="AT17" i="34" s="1"/>
  <c r="AP20" i="34"/>
  <c r="AQ19" i="34"/>
  <c r="AN22" i="34"/>
  <c r="AL24" i="34"/>
  <c r="AM23" i="34"/>
  <c r="AO21" i="34"/>
  <c r="AX29" i="36"/>
  <c r="AY28" i="36"/>
  <c r="AZ19" i="34"/>
  <c r="BA26" i="36"/>
  <c r="AW30" i="36"/>
  <c r="AU32" i="36"/>
  <c r="AZ27" i="36"/>
  <c r="BA18" i="34"/>
  <c r="AV23" i="34"/>
  <c r="AU24" i="34"/>
  <c r="AY20" i="34"/>
  <c r="AV31" i="36"/>
  <c r="AW22" i="34"/>
  <c r="AX21" i="34"/>
  <c r="BB26" i="36" l="1"/>
  <c r="AQ28" i="36"/>
  <c r="AL33" i="36"/>
  <c r="AM32" i="36"/>
  <c r="AT26" i="36" a="1"/>
  <c r="AT26" i="36" s="1"/>
  <c r="AO30" i="36"/>
  <c r="AR27" i="36"/>
  <c r="AN31" i="36"/>
  <c r="AP29" i="36"/>
  <c r="AT18" i="34" a="1"/>
  <c r="AT18" i="34" s="1"/>
  <c r="AN23" i="34"/>
  <c r="AO22" i="34"/>
  <c r="AQ20" i="34"/>
  <c r="AP21" i="34"/>
  <c r="AL25" i="34"/>
  <c r="AM24" i="34"/>
  <c r="AR19" i="34"/>
  <c r="AZ20" i="34"/>
  <c r="AY21" i="34"/>
  <c r="AW23" i="34"/>
  <c r="AZ28" i="36"/>
  <c r="BA27" i="36"/>
  <c r="BA19" i="34"/>
  <c r="AV32" i="36"/>
  <c r="AY29" i="36"/>
  <c r="AV24" i="34"/>
  <c r="AW31" i="36"/>
  <c r="AX22" i="34"/>
  <c r="AX30" i="36"/>
  <c r="AU25" i="34"/>
  <c r="AU33" i="36"/>
  <c r="BB27" i="36" l="1"/>
  <c r="AR28" i="36"/>
  <c r="AL34" i="36"/>
  <c r="AM33" i="36"/>
  <c r="AQ29" i="36"/>
  <c r="AT27" i="36" a="1"/>
  <c r="AT27" i="36" s="1"/>
  <c r="AO31" i="36"/>
  <c r="AP30" i="36"/>
  <c r="AN32" i="36"/>
  <c r="AP22" i="34"/>
  <c r="AM25" i="34"/>
  <c r="AL26" i="34"/>
  <c r="AR20" i="34"/>
  <c r="AO23" i="34"/>
  <c r="AN24" i="34"/>
  <c r="AQ21" i="34"/>
  <c r="AT19" i="34" a="1"/>
  <c r="AT19" i="34" s="1"/>
  <c r="AU26" i="34"/>
  <c r="AV25" i="34"/>
  <c r="AU34" i="36"/>
  <c r="BA28" i="36"/>
  <c r="AV33" i="36"/>
  <c r="AY22" i="34"/>
  <c r="AW24" i="34"/>
  <c r="AW32" i="36"/>
  <c r="AX23" i="34"/>
  <c r="BA20" i="34"/>
  <c r="AX31" i="36"/>
  <c r="AY30" i="36"/>
  <c r="AZ21" i="34"/>
  <c r="AZ29" i="36"/>
  <c r="BB28" i="36" l="1"/>
  <c r="AP31" i="36"/>
  <c r="AN33" i="36"/>
  <c r="AQ30" i="36"/>
  <c r="AM34" i="36"/>
  <c r="AL35" i="36"/>
  <c r="AR29" i="36"/>
  <c r="AO32" i="36"/>
  <c r="AT28" i="36" a="1"/>
  <c r="AT28" i="36" s="1"/>
  <c r="AQ22" i="34"/>
  <c r="AR21" i="34"/>
  <c r="AP23" i="34"/>
  <c r="AL27" i="34"/>
  <c r="AM26" i="34"/>
  <c r="AO24" i="34"/>
  <c r="AN25" i="34"/>
  <c r="AT20" i="34" a="1"/>
  <c r="AT20" i="34" s="1"/>
  <c r="BA21" i="34"/>
  <c r="AY23" i="34"/>
  <c r="AU27" i="34"/>
  <c r="AX24" i="34"/>
  <c r="AU35" i="36"/>
  <c r="AV26" i="34"/>
  <c r="AV34" i="36"/>
  <c r="AZ22" i="34"/>
  <c r="AX32" i="36"/>
  <c r="AY31" i="36"/>
  <c r="BA29" i="36"/>
  <c r="AW25" i="34"/>
  <c r="AW33" i="36"/>
  <c r="AZ30" i="36"/>
  <c r="BB29" i="36" l="1"/>
  <c r="AN34" i="36"/>
  <c r="AO33" i="36"/>
  <c r="AT29" i="36" a="1"/>
  <c r="AT29" i="36" s="1"/>
  <c r="AP32" i="36"/>
  <c r="AL36" i="36"/>
  <c r="AM35" i="36"/>
  <c r="AR30" i="36"/>
  <c r="AQ31" i="36"/>
  <c r="AN26" i="34"/>
  <c r="AQ23" i="34"/>
  <c r="AR22" i="34"/>
  <c r="AP24" i="34"/>
  <c r="AM27" i="34"/>
  <c r="AL28" i="34"/>
  <c r="AT21" i="34" a="1"/>
  <c r="AT21" i="34" s="1"/>
  <c r="AO25" i="34"/>
  <c r="AZ23" i="34"/>
  <c r="AU28" i="34"/>
  <c r="BA22" i="34"/>
  <c r="AX33" i="36"/>
  <c r="AW34" i="36"/>
  <c r="AU36" i="36"/>
  <c r="AV35" i="36"/>
  <c r="AZ31" i="36"/>
  <c r="AV27" i="34"/>
  <c r="AY24" i="34"/>
  <c r="AX25" i="34"/>
  <c r="AW26" i="34"/>
  <c r="AY32" i="36"/>
  <c r="BA30" i="36"/>
  <c r="BB30" i="36" l="1"/>
  <c r="AT30" i="36" a="1"/>
  <c r="AT30" i="36" s="1"/>
  <c r="AQ32" i="36"/>
  <c r="AO34" i="36"/>
  <c r="AL37" i="36"/>
  <c r="AM36" i="36"/>
  <c r="AR31" i="36"/>
  <c r="AN35" i="36"/>
  <c r="AP33" i="36"/>
  <c r="AQ24" i="34"/>
  <c r="AR23" i="34"/>
  <c r="AP25" i="34"/>
  <c r="AL29" i="34"/>
  <c r="AM28" i="34"/>
  <c r="AN27" i="34"/>
  <c r="AT22" i="34" a="1"/>
  <c r="AT22" i="34" s="1"/>
  <c r="AO26" i="34"/>
  <c r="BA23" i="34"/>
  <c r="AW27" i="34"/>
  <c r="AY25" i="34"/>
  <c r="AX26" i="34"/>
  <c r="AV28" i="34"/>
  <c r="AX34" i="36"/>
  <c r="AZ24" i="34"/>
  <c r="AY33" i="36"/>
  <c r="AU29" i="34"/>
  <c r="BA31" i="36"/>
  <c r="AZ32" i="36"/>
  <c r="AV36" i="36"/>
  <c r="AW35" i="36"/>
  <c r="AU37" i="36"/>
  <c r="BB31" i="36" l="1"/>
  <c r="AQ33" i="36"/>
  <c r="AL38" i="36"/>
  <c r="AM37" i="36"/>
  <c r="AR32" i="36"/>
  <c r="AO35" i="36"/>
  <c r="AT31" i="36" a="1"/>
  <c r="AT31" i="36" s="1"/>
  <c r="AN36" i="36"/>
  <c r="AP34" i="36"/>
  <c r="AQ25" i="34"/>
  <c r="AO27" i="34"/>
  <c r="AP26" i="34"/>
  <c r="AM29" i="34"/>
  <c r="AL30" i="34"/>
  <c r="AT23" i="34" a="1"/>
  <c r="AT23" i="34" s="1"/>
  <c r="AN28" i="34"/>
  <c r="AR24" i="34"/>
  <c r="AV29" i="34"/>
  <c r="AY34" i="36"/>
  <c r="AY26" i="34"/>
  <c r="BA24" i="34"/>
  <c r="AV37" i="36"/>
  <c r="AW36" i="36"/>
  <c r="AW28" i="34"/>
  <c r="AU38" i="36"/>
  <c r="AZ25" i="34"/>
  <c r="AU30" i="34"/>
  <c r="AX35" i="36"/>
  <c r="AX27" i="34"/>
  <c r="BA32" i="36"/>
  <c r="AZ33" i="36"/>
  <c r="BB32" i="36" l="1"/>
  <c r="AL39" i="36"/>
  <c r="AM38" i="36"/>
  <c r="AR33" i="36"/>
  <c r="AN37" i="36"/>
  <c r="AO36" i="36"/>
  <c r="AP35" i="36"/>
  <c r="AQ34" i="36"/>
  <c r="AT32" i="36" a="1"/>
  <c r="AT32" i="36" s="1"/>
  <c r="AL31" i="34"/>
  <c r="AM30" i="34"/>
  <c r="AO28" i="34"/>
  <c r="AQ26" i="34"/>
  <c r="AP27" i="34"/>
  <c r="AR25" i="34"/>
  <c r="AT24" i="34" a="1"/>
  <c r="AT24" i="34" s="1"/>
  <c r="AN29" i="34"/>
  <c r="AY35" i="36"/>
  <c r="AX28" i="34"/>
  <c r="AX36" i="36"/>
  <c r="AZ26" i="34"/>
  <c r="AW29" i="34"/>
  <c r="AU31" i="34"/>
  <c r="AU39" i="36"/>
  <c r="BA33" i="36"/>
  <c r="AV30" i="34"/>
  <c r="AY27" i="34"/>
  <c r="BA25" i="34"/>
  <c r="AZ34" i="36"/>
  <c r="AV38" i="36"/>
  <c r="AW37" i="36"/>
  <c r="BB33" i="36" l="1"/>
  <c r="AO37" i="36"/>
  <c r="AN38" i="36"/>
  <c r="AP36" i="36"/>
  <c r="AT33" i="36" a="1"/>
  <c r="AT33" i="36" s="1"/>
  <c r="AL40" i="36"/>
  <c r="AM39" i="36"/>
  <c r="AR34" i="36"/>
  <c r="AQ35" i="36"/>
  <c r="AO29" i="34"/>
  <c r="AN30" i="34"/>
  <c r="AT25" i="34" a="1"/>
  <c r="AT25" i="34" s="1"/>
  <c r="AM31" i="34"/>
  <c r="AL32" i="34"/>
  <c r="AR26" i="34"/>
  <c r="AP28" i="34"/>
  <c r="AQ27" i="34"/>
  <c r="AZ35" i="36"/>
  <c r="AX29" i="34"/>
  <c r="AW30" i="34"/>
  <c r="AW38" i="36"/>
  <c r="AY28" i="34"/>
  <c r="AZ27" i="34"/>
  <c r="AU32" i="34"/>
  <c r="BA26" i="34"/>
  <c r="AX37" i="36"/>
  <c r="BA34" i="36"/>
  <c r="AV31" i="34"/>
  <c r="AV39" i="36"/>
  <c r="AU40" i="36"/>
  <c r="AY36" i="36"/>
  <c r="BB34" i="36" l="1"/>
  <c r="AT34" i="36" a="1"/>
  <c r="AT34" i="36" s="1"/>
  <c r="AP37" i="36"/>
  <c r="AO38" i="36"/>
  <c r="AR35" i="36"/>
  <c r="AN39" i="36"/>
  <c r="AL41" i="36"/>
  <c r="AM40" i="36"/>
  <c r="AQ36" i="36"/>
  <c r="AQ28" i="34"/>
  <c r="AT26" i="34" a="1"/>
  <c r="AT26" i="34" s="1"/>
  <c r="AN31" i="34"/>
  <c r="AM32" i="34"/>
  <c r="AL33" i="34"/>
  <c r="AP29" i="34"/>
  <c r="AR27" i="34"/>
  <c r="AO30" i="34"/>
  <c r="AW31" i="34"/>
  <c r="AY37" i="36"/>
  <c r="AU33" i="34"/>
  <c r="BA35" i="36"/>
  <c r="AV40" i="36"/>
  <c r="AZ36" i="36"/>
  <c r="AZ28" i="34"/>
  <c r="AV32" i="34"/>
  <c r="BA27" i="34"/>
  <c r="AW39" i="36"/>
  <c r="AY29" i="34"/>
  <c r="AX38" i="36"/>
  <c r="AX30" i="34"/>
  <c r="AU41" i="36"/>
  <c r="BB35" i="36" l="1"/>
  <c r="AL42" i="36"/>
  <c r="AM41" i="36"/>
  <c r="AO39" i="36"/>
  <c r="AP38" i="36"/>
  <c r="AN40" i="36"/>
  <c r="AR36" i="36"/>
  <c r="AT35" i="36" a="1"/>
  <c r="AT35" i="36" s="1"/>
  <c r="AQ37" i="36"/>
  <c r="AQ29" i="34"/>
  <c r="AP30" i="34"/>
  <c r="AN32" i="34"/>
  <c r="AO31" i="34"/>
  <c r="AT27" i="34" a="1"/>
  <c r="AT27" i="34" s="1"/>
  <c r="AL34" i="34"/>
  <c r="AM33" i="34"/>
  <c r="AR28" i="34"/>
  <c r="AU42" i="36"/>
  <c r="AW40" i="36"/>
  <c r="AV41" i="36"/>
  <c r="BA28" i="34"/>
  <c r="BA36" i="36"/>
  <c r="AZ29" i="34"/>
  <c r="AW32" i="34"/>
  <c r="AZ37" i="36"/>
  <c r="AU34" i="34"/>
  <c r="AY30" i="34"/>
  <c r="AX31" i="34"/>
  <c r="AV33" i="34"/>
  <c r="AX39" i="36"/>
  <c r="AY38" i="36"/>
  <c r="BB36" i="36" l="1"/>
  <c r="AN41" i="36"/>
  <c r="AO40" i="36"/>
  <c r="AR37" i="36"/>
  <c r="AT36" i="36" a="1"/>
  <c r="AT36" i="36" s="1"/>
  <c r="AP39" i="36"/>
  <c r="AL43" i="36"/>
  <c r="AM42" i="36"/>
  <c r="AQ38" i="36"/>
  <c r="AO32" i="34"/>
  <c r="AT28" i="34" a="1"/>
  <c r="AT28" i="34" s="1"/>
  <c r="AN33" i="34"/>
  <c r="AM34" i="34"/>
  <c r="AL35" i="34"/>
  <c r="AP31" i="34"/>
  <c r="AQ30" i="34"/>
  <c r="AR29" i="34"/>
  <c r="AV42" i="36"/>
  <c r="AW33" i="34"/>
  <c r="AZ30" i="34"/>
  <c r="AY31" i="34"/>
  <c r="AZ38" i="36"/>
  <c r="AX32" i="34"/>
  <c r="BA37" i="36"/>
  <c r="AY39" i="36"/>
  <c r="AX40" i="36"/>
  <c r="AW41" i="36"/>
  <c r="AV34" i="34"/>
  <c r="AU35" i="34"/>
  <c r="BA29" i="34"/>
  <c r="AU43" i="36"/>
  <c r="BB37" i="36" l="1"/>
  <c r="AT37" i="36" a="1"/>
  <c r="AT37" i="36" s="1"/>
  <c r="AL44" i="36"/>
  <c r="AM43" i="36"/>
  <c r="AO41" i="36"/>
  <c r="AN42" i="36"/>
  <c r="AQ39" i="36"/>
  <c r="AP40" i="36"/>
  <c r="AR38" i="36"/>
  <c r="AN34" i="34"/>
  <c r="AO33" i="34"/>
  <c r="AR30" i="34"/>
  <c r="AL36" i="34"/>
  <c r="AM35" i="34"/>
  <c r="AT29" i="34" a="1"/>
  <c r="AT29" i="34" s="1"/>
  <c r="AQ31" i="34"/>
  <c r="AP32" i="34"/>
  <c r="BA38" i="36"/>
  <c r="AU36" i="34"/>
  <c r="AW42" i="36"/>
  <c r="AZ31" i="34"/>
  <c r="AV35" i="34"/>
  <c r="AY32" i="34"/>
  <c r="AU44" i="36"/>
  <c r="AW34" i="34"/>
  <c r="AY40" i="36"/>
  <c r="AZ39" i="36"/>
  <c r="AX33" i="34"/>
  <c r="AV43" i="36"/>
  <c r="AX41" i="36"/>
  <c r="BA30" i="34"/>
  <c r="BB38" i="36" l="1"/>
  <c r="AQ40" i="36"/>
  <c r="AL45" i="36"/>
  <c r="AM44" i="36"/>
  <c r="AN43" i="36"/>
  <c r="AO42" i="36"/>
  <c r="AT38" i="36" a="1"/>
  <c r="AT38" i="36" s="1"/>
  <c r="AR39" i="36"/>
  <c r="AP41" i="36"/>
  <c r="AM36" i="34"/>
  <c r="AL37" i="34"/>
  <c r="AP33" i="34"/>
  <c r="AT30" i="34" a="1"/>
  <c r="AT30" i="34" s="1"/>
  <c r="AQ32" i="34"/>
  <c r="AR31" i="34"/>
  <c r="AO34" i="34"/>
  <c r="AN35" i="34"/>
  <c r="AY33" i="34"/>
  <c r="AX34" i="34"/>
  <c r="AV36" i="34"/>
  <c r="AY41" i="36"/>
  <c r="AZ32" i="34"/>
  <c r="BA39" i="36"/>
  <c r="AU37" i="34"/>
  <c r="BA31" i="34"/>
  <c r="AX42" i="36"/>
  <c r="AW35" i="34"/>
  <c r="AW43" i="36"/>
  <c r="AU45" i="36"/>
  <c r="AV44" i="36"/>
  <c r="AZ40" i="36"/>
  <c r="BB39" i="36" l="1"/>
  <c r="AM45" i="36"/>
  <c r="AL46" i="36"/>
  <c r="AT39" i="36" a="1"/>
  <c r="AT39" i="36" s="1"/>
  <c r="AP42" i="36"/>
  <c r="AO43" i="36"/>
  <c r="AN44" i="36"/>
  <c r="AR40" i="36"/>
  <c r="AQ41" i="36"/>
  <c r="AM37" i="34"/>
  <c r="AL38" i="34"/>
  <c r="AQ33" i="34"/>
  <c r="AO35" i="34"/>
  <c r="AP34" i="34"/>
  <c r="AR32" i="34"/>
  <c r="AN36" i="34"/>
  <c r="AT31" i="34" a="1"/>
  <c r="AT31" i="34" s="1"/>
  <c r="BA32" i="34"/>
  <c r="AV37" i="34"/>
  <c r="AW36" i="34"/>
  <c r="AZ33" i="34"/>
  <c r="AX43" i="36"/>
  <c r="AU38" i="34"/>
  <c r="AZ41" i="36"/>
  <c r="AU46" i="36"/>
  <c r="AW44" i="36"/>
  <c r="AY42" i="36"/>
  <c r="AY34" i="34"/>
  <c r="AX35" i="34"/>
  <c r="BA40" i="36"/>
  <c r="AV45" i="36"/>
  <c r="BB40" i="36" l="1"/>
  <c r="AT40" i="36" a="1"/>
  <c r="AT40" i="36" s="1"/>
  <c r="AQ42" i="36"/>
  <c r="AL47" i="36"/>
  <c r="AM46" i="36"/>
  <c r="AN45" i="36"/>
  <c r="AP43" i="36"/>
  <c r="AR41" i="36"/>
  <c r="AO44" i="36"/>
  <c r="AO36" i="34"/>
  <c r="AQ34" i="34"/>
  <c r="AP35" i="34"/>
  <c r="AM38" i="34"/>
  <c r="AL39" i="34"/>
  <c r="AR33" i="34"/>
  <c r="AT33" i="34" s="1" a="1"/>
  <c r="AT33" i="34" s="1"/>
  <c r="AT32" i="34" a="1"/>
  <c r="AT32" i="34" s="1"/>
  <c r="AN37" i="34"/>
  <c r="AZ42" i="36"/>
  <c r="AX44" i="36"/>
  <c r="AZ34" i="34"/>
  <c r="AW45" i="36"/>
  <c r="AW37" i="34"/>
  <c r="AX36" i="34"/>
  <c r="AV38" i="34"/>
  <c r="AV46" i="36"/>
  <c r="BA41" i="36"/>
  <c r="AU39" i="34"/>
  <c r="AY43" i="36"/>
  <c r="AY35" i="34"/>
  <c r="AU47" i="36"/>
  <c r="BB41" i="36" l="1"/>
  <c r="AT41" i="36" a="1"/>
  <c r="AT41" i="36" s="1"/>
  <c r="AO45" i="36"/>
  <c r="AL48" i="36"/>
  <c r="AM47" i="36"/>
  <c r="AP44" i="36"/>
  <c r="AQ43" i="36"/>
  <c r="AN46" i="36"/>
  <c r="AR42" i="36"/>
  <c r="AQ35" i="34"/>
  <c r="AM39" i="34"/>
  <c r="AL40" i="34"/>
  <c r="AO37" i="34"/>
  <c r="AP36" i="34"/>
  <c r="AN38" i="34"/>
  <c r="AR34" i="34"/>
  <c r="BA34" i="34"/>
  <c r="BA33" i="34"/>
  <c r="AX45" i="36"/>
  <c r="AY36" i="34"/>
  <c r="AW46" i="36"/>
  <c r="BA42" i="36"/>
  <c r="AZ35" i="34"/>
  <c r="AX37" i="34"/>
  <c r="AU48" i="36"/>
  <c r="AU40" i="34"/>
  <c r="AV47" i="36"/>
  <c r="AZ43" i="36"/>
  <c r="AV39" i="34"/>
  <c r="AW38" i="34"/>
  <c r="AY44" i="36"/>
  <c r="BB42" i="36" l="1"/>
  <c r="AO46" i="36"/>
  <c r="AQ44" i="36"/>
  <c r="AT42" i="36" a="1"/>
  <c r="AT42" i="36" s="1"/>
  <c r="AL49" i="36"/>
  <c r="AM48" i="36"/>
  <c r="AR43" i="36"/>
  <c r="AN47" i="36"/>
  <c r="AP45" i="36"/>
  <c r="AT34" i="34" a="1"/>
  <c r="AT34" i="34" s="1"/>
  <c r="AQ36" i="34"/>
  <c r="AN39" i="34"/>
  <c r="AO38" i="34"/>
  <c r="AM40" i="34"/>
  <c r="AL41" i="34"/>
  <c r="AP37" i="34"/>
  <c r="AR35" i="34"/>
  <c r="AW47" i="36"/>
  <c r="AU41" i="34"/>
  <c r="AX46" i="36"/>
  <c r="AV48" i="36"/>
  <c r="BA43" i="36"/>
  <c r="AX38" i="34"/>
  <c r="AV40" i="34"/>
  <c r="AZ36" i="34"/>
  <c r="AZ44" i="36"/>
  <c r="BA35" i="34"/>
  <c r="AY45" i="36"/>
  <c r="AW39" i="34"/>
  <c r="AU49" i="36"/>
  <c r="AY37" i="34"/>
  <c r="AT43" i="36" l="1" a="1"/>
  <c r="AT43" i="36" s="1"/>
  <c r="BB43" i="36"/>
  <c r="AP46" i="36"/>
  <c r="AN48" i="36"/>
  <c r="AQ45" i="36"/>
  <c r="AL50" i="36"/>
  <c r="AM49" i="36"/>
  <c r="AR44" i="36"/>
  <c r="AO47" i="36"/>
  <c r="AN40" i="34"/>
  <c r="AO39" i="34"/>
  <c r="AR36" i="34"/>
  <c r="AT35" i="34" a="1"/>
  <c r="AT35" i="34" s="1"/>
  <c r="AM41" i="34"/>
  <c r="AL42" i="34"/>
  <c r="AQ37" i="34"/>
  <c r="AP38" i="34"/>
  <c r="AX39" i="34"/>
  <c r="AZ37" i="34"/>
  <c r="AW40" i="34"/>
  <c r="AW48" i="36"/>
  <c r="AY46" i="36"/>
  <c r="BA36" i="34"/>
  <c r="AU42" i="34"/>
  <c r="AU50" i="36"/>
  <c r="AX47" i="36"/>
  <c r="AV41" i="34"/>
  <c r="AV49" i="36"/>
  <c r="AY38" i="34"/>
  <c r="BA44" i="36"/>
  <c r="AZ45" i="36"/>
  <c r="BB44" i="36" l="1"/>
  <c r="AT44" i="36" a="1"/>
  <c r="AT44" i="36" s="1"/>
  <c r="AL51" i="36"/>
  <c r="AM50" i="36"/>
  <c r="AO48" i="36"/>
  <c r="AP47" i="36"/>
  <c r="AN49" i="36"/>
  <c r="AR45" i="36"/>
  <c r="AQ46" i="36"/>
  <c r="AQ38" i="34"/>
  <c r="AM42" i="34"/>
  <c r="AL43" i="34"/>
  <c r="AP39" i="34"/>
  <c r="AT36" i="34" a="1"/>
  <c r="AT36" i="34" s="1"/>
  <c r="AR37" i="34"/>
  <c r="AN41" i="34"/>
  <c r="AO40" i="34"/>
  <c r="AV42" i="34"/>
  <c r="AZ38" i="34"/>
  <c r="AY39" i="34"/>
  <c r="AU51" i="36"/>
  <c r="AZ46" i="36"/>
  <c r="BA37" i="34"/>
  <c r="AW41" i="34"/>
  <c r="AW49" i="36"/>
  <c r="AV50" i="36"/>
  <c r="AU43" i="34"/>
  <c r="AX40" i="34"/>
  <c r="BA45" i="36"/>
  <c r="AX48" i="36"/>
  <c r="AY47" i="36"/>
  <c r="BB45" i="36" l="1"/>
  <c r="AQ47" i="36"/>
  <c r="AR46" i="36"/>
  <c r="AO49" i="36"/>
  <c r="AP48" i="36"/>
  <c r="AL52" i="36"/>
  <c r="AM51" i="36"/>
  <c r="AT45" i="36" a="1"/>
  <c r="AT45" i="36" s="1"/>
  <c r="AN50" i="36"/>
  <c r="AO41" i="34"/>
  <c r="AT37" i="34" a="1"/>
  <c r="AT37" i="34" s="1"/>
  <c r="AN42" i="34"/>
  <c r="AP40" i="34"/>
  <c r="AQ39" i="34"/>
  <c r="AM43" i="34"/>
  <c r="AL44" i="34"/>
  <c r="AR38" i="34"/>
  <c r="AX41" i="34"/>
  <c r="AW42" i="34"/>
  <c r="AY48" i="36"/>
  <c r="AV43" i="34"/>
  <c r="AY40" i="34"/>
  <c r="AX49" i="36"/>
  <c r="AU44" i="34"/>
  <c r="BA46" i="36"/>
  <c r="AW50" i="36"/>
  <c r="BA38" i="34"/>
  <c r="AZ47" i="36"/>
  <c r="AV51" i="36"/>
  <c r="AZ39" i="34"/>
  <c r="AU52" i="36"/>
  <c r="BB46" i="36" l="1"/>
  <c r="AT46" i="36" a="1"/>
  <c r="AT46" i="36" s="1"/>
  <c r="AR47" i="36"/>
  <c r="AL53" i="36"/>
  <c r="AM52" i="36"/>
  <c r="AO50" i="36"/>
  <c r="AN51" i="36"/>
  <c r="AQ48" i="36"/>
  <c r="AP49" i="36"/>
  <c r="AT38" i="34" a="1"/>
  <c r="AT38" i="34" s="1"/>
  <c r="AM44" i="34"/>
  <c r="AL45" i="34"/>
  <c r="AR39" i="34"/>
  <c r="AO42" i="34"/>
  <c r="AP41" i="34"/>
  <c r="AN43" i="34"/>
  <c r="AQ40" i="34"/>
  <c r="AU45" i="34"/>
  <c r="AV44" i="34"/>
  <c r="AU53" i="36"/>
  <c r="AY41" i="34"/>
  <c r="AZ40" i="34"/>
  <c r="AY49" i="36"/>
  <c r="AW43" i="34"/>
  <c r="AW51" i="36"/>
  <c r="AX42" i="34"/>
  <c r="BA39" i="34"/>
  <c r="BA47" i="36"/>
  <c r="AZ48" i="36"/>
  <c r="AV52" i="36"/>
  <c r="AX50" i="36"/>
  <c r="BB47" i="36" l="1"/>
  <c r="AT47" i="36" a="1"/>
  <c r="AT47" i="36" s="1"/>
  <c r="AR48" i="36"/>
  <c r="AQ49" i="36"/>
  <c r="AP50" i="36"/>
  <c r="AN52" i="36"/>
  <c r="AL54" i="36"/>
  <c r="AM53" i="36"/>
  <c r="AO51" i="36"/>
  <c r="AQ41" i="34"/>
  <c r="AT39" i="34" a="1"/>
  <c r="AT39" i="34" s="1"/>
  <c r="AN44" i="34"/>
  <c r="AO43" i="34"/>
  <c r="AP42" i="34"/>
  <c r="AR40" i="34"/>
  <c r="AM45" i="34"/>
  <c r="AL46" i="34"/>
  <c r="AW52" i="36"/>
  <c r="AZ41" i="34"/>
  <c r="AW44" i="34"/>
  <c r="AZ49" i="36"/>
  <c r="AX51" i="36"/>
  <c r="AV45" i="34"/>
  <c r="BA40" i="34"/>
  <c r="AV53" i="36"/>
  <c r="AX43" i="34"/>
  <c r="AU54" i="36"/>
  <c r="AU46" i="34"/>
  <c r="BA48" i="36"/>
  <c r="AY42" i="34"/>
  <c r="AY50" i="36"/>
  <c r="BB48" i="36" l="1"/>
  <c r="AM54" i="36"/>
  <c r="AL55" i="36"/>
  <c r="AT48" i="36" a="1"/>
  <c r="AT48" i="36" s="1"/>
  <c r="AN53" i="36"/>
  <c r="AR49" i="36"/>
  <c r="AO52" i="36"/>
  <c r="AP51" i="36"/>
  <c r="AQ50" i="36"/>
  <c r="AN45" i="34"/>
  <c r="AT40" i="34" a="1"/>
  <c r="AT40" i="34" s="1"/>
  <c r="AO44" i="34"/>
  <c r="AL47" i="34"/>
  <c r="AM46" i="34"/>
  <c r="AP43" i="34"/>
  <c r="AR41" i="34"/>
  <c r="AQ42" i="34"/>
  <c r="AX44" i="34"/>
  <c r="AU47" i="34"/>
  <c r="AV54" i="36"/>
  <c r="AV46" i="34"/>
  <c r="BA49" i="36"/>
  <c r="AX52" i="36"/>
  <c r="AY43" i="34"/>
  <c r="AW45" i="34"/>
  <c r="AU55" i="36"/>
  <c r="AW53" i="36"/>
  <c r="AZ50" i="36"/>
  <c r="BA41" i="34"/>
  <c r="AY51" i="36"/>
  <c r="AZ42" i="34"/>
  <c r="BB49" i="36" l="1"/>
  <c r="AN54" i="36"/>
  <c r="AT49" i="36" a="1"/>
  <c r="AT49" i="36" s="1"/>
  <c r="AR50" i="36"/>
  <c r="AQ51" i="36"/>
  <c r="AP52" i="36"/>
  <c r="AO53" i="36"/>
  <c r="AL56" i="36"/>
  <c r="AM55" i="36"/>
  <c r="AT41" i="34" a="1"/>
  <c r="AT41" i="34" s="1"/>
  <c r="AP44" i="34"/>
  <c r="AQ43" i="34"/>
  <c r="AN46" i="34"/>
  <c r="AR42" i="34"/>
  <c r="AM47" i="34"/>
  <c r="AL48" i="34"/>
  <c r="AO45" i="34"/>
  <c r="BA42" i="34"/>
  <c r="AU48" i="34"/>
  <c r="AW54" i="36"/>
  <c r="AW46" i="34"/>
  <c r="AZ51" i="36"/>
  <c r="AV55" i="36"/>
  <c r="AY52" i="36"/>
  <c r="AZ43" i="34"/>
  <c r="AX45" i="34"/>
  <c r="BA50" i="36"/>
  <c r="AY44" i="34"/>
  <c r="AV47" i="34"/>
  <c r="AX53" i="36"/>
  <c r="AU56" i="36"/>
  <c r="BB50" i="36" l="1"/>
  <c r="AQ52" i="36"/>
  <c r="AT50" i="36" a="1"/>
  <c r="AT50" i="36" s="1"/>
  <c r="AO54" i="36"/>
  <c r="AN55" i="36"/>
  <c r="AP53" i="36"/>
  <c r="AR51" i="36"/>
  <c r="AL57" i="36"/>
  <c r="AM56" i="36"/>
  <c r="AO46" i="34"/>
  <c r="AP45" i="34"/>
  <c r="AN47" i="34"/>
  <c r="AQ44" i="34"/>
  <c r="AR43" i="34"/>
  <c r="AM48" i="34"/>
  <c r="AL49" i="34"/>
  <c r="AT42" i="34" a="1"/>
  <c r="AT42" i="34" s="1"/>
  <c r="AV56" i="36"/>
  <c r="AX46" i="34"/>
  <c r="AY45" i="34"/>
  <c r="AZ44" i="34"/>
  <c r="AU57" i="36"/>
  <c r="BA51" i="36"/>
  <c r="AW47" i="34"/>
  <c r="AZ52" i="36"/>
  <c r="AW55" i="36"/>
  <c r="AU49" i="34"/>
  <c r="BA43" i="34"/>
  <c r="AV48" i="34"/>
  <c r="AY53" i="36"/>
  <c r="AX54" i="36"/>
  <c r="BB51" i="36" l="1"/>
  <c r="AL58" i="36"/>
  <c r="AM57" i="36"/>
  <c r="AQ53" i="36"/>
  <c r="AP54" i="36"/>
  <c r="AT51" i="36" a="1"/>
  <c r="AT51" i="36" s="1"/>
  <c r="AR52" i="36"/>
  <c r="AN56" i="36"/>
  <c r="AO55" i="36"/>
  <c r="AT43" i="34" a="1"/>
  <c r="AT43" i="34" s="1"/>
  <c r="AQ45" i="34"/>
  <c r="AM49" i="34"/>
  <c r="AL50" i="34"/>
  <c r="AO47" i="34"/>
  <c r="AR44" i="34"/>
  <c r="AN48" i="34"/>
  <c r="AP46" i="34"/>
  <c r="AZ45" i="34"/>
  <c r="AX55" i="36"/>
  <c r="AU50" i="34"/>
  <c r="AX47" i="34"/>
  <c r="AU58" i="36"/>
  <c r="BA52" i="36"/>
  <c r="BA44" i="34"/>
  <c r="AY46" i="34"/>
  <c r="AW48" i="34"/>
  <c r="AV49" i="34"/>
  <c r="AV57" i="36"/>
  <c r="AY54" i="36"/>
  <c r="AZ53" i="36"/>
  <c r="AW56" i="36"/>
  <c r="BB52" i="36" l="1"/>
  <c r="AO56" i="36"/>
  <c r="AR53" i="36"/>
  <c r="AT52" i="36" a="1"/>
  <c r="AT52" i="36" s="1"/>
  <c r="AP55" i="36"/>
  <c r="AL59" i="36"/>
  <c r="AM58" i="36"/>
  <c r="AQ54" i="36"/>
  <c r="AN57" i="36"/>
  <c r="AT44" i="34" a="1"/>
  <c r="AT44" i="34" s="1"/>
  <c r="AM50" i="34"/>
  <c r="AL51" i="34"/>
  <c r="AR45" i="34"/>
  <c r="AO48" i="34"/>
  <c r="AP47" i="34"/>
  <c r="AN49" i="34"/>
  <c r="AQ46" i="34"/>
  <c r="AW57" i="36"/>
  <c r="AY47" i="34"/>
  <c r="AV50" i="34"/>
  <c r="AU51" i="34"/>
  <c r="AX48" i="34"/>
  <c r="AX56" i="36"/>
  <c r="AY55" i="36"/>
  <c r="BA45" i="34"/>
  <c r="AW49" i="34"/>
  <c r="AZ54" i="36"/>
  <c r="BA53" i="36"/>
  <c r="AV58" i="36"/>
  <c r="AZ46" i="34"/>
  <c r="AU59" i="36"/>
  <c r="BB53" i="36" l="1"/>
  <c r="AT53" i="36" a="1"/>
  <c r="AT53" i="36" s="1"/>
  <c r="AN58" i="36"/>
  <c r="AP56" i="36"/>
  <c r="AO57" i="36"/>
  <c r="AR54" i="36"/>
  <c r="AL60" i="36"/>
  <c r="AM59" i="36"/>
  <c r="AQ55" i="36"/>
  <c r="AP48" i="34"/>
  <c r="AO49" i="34"/>
  <c r="AT45" i="34" a="1"/>
  <c r="AT45" i="34" s="1"/>
  <c r="AM51" i="34"/>
  <c r="AL52" i="34"/>
  <c r="AR46" i="34"/>
  <c r="AQ47" i="34"/>
  <c r="AN50" i="34"/>
  <c r="AZ55" i="36"/>
  <c r="BA46" i="34"/>
  <c r="AW58" i="36"/>
  <c r="AU60" i="36"/>
  <c r="AV51" i="34"/>
  <c r="AW50" i="34"/>
  <c r="AY56" i="36"/>
  <c r="AY48" i="34"/>
  <c r="AU52" i="34"/>
  <c r="AX57" i="36"/>
  <c r="AX49" i="34"/>
  <c r="AZ47" i="34"/>
  <c r="BA54" i="36"/>
  <c r="AV59" i="36"/>
  <c r="BB54" i="36" l="1"/>
  <c r="AT54" i="36" a="1"/>
  <c r="AT54" i="36" s="1"/>
  <c r="AM60" i="36"/>
  <c r="AL61" i="36"/>
  <c r="AQ56" i="36"/>
  <c r="AN59" i="36"/>
  <c r="AR55" i="36"/>
  <c r="AP57" i="36"/>
  <c r="AO58" i="36"/>
  <c r="AR47" i="34"/>
  <c r="AO50" i="34"/>
  <c r="AM52" i="34"/>
  <c r="AL53" i="34"/>
  <c r="AP49" i="34"/>
  <c r="AT46" i="34" a="1"/>
  <c r="AT46" i="34" s="1"/>
  <c r="AN51" i="34"/>
  <c r="AQ48" i="34"/>
  <c r="AW59" i="36"/>
  <c r="AX58" i="36"/>
  <c r="AW51" i="34"/>
  <c r="AU53" i="34"/>
  <c r="AY49" i="34"/>
  <c r="AU61" i="36"/>
  <c r="AX50" i="34"/>
  <c r="AV52" i="34"/>
  <c r="AY57" i="36"/>
  <c r="AZ56" i="36"/>
  <c r="BA47" i="34"/>
  <c r="AZ48" i="34"/>
  <c r="BA55" i="36"/>
  <c r="AV60" i="36"/>
  <c r="BB55" i="36" l="1"/>
  <c r="AP58" i="36"/>
  <c r="AT55" i="36" a="1"/>
  <c r="AT55" i="36" s="1"/>
  <c r="AR56" i="36"/>
  <c r="AN60" i="36"/>
  <c r="AQ57" i="36"/>
  <c r="AO59" i="36"/>
  <c r="AL62" i="36"/>
  <c r="AM61" i="36"/>
  <c r="AR48" i="34"/>
  <c r="AO51" i="34"/>
  <c r="AM53" i="34"/>
  <c r="AL54" i="34"/>
  <c r="AP50" i="34"/>
  <c r="AQ49" i="34"/>
  <c r="AN52" i="34"/>
  <c r="AT47" i="34" a="1"/>
  <c r="AT47" i="34" s="1"/>
  <c r="AV53" i="34"/>
  <c r="AW52" i="34"/>
  <c r="AX51" i="34"/>
  <c r="AZ49" i="34"/>
  <c r="AZ57" i="36"/>
  <c r="BA48" i="34"/>
  <c r="AW60" i="36"/>
  <c r="AY58" i="36"/>
  <c r="AU62" i="36"/>
  <c r="AY50" i="34"/>
  <c r="AX59" i="36"/>
  <c r="BA56" i="36"/>
  <c r="AU54" i="34"/>
  <c r="AV61" i="36"/>
  <c r="BB56" i="36" l="1"/>
  <c r="AN61" i="36"/>
  <c r="AR57" i="36"/>
  <c r="AT56" i="36" a="1"/>
  <c r="AT56" i="36" s="1"/>
  <c r="AQ58" i="36"/>
  <c r="AL63" i="36"/>
  <c r="AM62" i="36"/>
  <c r="AP59" i="36"/>
  <c r="AO60" i="36"/>
  <c r="AO52" i="34"/>
  <c r="AR49" i="34"/>
  <c r="AP51" i="34"/>
  <c r="AM54" i="34"/>
  <c r="AL55" i="34"/>
  <c r="AT49" i="34" a="1"/>
  <c r="AT49" i="34" s="1"/>
  <c r="AQ50" i="34"/>
  <c r="AN53" i="34"/>
  <c r="AT48" i="34" a="1"/>
  <c r="AT48" i="34" s="1"/>
  <c r="AZ58" i="36"/>
  <c r="AY51" i="34"/>
  <c r="AW61" i="36"/>
  <c r="AV54" i="34"/>
  <c r="AV62" i="36"/>
  <c r="AZ50" i="34"/>
  <c r="AX52" i="34"/>
  <c r="AU63" i="36"/>
  <c r="AY59" i="36"/>
  <c r="AX60" i="36"/>
  <c r="BA49" i="34"/>
  <c r="BA57" i="36"/>
  <c r="AW53" i="34"/>
  <c r="AU55" i="34"/>
  <c r="BB57" i="36" l="1"/>
  <c r="AQ59" i="36"/>
  <c r="AR58" i="36"/>
  <c r="AT57" i="36" a="1"/>
  <c r="AT57" i="36" s="1"/>
  <c r="AO61" i="36"/>
  <c r="AL64" i="36"/>
  <c r="AM63" i="36"/>
  <c r="AP60" i="36"/>
  <c r="AN62" i="36"/>
  <c r="AR50" i="34"/>
  <c r="AM55" i="34"/>
  <c r="AL56" i="34"/>
  <c r="AN54" i="34"/>
  <c r="AO53" i="34"/>
  <c r="AQ51" i="34"/>
  <c r="AP52" i="34"/>
  <c r="AW62" i="36"/>
  <c r="AY52" i="34"/>
  <c r="AU64" i="36"/>
  <c r="AV55" i="34"/>
  <c r="AX53" i="34"/>
  <c r="BA58" i="36"/>
  <c r="AY60" i="36"/>
  <c r="AU56" i="34"/>
  <c r="BA50" i="34"/>
  <c r="AZ51" i="34"/>
  <c r="AX61" i="36"/>
  <c r="AW54" i="34"/>
  <c r="AV63" i="36"/>
  <c r="AZ59" i="36"/>
  <c r="BB58" i="36" l="1"/>
  <c r="AT58" i="36" a="1"/>
  <c r="AT58" i="36" s="1"/>
  <c r="AR59" i="36"/>
  <c r="AO62" i="36"/>
  <c r="AN63" i="36"/>
  <c r="AP61" i="36"/>
  <c r="AQ60" i="36"/>
  <c r="AM64" i="36"/>
  <c r="AL65" i="36"/>
  <c r="AT50" i="34" a="1"/>
  <c r="AT50" i="34" s="1"/>
  <c r="AO54" i="34"/>
  <c r="AP53" i="34"/>
  <c r="AR51" i="34"/>
  <c r="AM56" i="34"/>
  <c r="AL57" i="34"/>
  <c r="AQ52" i="34"/>
  <c r="AN55" i="34"/>
  <c r="AX54" i="34"/>
  <c r="AU65" i="36"/>
  <c r="AW55" i="34"/>
  <c r="AV64" i="36"/>
  <c r="AU57" i="34"/>
  <c r="AV56" i="34"/>
  <c r="AY61" i="36"/>
  <c r="BA59" i="36"/>
  <c r="AY53" i="34"/>
  <c r="AZ52" i="34"/>
  <c r="AW63" i="36"/>
  <c r="BA51" i="34"/>
  <c r="AZ60" i="36"/>
  <c r="AX62" i="36"/>
  <c r="BB59" i="36" l="1"/>
  <c r="AT59" i="36" a="1"/>
  <c r="AT59" i="36" s="1"/>
  <c r="AR60" i="36"/>
  <c r="AQ61" i="36"/>
  <c r="AN64" i="36"/>
  <c r="AP62" i="36"/>
  <c r="AL66" i="36"/>
  <c r="AM65" i="36"/>
  <c r="AO63" i="36"/>
  <c r="AQ53" i="34"/>
  <c r="AT51" i="34" a="1"/>
  <c r="AT51" i="34" s="1"/>
  <c r="AP54" i="34"/>
  <c r="AR52" i="34"/>
  <c r="AN56" i="34"/>
  <c r="AO55" i="34"/>
  <c r="AM57" i="34"/>
  <c r="AL58" i="34"/>
  <c r="AV65" i="36"/>
  <c r="AY54" i="34"/>
  <c r="BA60" i="36"/>
  <c r="AW56" i="34"/>
  <c r="AZ61" i="36"/>
  <c r="AZ53" i="34"/>
  <c r="BA52" i="34"/>
  <c r="AW64" i="36"/>
  <c r="AV57" i="34"/>
  <c r="AU58" i="34"/>
  <c r="AX63" i="36"/>
  <c r="AX55" i="34"/>
  <c r="AU66" i="36"/>
  <c r="AY62" i="36"/>
  <c r="BB60" i="36" l="1"/>
  <c r="AL67" i="36"/>
  <c r="AM66" i="36"/>
  <c r="AP63" i="36"/>
  <c r="AN65" i="36"/>
  <c r="AO64" i="36"/>
  <c r="AT60" i="36" a="1"/>
  <c r="AT60" i="36" s="1"/>
  <c r="AQ62" i="36"/>
  <c r="AR61" i="36"/>
  <c r="AN57" i="34"/>
  <c r="AO56" i="34"/>
  <c r="AQ54" i="34"/>
  <c r="AR53" i="34"/>
  <c r="AM58" i="34"/>
  <c r="AL59" i="34"/>
  <c r="AP55" i="34"/>
  <c r="AT52" i="34" a="1"/>
  <c r="AT52" i="34" s="1"/>
  <c r="AV58" i="34"/>
  <c r="AX56" i="34"/>
  <c r="AU67" i="36"/>
  <c r="AY55" i="34"/>
  <c r="AX64" i="36"/>
  <c r="BA61" i="36"/>
  <c r="AU59" i="34"/>
  <c r="AY63" i="36"/>
  <c r="AZ62" i="36"/>
  <c r="AZ54" i="34"/>
  <c r="BA53" i="34"/>
  <c r="AV66" i="36"/>
  <c r="AW65" i="36"/>
  <c r="AW57" i="34"/>
  <c r="BB61" i="36" l="1"/>
  <c r="AO65" i="36"/>
  <c r="AR62" i="36"/>
  <c r="AT61" i="36" a="1"/>
  <c r="AT61" i="36" s="1"/>
  <c r="AN66" i="36"/>
  <c r="AP64" i="36"/>
  <c r="AQ63" i="36"/>
  <c r="AT62" i="36" a="1"/>
  <c r="AT62" i="36" s="1"/>
  <c r="AL68" i="36"/>
  <c r="AM67" i="36"/>
  <c r="AM59" i="34"/>
  <c r="AL60" i="34"/>
  <c r="AP56" i="34"/>
  <c r="AQ55" i="34"/>
  <c r="AN58" i="34"/>
  <c r="AO57" i="34"/>
  <c r="AT53" i="34" a="1"/>
  <c r="AT53" i="34" s="1"/>
  <c r="AR54" i="34"/>
  <c r="AU60" i="34"/>
  <c r="AV67" i="36"/>
  <c r="AY56" i="34"/>
  <c r="AV59" i="34"/>
  <c r="AU68" i="36"/>
  <c r="BA54" i="34"/>
  <c r="AX57" i="34"/>
  <c r="AW58" i="34"/>
  <c r="AY64" i="36"/>
  <c r="AZ55" i="34"/>
  <c r="AX65" i="36"/>
  <c r="BA62" i="36"/>
  <c r="AW66" i="36"/>
  <c r="AZ63" i="36"/>
  <c r="BB62" i="36" l="1"/>
  <c r="AQ64" i="36"/>
  <c r="AR63" i="36"/>
  <c r="AP65" i="36"/>
  <c r="AL69" i="36"/>
  <c r="AM68" i="36"/>
  <c r="AN67" i="36"/>
  <c r="AO66" i="36"/>
  <c r="AT54" i="34" a="1"/>
  <c r="AT54" i="34" s="1"/>
  <c r="AP57" i="34"/>
  <c r="AR55" i="34"/>
  <c r="AM60" i="34"/>
  <c r="AL61" i="34"/>
  <c r="AO58" i="34"/>
  <c r="AQ56" i="34"/>
  <c r="AN59" i="34"/>
  <c r="AU69" i="36"/>
  <c r="AW59" i="34"/>
  <c r="AX66" i="36"/>
  <c r="AX58" i="34"/>
  <c r="AW67" i="36"/>
  <c r="BA55" i="34"/>
  <c r="BA63" i="36"/>
  <c r="AV60" i="34"/>
  <c r="AV68" i="36"/>
  <c r="AZ56" i="34"/>
  <c r="AY57" i="34"/>
  <c r="AY65" i="36"/>
  <c r="AZ64" i="36"/>
  <c r="AU61" i="34"/>
  <c r="BB63" i="36" l="1"/>
  <c r="AT63" i="36" a="1"/>
  <c r="AT63" i="36" s="1"/>
  <c r="AN68" i="36"/>
  <c r="AQ65" i="36"/>
  <c r="AR64" i="36"/>
  <c r="AP66" i="36"/>
  <c r="AO67" i="36"/>
  <c r="AL70" i="36"/>
  <c r="AM69" i="36"/>
  <c r="AR56" i="34"/>
  <c r="AT55" i="34" a="1"/>
  <c r="AT55" i="34" s="1"/>
  <c r="AO59" i="34"/>
  <c r="AP58" i="34"/>
  <c r="AM61" i="34"/>
  <c r="AL62" i="34"/>
  <c r="AN60" i="34"/>
  <c r="AQ57" i="34"/>
  <c r="BA56" i="34"/>
  <c r="AV69" i="36"/>
  <c r="AZ65" i="36"/>
  <c r="AW68" i="36"/>
  <c r="AZ57" i="34"/>
  <c r="AU62" i="34"/>
  <c r="AV61" i="34"/>
  <c r="AY58" i="34"/>
  <c r="AW60" i="34"/>
  <c r="AU70" i="36"/>
  <c r="AX59" i="34"/>
  <c r="BA64" i="36"/>
  <c r="AX67" i="36"/>
  <c r="AY66" i="36"/>
  <c r="BB64" i="36" l="1"/>
  <c r="AL71" i="36"/>
  <c r="AM70" i="36"/>
  <c r="AQ66" i="36"/>
  <c r="AT64" i="36" a="1"/>
  <c r="AT64" i="36" s="1"/>
  <c r="AO68" i="36"/>
  <c r="AN69" i="36"/>
  <c r="AP67" i="36"/>
  <c r="AR65" i="36"/>
  <c r="AQ58" i="34"/>
  <c r="AO60" i="34"/>
  <c r="AM62" i="34"/>
  <c r="AL63" i="34"/>
  <c r="AN61" i="34"/>
  <c r="AR57" i="34"/>
  <c r="AP59" i="34"/>
  <c r="AT56" i="34" a="1"/>
  <c r="AT56" i="34" s="1"/>
  <c r="BA65" i="36"/>
  <c r="AZ58" i="34"/>
  <c r="AY59" i="34"/>
  <c r="AU71" i="36"/>
  <c r="AV70" i="36"/>
  <c r="AX68" i="36"/>
  <c r="AV62" i="34"/>
  <c r="AX60" i="34"/>
  <c r="AZ66" i="36"/>
  <c r="AW61" i="34"/>
  <c r="AW69" i="36"/>
  <c r="AU63" i="34"/>
  <c r="BA57" i="34"/>
  <c r="AY67" i="36"/>
  <c r="BB65" i="36" l="1"/>
  <c r="AO69" i="36"/>
  <c r="AN70" i="36"/>
  <c r="AQ67" i="36"/>
  <c r="AP68" i="36"/>
  <c r="AT65" i="36" a="1"/>
  <c r="AT65" i="36" s="1"/>
  <c r="AR66" i="36"/>
  <c r="AL72" i="36"/>
  <c r="AM71" i="36"/>
  <c r="AT57" i="34" a="1"/>
  <c r="AT57" i="34" s="1"/>
  <c r="AN62" i="34"/>
  <c r="AO61" i="34"/>
  <c r="AQ59" i="34"/>
  <c r="AM63" i="34"/>
  <c r="AL64" i="34"/>
  <c r="AP60" i="34"/>
  <c r="AR58" i="34"/>
  <c r="AY68" i="36"/>
  <c r="AV71" i="36"/>
  <c r="AX61" i="34"/>
  <c r="AU64" i="34"/>
  <c r="AZ67" i="36"/>
  <c r="AV63" i="34"/>
  <c r="AY60" i="34"/>
  <c r="BA58" i="34"/>
  <c r="AX69" i="36"/>
  <c r="AW70" i="36"/>
  <c r="AU72" i="36"/>
  <c r="AW62" i="34"/>
  <c r="BA66" i="36"/>
  <c r="AZ59" i="34"/>
  <c r="BB66" i="36" l="1"/>
  <c r="AT66" i="36" a="1"/>
  <c r="AT66" i="36" s="1"/>
  <c r="AQ68" i="36"/>
  <c r="AP69" i="36"/>
  <c r="AN71" i="36"/>
  <c r="AO70" i="36"/>
  <c r="AL73" i="36"/>
  <c r="AM72" i="36"/>
  <c r="AR67" i="36"/>
  <c r="AU9" i="34"/>
  <c r="AT58" i="34" a="1"/>
  <c r="AT58" i="34" s="1"/>
  <c r="AM64" i="34"/>
  <c r="AO62" i="34"/>
  <c r="AN63" i="34"/>
  <c r="AR59" i="34"/>
  <c r="AQ60" i="34"/>
  <c r="AP61" i="34"/>
  <c r="AX62" i="34"/>
  <c r="BA59" i="34"/>
  <c r="AW71" i="36"/>
  <c r="AY61" i="34"/>
  <c r="BA67" i="36"/>
  <c r="AV64" i="34"/>
  <c r="AW63" i="34"/>
  <c r="AX70" i="36"/>
  <c r="AY69" i="36"/>
  <c r="AZ60" i="34"/>
  <c r="AV72" i="36"/>
  <c r="AZ68" i="36"/>
  <c r="AU73" i="36"/>
  <c r="AU18" i="36" l="1"/>
  <c r="BB67" i="36"/>
  <c r="AN72" i="36"/>
  <c r="AP70" i="36"/>
  <c r="AQ69" i="36"/>
  <c r="AT67" i="36" a="1"/>
  <c r="AT67" i="36" s="1"/>
  <c r="AO71" i="36"/>
  <c r="AR68" i="36"/>
  <c r="AM73" i="36"/>
  <c r="AV9" i="34"/>
  <c r="AO63" i="34"/>
  <c r="AQ61" i="34"/>
  <c r="AT59" i="34" a="1"/>
  <c r="AT59" i="34" s="1"/>
  <c r="AP62" i="34"/>
  <c r="AN64" i="34"/>
  <c r="AR60" i="34"/>
  <c r="AL10" i="34" s="1"/>
  <c r="AU10" i="34" s="1"/>
  <c r="AX63" i="34"/>
  <c r="AZ69" i="36"/>
  <c r="AZ61" i="34"/>
  <c r="AY62" i="34"/>
  <c r="BA68" i="36"/>
  <c r="AY70" i="36"/>
  <c r="AX71" i="36"/>
  <c r="AW72" i="36"/>
  <c r="AV73" i="36"/>
  <c r="AW64" i="34"/>
  <c r="AV18" i="36" l="1"/>
  <c r="BB68" i="36"/>
  <c r="AP71" i="36"/>
  <c r="AR69" i="36"/>
  <c r="AO72" i="36"/>
  <c r="AT68" i="36" a="1"/>
  <c r="AT68" i="36" s="1"/>
  <c r="AQ70" i="36"/>
  <c r="AN73" i="36"/>
  <c r="AW9" i="34"/>
  <c r="AO64" i="34"/>
  <c r="AP63" i="34"/>
  <c r="AQ62" i="34"/>
  <c r="AR61" i="34"/>
  <c r="AT60" i="34" a="1"/>
  <c r="AT60" i="34" s="1"/>
  <c r="AY63" i="34"/>
  <c r="BA69" i="36"/>
  <c r="AY71" i="36"/>
  <c r="BA60" i="34"/>
  <c r="AZ70" i="36"/>
  <c r="AW73" i="36"/>
  <c r="AZ62" i="34"/>
  <c r="AX72" i="36"/>
  <c r="BA61" i="34"/>
  <c r="AX64" i="34"/>
  <c r="AW18" i="36" l="1"/>
  <c r="BB69" i="36"/>
  <c r="AT69" i="36" a="1"/>
  <c r="AT69" i="36" s="1"/>
  <c r="AO73" i="36"/>
  <c r="AQ71" i="36"/>
  <c r="AR70" i="36"/>
  <c r="AP72" i="36"/>
  <c r="AX9" i="34"/>
  <c r="AT61" i="34" a="1"/>
  <c r="AT61" i="34" s="1"/>
  <c r="AR62" i="34"/>
  <c r="AP64" i="34"/>
  <c r="AQ63" i="34"/>
  <c r="AZ71" i="36"/>
  <c r="AX73" i="36"/>
  <c r="BA70" i="36"/>
  <c r="AY64" i="34"/>
  <c r="BA62" i="34"/>
  <c r="AZ63" i="34"/>
  <c r="AY72" i="36"/>
  <c r="AX18" i="36" l="1"/>
  <c r="BB70" i="36"/>
  <c r="AT70" i="36" a="1"/>
  <c r="AT70" i="36" s="1"/>
  <c r="AP73" i="36"/>
  <c r="AQ72" i="36"/>
  <c r="AR71" i="36"/>
  <c r="AY9" i="34"/>
  <c r="AR63" i="34"/>
  <c r="AQ64" i="34"/>
  <c r="AT62" i="34" a="1"/>
  <c r="AT62" i="34" s="1"/>
  <c r="AZ72" i="36"/>
  <c r="BA63" i="34"/>
  <c r="AY73" i="36"/>
  <c r="AZ64" i="34"/>
  <c r="BA71" i="36"/>
  <c r="AY18" i="36" l="1"/>
  <c r="BB71" i="36"/>
  <c r="AR72" i="36"/>
  <c r="AT71" i="36" a="1"/>
  <c r="AT71" i="36" s="1"/>
  <c r="AQ73" i="36"/>
  <c r="AZ9" i="34"/>
  <c r="AR64" i="34"/>
  <c r="AT63" i="34" a="1"/>
  <c r="AT63" i="34" s="1"/>
  <c r="AZ73" i="36"/>
  <c r="BA72" i="36"/>
  <c r="BA64" i="34"/>
  <c r="AZ18" i="36" l="1"/>
  <c r="BB72" i="36"/>
  <c r="AR73" i="36"/>
  <c r="AT72" i="36" a="1"/>
  <c r="AT72" i="36" s="1"/>
  <c r="BA9" i="34"/>
  <c r="BD12" i="34"/>
  <c r="BE12" i="34" s="1"/>
  <c r="AT64" i="34" a="1"/>
  <c r="AT64" i="34" s="1"/>
  <c r="BA73" i="36"/>
  <c r="BN12" i="34"/>
  <c r="BA18" i="36" l="1"/>
  <c r="AV14" i="36"/>
  <c r="AU14" i="36" s="1"/>
  <c r="AV11" i="36"/>
  <c r="AU11" i="36" s="1"/>
  <c r="BB73" i="36"/>
  <c r="AV15" i="36"/>
  <c r="AU15" i="36" s="1"/>
  <c r="AV13" i="36"/>
  <c r="AU13" i="36" s="1"/>
  <c r="AV10" i="36"/>
  <c r="AU10" i="36" s="1"/>
  <c r="AV12" i="36"/>
  <c r="AU12" i="36" s="1"/>
  <c r="AT73" i="36" a="1"/>
  <c r="AT73" i="36" s="1"/>
  <c r="BL12" i="34"/>
  <c r="BD13" i="34"/>
  <c r="BE13" i="34" s="1"/>
  <c r="BD11" i="34"/>
  <c r="BM11" i="34" s="1"/>
  <c r="BE11" i="34"/>
  <c r="BN11" i="34" s="1"/>
  <c r="BF12" i="34"/>
  <c r="BM13" i="34"/>
  <c r="BM12" i="34"/>
  <c r="BO12" i="34"/>
  <c r="BN13" i="34"/>
  <c r="BD22" i="36" l="1"/>
  <c r="BL21" i="36"/>
  <c r="BE21" i="36"/>
  <c r="BD20" i="36"/>
  <c r="BM20" i="36" s="1"/>
  <c r="BD14" i="34"/>
  <c r="BE14" i="34" s="1"/>
  <c r="BF11" i="34"/>
  <c r="BO11" i="34" s="1"/>
  <c r="BG12" i="34"/>
  <c r="BF13" i="34"/>
  <c r="BN14" i="34"/>
  <c r="BO13" i="34"/>
  <c r="BM14" i="34"/>
  <c r="BP12" i="34"/>
  <c r="BN21" i="36"/>
  <c r="BM22" i="36"/>
  <c r="BD15" i="34" l="1"/>
  <c r="BD23" i="36"/>
  <c r="BE22" i="36"/>
  <c r="BF21" i="36"/>
  <c r="BE20" i="36"/>
  <c r="BN20" i="36" s="1"/>
  <c r="BE15" i="34"/>
  <c r="BD16" i="34"/>
  <c r="BF14" i="34"/>
  <c r="BG11" i="34"/>
  <c r="BP11" i="34" s="1"/>
  <c r="BH12" i="34"/>
  <c r="BG13" i="34"/>
  <c r="BP13" i="34"/>
  <c r="BQ12" i="34"/>
  <c r="BM23" i="36"/>
  <c r="BM16" i="34"/>
  <c r="BM15" i="34"/>
  <c r="BO21" i="36"/>
  <c r="BN15" i="34"/>
  <c r="BN22" i="36"/>
  <c r="BO14" i="34"/>
  <c r="BE23" i="36" l="1"/>
  <c r="BD24" i="36"/>
  <c r="BF20" i="36"/>
  <c r="BO20" i="36" s="1"/>
  <c r="BG21" i="36"/>
  <c r="BF22" i="36"/>
  <c r="BH13" i="34"/>
  <c r="BG14" i="34"/>
  <c r="BE16" i="34"/>
  <c r="BD17" i="34"/>
  <c r="BH11" i="34"/>
  <c r="BQ11" i="34" s="1"/>
  <c r="BI12" i="34"/>
  <c r="BF15" i="34"/>
  <c r="BP21" i="36"/>
  <c r="BO22" i="36"/>
  <c r="BN23" i="36"/>
  <c r="BO15" i="34"/>
  <c r="BP14" i="34"/>
  <c r="BM17" i="34"/>
  <c r="BM24" i="36"/>
  <c r="BQ13" i="34"/>
  <c r="BR12" i="34"/>
  <c r="BN16" i="34"/>
  <c r="BD25" i="36" l="1"/>
  <c r="BE24" i="36"/>
  <c r="BG22" i="36"/>
  <c r="BH21" i="36"/>
  <c r="BG20" i="36"/>
  <c r="BP20" i="36" s="1"/>
  <c r="BF23" i="36"/>
  <c r="BJ12" i="34"/>
  <c r="BI11" i="34"/>
  <c r="BR11" i="34" s="1"/>
  <c r="BE17" i="34"/>
  <c r="BD18" i="34"/>
  <c r="BF16" i="34"/>
  <c r="BH14" i="34"/>
  <c r="BG15" i="34"/>
  <c r="BI13" i="34"/>
  <c r="BQ14" i="34"/>
  <c r="BR13" i="34"/>
  <c r="BQ21" i="36"/>
  <c r="BO16" i="34"/>
  <c r="BS12" i="34"/>
  <c r="BM18" i="34"/>
  <c r="BM25" i="36"/>
  <c r="BN24" i="36"/>
  <c r="BP15" i="34"/>
  <c r="BP22" i="36"/>
  <c r="BN17" i="34"/>
  <c r="BO23" i="36"/>
  <c r="BI21" i="36" l="1"/>
  <c r="BH20" i="36"/>
  <c r="BQ20" i="36" s="1"/>
  <c r="BH22" i="36"/>
  <c r="BD26" i="36"/>
  <c r="BE25" i="36"/>
  <c r="BG23" i="36"/>
  <c r="BF24" i="36"/>
  <c r="BU12" i="34"/>
  <c r="BJ13" i="34"/>
  <c r="BH15" i="34"/>
  <c r="BF17" i="34"/>
  <c r="BI14" i="34"/>
  <c r="BJ11" i="34"/>
  <c r="BS11" i="34" s="1"/>
  <c r="BG16" i="34"/>
  <c r="BD19" i="34"/>
  <c r="BE18" i="34"/>
  <c r="BR14" i="34"/>
  <c r="BN18" i="34"/>
  <c r="BO17" i="34"/>
  <c r="BR21" i="36"/>
  <c r="BP23" i="36"/>
  <c r="BN25" i="36"/>
  <c r="BP16" i="34"/>
  <c r="BS13" i="34"/>
  <c r="BM19" i="34"/>
  <c r="BO24" i="36"/>
  <c r="BQ22" i="36"/>
  <c r="BM26" i="36"/>
  <c r="BQ15" i="34"/>
  <c r="BF25" i="36" l="1"/>
  <c r="BH23" i="36"/>
  <c r="BG24" i="36"/>
  <c r="BD27" i="36"/>
  <c r="BE26" i="36"/>
  <c r="BJ21" i="36"/>
  <c r="BI20" i="36"/>
  <c r="BR20" i="36" s="1"/>
  <c r="BI22" i="36"/>
  <c r="BU13" i="34"/>
  <c r="BE19" i="34"/>
  <c r="BD20" i="34"/>
  <c r="BI15" i="34"/>
  <c r="BG17" i="34"/>
  <c r="BF18" i="34"/>
  <c r="BH16" i="34"/>
  <c r="BJ14" i="34"/>
  <c r="BL13" i="34" a="1"/>
  <c r="BL13" i="34" s="1"/>
  <c r="BN26" i="36"/>
  <c r="BS21" i="36"/>
  <c r="BQ23" i="36"/>
  <c r="BM20" i="34"/>
  <c r="BQ16" i="34"/>
  <c r="BO18" i="34"/>
  <c r="BS14" i="34"/>
  <c r="BP17" i="34"/>
  <c r="BN19" i="34"/>
  <c r="BO25" i="36"/>
  <c r="BP24" i="36"/>
  <c r="BM27" i="36"/>
  <c r="BR15" i="34"/>
  <c r="BR22" i="36"/>
  <c r="BT21" i="36" l="1"/>
  <c r="BH24" i="36"/>
  <c r="BJ22" i="36"/>
  <c r="BJ20" i="36"/>
  <c r="BS20" i="36" s="1"/>
  <c r="BD28" i="36"/>
  <c r="BE27" i="36"/>
  <c r="BG25" i="36"/>
  <c r="BF26" i="36"/>
  <c r="BI23" i="36"/>
  <c r="BU14" i="34"/>
  <c r="BL14" i="34" a="1"/>
  <c r="BL14" i="34" s="1"/>
  <c r="BH17" i="34"/>
  <c r="BG18" i="34"/>
  <c r="BE20" i="34"/>
  <c r="BD21" i="34"/>
  <c r="BJ15" i="34"/>
  <c r="BF19" i="34"/>
  <c r="BI16" i="34"/>
  <c r="BQ24" i="36"/>
  <c r="BN20" i="34"/>
  <c r="BR16" i="34"/>
  <c r="BO19" i="34"/>
  <c r="BP18" i="34"/>
  <c r="BP25" i="36"/>
  <c r="BQ17" i="34"/>
  <c r="BN27" i="36"/>
  <c r="BS22" i="36"/>
  <c r="BO26" i="36"/>
  <c r="BR23" i="36"/>
  <c r="BS15" i="34"/>
  <c r="BM21" i="34"/>
  <c r="BM28" i="36"/>
  <c r="BT22" i="36" l="1"/>
  <c r="BD19" i="36"/>
  <c r="BM19" i="36" s="1"/>
  <c r="BL22" i="36" a="1"/>
  <c r="BL22" i="36" s="1"/>
  <c r="BF27" i="36"/>
  <c r="BI24" i="36"/>
  <c r="BG26" i="36"/>
  <c r="BJ23" i="36"/>
  <c r="BH25" i="36"/>
  <c r="BD29" i="36"/>
  <c r="BE28" i="36"/>
  <c r="BU15" i="34"/>
  <c r="BL15" i="34" a="1"/>
  <c r="BL15" i="34" s="1"/>
  <c r="BE21" i="34"/>
  <c r="BD22" i="34"/>
  <c r="BJ16" i="34"/>
  <c r="BF20" i="34"/>
  <c r="BH18" i="34"/>
  <c r="BG19" i="34"/>
  <c r="BI17" i="34"/>
  <c r="BR17" i="34"/>
  <c r="BN21" i="34"/>
  <c r="BS16" i="34"/>
  <c r="BM29" i="36"/>
  <c r="BQ25" i="36"/>
  <c r="BN28" i="36"/>
  <c r="BR24" i="36"/>
  <c r="BO27" i="36"/>
  <c r="BP19" i="34"/>
  <c r="BP26" i="36"/>
  <c r="BM22" i="34"/>
  <c r="BO20" i="34"/>
  <c r="BQ18" i="34"/>
  <c r="BS23" i="36"/>
  <c r="BT23" i="36" l="1"/>
  <c r="BL23" i="36" a="1"/>
  <c r="BL23" i="36" s="1"/>
  <c r="BD30" i="36"/>
  <c r="BE29" i="36"/>
  <c r="BH26" i="36"/>
  <c r="BG27" i="36"/>
  <c r="BI25" i="36"/>
  <c r="BF28" i="36"/>
  <c r="BJ24" i="36"/>
  <c r="BU16" i="34"/>
  <c r="BH19" i="34"/>
  <c r="BG20" i="34"/>
  <c r="BJ17" i="34"/>
  <c r="BD23" i="34"/>
  <c r="BE22" i="34"/>
  <c r="BI18" i="34"/>
  <c r="BL16" i="34" a="1"/>
  <c r="BL16" i="34" s="1"/>
  <c r="BF21" i="34"/>
  <c r="BR25" i="36"/>
  <c r="BS24" i="36"/>
  <c r="BR18" i="34"/>
  <c r="BN22" i="34"/>
  <c r="BM30" i="36"/>
  <c r="BO21" i="34"/>
  <c r="BP27" i="36"/>
  <c r="BO28" i="36"/>
  <c r="BM23" i="34"/>
  <c r="BP20" i="34"/>
  <c r="BS17" i="34"/>
  <c r="BN29" i="36"/>
  <c r="BQ26" i="36"/>
  <c r="BQ19" i="34"/>
  <c r="BT24" i="36" l="1"/>
  <c r="BD31" i="36"/>
  <c r="BE30" i="36"/>
  <c r="BG28" i="36"/>
  <c r="BH27" i="36"/>
  <c r="BL24" i="36" a="1"/>
  <c r="BL24" i="36" s="1"/>
  <c r="BF29" i="36"/>
  <c r="BJ25" i="36"/>
  <c r="BI26" i="36"/>
  <c r="BU17" i="34"/>
  <c r="BD24" i="34"/>
  <c r="BE23" i="34"/>
  <c r="BH20" i="34"/>
  <c r="BF22" i="34"/>
  <c r="BL17" i="34" a="1"/>
  <c r="BL17" i="34" s="1"/>
  <c r="BI19" i="34"/>
  <c r="BG21" i="34"/>
  <c r="BJ18" i="34"/>
  <c r="BL18" i="34" a="1"/>
  <c r="BL18" i="34" s="1"/>
  <c r="BN30" i="36"/>
  <c r="BP28" i="36"/>
  <c r="BQ20" i="34"/>
  <c r="BP21" i="34"/>
  <c r="BM31" i="36"/>
  <c r="BS25" i="36"/>
  <c r="BM24" i="34"/>
  <c r="BQ27" i="36"/>
  <c r="BO29" i="36"/>
  <c r="BN23" i="34"/>
  <c r="BO22" i="34"/>
  <c r="BR26" i="36"/>
  <c r="BR19" i="34"/>
  <c r="BS18" i="34"/>
  <c r="BT25" i="36" l="1"/>
  <c r="BH28" i="36"/>
  <c r="BJ26" i="36"/>
  <c r="BD32" i="36"/>
  <c r="BE31" i="36"/>
  <c r="BI27" i="36"/>
  <c r="BF30" i="36"/>
  <c r="BG29" i="36"/>
  <c r="BL25" i="36" a="1"/>
  <c r="BL25" i="36" s="1"/>
  <c r="BU18" i="34"/>
  <c r="BG22" i="34"/>
  <c r="BJ19" i="34"/>
  <c r="BF23" i="34"/>
  <c r="BI20" i="34"/>
  <c r="BH21" i="34"/>
  <c r="BE24" i="34"/>
  <c r="BD25" i="34"/>
  <c r="BO30" i="36"/>
  <c r="BS19" i="34"/>
  <c r="BQ21" i="34"/>
  <c r="BR27" i="36"/>
  <c r="BO23" i="34"/>
  <c r="BQ28" i="36"/>
  <c r="BS26" i="36"/>
  <c r="BP22" i="34"/>
  <c r="BR20" i="34"/>
  <c r="BN24" i="34"/>
  <c r="BM25" i="34"/>
  <c r="BP29" i="36"/>
  <c r="BM32" i="36"/>
  <c r="BN31" i="36"/>
  <c r="BT26" i="36" l="1"/>
  <c r="BF31" i="36"/>
  <c r="BL26" i="36" a="1"/>
  <c r="BL26" i="36" s="1"/>
  <c r="BJ27" i="36"/>
  <c r="BD33" i="36"/>
  <c r="BE32" i="36"/>
  <c r="BH29" i="36"/>
  <c r="BI28" i="36"/>
  <c r="BG30" i="36"/>
  <c r="BU19" i="34"/>
  <c r="BJ20" i="34"/>
  <c r="BL20" i="34" s="1" a="1"/>
  <c r="BL20" i="34" s="1"/>
  <c r="BL19" i="34" a="1"/>
  <c r="BL19" i="34" s="1"/>
  <c r="BH22" i="34"/>
  <c r="BI21" i="34"/>
  <c r="BF24" i="34"/>
  <c r="BD26" i="34"/>
  <c r="BE25" i="34"/>
  <c r="BG23" i="34"/>
  <c r="BM33" i="36"/>
  <c r="BR21" i="34"/>
  <c r="BP23" i="34"/>
  <c r="BP30" i="36"/>
  <c r="BQ29" i="36"/>
  <c r="BR28" i="36"/>
  <c r="BO24" i="34"/>
  <c r="BQ22" i="34"/>
  <c r="BS27" i="36"/>
  <c r="BM26" i="34"/>
  <c r="BN32" i="36"/>
  <c r="BN25" i="34"/>
  <c r="BO31" i="36"/>
  <c r="BT27" i="36" l="1"/>
  <c r="BI29" i="36"/>
  <c r="BD34" i="36"/>
  <c r="BE33" i="36"/>
  <c r="BJ28" i="36"/>
  <c r="BF32" i="36"/>
  <c r="BL27" i="36" a="1"/>
  <c r="BL27" i="36" s="1"/>
  <c r="BG31" i="36"/>
  <c r="BH30" i="36"/>
  <c r="BJ21" i="34"/>
  <c r="BE26" i="34"/>
  <c r="BD27" i="34"/>
  <c r="BG24" i="34"/>
  <c r="BH23" i="34"/>
  <c r="BF25" i="34"/>
  <c r="BI22" i="34"/>
  <c r="BN33" i="36"/>
  <c r="BS21" i="34"/>
  <c r="BS20" i="34"/>
  <c r="BS28" i="36"/>
  <c r="BM34" i="36"/>
  <c r="BO25" i="34"/>
  <c r="BM27" i="34"/>
  <c r="BN26" i="34"/>
  <c r="BQ23" i="34"/>
  <c r="BQ30" i="36"/>
  <c r="BR29" i="36"/>
  <c r="BP24" i="34"/>
  <c r="BP31" i="36"/>
  <c r="BO32" i="36"/>
  <c r="BR22" i="34"/>
  <c r="BU20" i="34" l="1"/>
  <c r="BT28" i="36"/>
  <c r="BF33" i="36"/>
  <c r="BJ29" i="36"/>
  <c r="BI30" i="36"/>
  <c r="BD35" i="36"/>
  <c r="BE34" i="36"/>
  <c r="BL28" i="36" a="1"/>
  <c r="BL28" i="36" s="1"/>
  <c r="BH31" i="36"/>
  <c r="BG32" i="36"/>
  <c r="BU21" i="34"/>
  <c r="BJ22" i="34"/>
  <c r="BI23" i="34"/>
  <c r="BL21" i="34" a="1"/>
  <c r="BL21" i="34" s="1"/>
  <c r="BD28" i="34"/>
  <c r="BE27" i="34"/>
  <c r="BF26" i="34"/>
  <c r="BG25" i="34"/>
  <c r="BH24" i="34"/>
  <c r="BR30" i="36"/>
  <c r="BO33" i="36"/>
  <c r="BN27" i="34"/>
  <c r="BM28" i="34"/>
  <c r="BQ24" i="34"/>
  <c r="BP25" i="34"/>
  <c r="BQ31" i="36"/>
  <c r="BN34" i="36"/>
  <c r="BS22" i="34"/>
  <c r="BM35" i="36"/>
  <c r="BP32" i="36"/>
  <c r="BR23" i="34"/>
  <c r="BO26" i="34"/>
  <c r="BS29" i="36"/>
  <c r="BT29" i="36" l="1"/>
  <c r="BL29" i="36" a="1"/>
  <c r="BL29" i="36" s="1"/>
  <c r="BI31" i="36"/>
  <c r="BF34" i="36"/>
  <c r="BJ30" i="36"/>
  <c r="BG33" i="36"/>
  <c r="BH32" i="36"/>
  <c r="BD36" i="36"/>
  <c r="BE35" i="36"/>
  <c r="BU22" i="34"/>
  <c r="BI24" i="34"/>
  <c r="BJ23" i="34"/>
  <c r="BG26" i="34"/>
  <c r="BE28" i="34"/>
  <c r="BD29" i="34"/>
  <c r="BL22" i="34" a="1"/>
  <c r="BL22" i="34" s="1"/>
  <c r="BH25" i="34"/>
  <c r="BF27" i="34"/>
  <c r="BM29" i="34"/>
  <c r="BS30" i="36"/>
  <c r="BP26" i="34"/>
  <c r="BQ32" i="36"/>
  <c r="BN35" i="36"/>
  <c r="BP33" i="36"/>
  <c r="BS23" i="34"/>
  <c r="BQ25" i="34"/>
  <c r="BN28" i="34"/>
  <c r="BO27" i="34"/>
  <c r="BM36" i="36"/>
  <c r="BR31" i="36"/>
  <c r="BR24" i="34"/>
  <c r="BO34" i="36"/>
  <c r="BT30" i="36" l="1"/>
  <c r="BI32" i="36"/>
  <c r="BD37" i="36"/>
  <c r="BE36" i="36"/>
  <c r="BJ31" i="36"/>
  <c r="BH33" i="36"/>
  <c r="BG34" i="36"/>
  <c r="BF35" i="36"/>
  <c r="BL30" i="36" a="1"/>
  <c r="BL30" i="36" s="1"/>
  <c r="BU23" i="34"/>
  <c r="BI25" i="34"/>
  <c r="BH26" i="34"/>
  <c r="BE29" i="34"/>
  <c r="BD30" i="34"/>
  <c r="BG27" i="34"/>
  <c r="BF28" i="34"/>
  <c r="BL23" i="34" a="1"/>
  <c r="BL23" i="34" s="1"/>
  <c r="BJ24" i="34"/>
  <c r="BQ33" i="36"/>
  <c r="BQ26" i="34"/>
  <c r="BM30" i="34"/>
  <c r="BR32" i="36"/>
  <c r="BS31" i="36"/>
  <c r="BO35" i="36"/>
  <c r="BR25" i="34"/>
  <c r="BN36" i="36"/>
  <c r="BM37" i="36"/>
  <c r="BP27" i="34"/>
  <c r="BO28" i="34"/>
  <c r="BP34" i="36"/>
  <c r="BN29" i="34"/>
  <c r="BS24" i="34"/>
  <c r="BT31" i="36" l="1"/>
  <c r="BH34" i="36"/>
  <c r="BI33" i="36"/>
  <c r="BF36" i="36"/>
  <c r="BG35" i="36"/>
  <c r="BJ32" i="36"/>
  <c r="BL32" i="36" s="1" a="1"/>
  <c r="BL32" i="36" s="1"/>
  <c r="BL31" i="36" a="1"/>
  <c r="BL31" i="36" s="1"/>
  <c r="BD38" i="36"/>
  <c r="BE37" i="36"/>
  <c r="BU24" i="34"/>
  <c r="BD31" i="34"/>
  <c r="BE30" i="34"/>
  <c r="BI26" i="34"/>
  <c r="BF29" i="34"/>
  <c r="BH27" i="34"/>
  <c r="BJ25" i="34"/>
  <c r="BL24" i="34" a="1"/>
  <c r="BL24" i="34" s="1"/>
  <c r="BG28" i="34"/>
  <c r="BN30" i="34"/>
  <c r="BQ27" i="34"/>
  <c r="BQ34" i="36"/>
  <c r="BO36" i="36"/>
  <c r="BP28" i="34"/>
  <c r="BS32" i="36"/>
  <c r="BR33" i="36"/>
  <c r="BN37" i="36"/>
  <c r="BM38" i="36"/>
  <c r="BS25" i="34"/>
  <c r="BR26" i="34"/>
  <c r="BP35" i="36"/>
  <c r="BM31" i="34"/>
  <c r="BO29" i="34"/>
  <c r="BT32" i="36" l="1"/>
  <c r="BF37" i="36"/>
  <c r="BH35" i="36"/>
  <c r="BJ33" i="36"/>
  <c r="BD39" i="36"/>
  <c r="BE38" i="36"/>
  <c r="BG36" i="36"/>
  <c r="BI34" i="36"/>
  <c r="BU25" i="34"/>
  <c r="BH28" i="34"/>
  <c r="BG29" i="34"/>
  <c r="BF30" i="34"/>
  <c r="BI27" i="34"/>
  <c r="BJ26" i="34"/>
  <c r="BE31" i="34"/>
  <c r="BD32" i="34"/>
  <c r="BL25" i="34" a="1"/>
  <c r="BL25" i="34" s="1"/>
  <c r="BN38" i="36"/>
  <c r="BS33" i="36"/>
  <c r="BO30" i="34"/>
  <c r="BR27" i="34"/>
  <c r="BR34" i="36"/>
  <c r="BP29" i="34"/>
  <c r="BO37" i="36"/>
  <c r="L71" i="31"/>
  <c r="BQ28" i="34"/>
  <c r="BP36" i="36"/>
  <c r="BM39" i="36"/>
  <c r="BN31" i="34"/>
  <c r="BM32" i="34"/>
  <c r="BS26" i="34"/>
  <c r="BQ35" i="36"/>
  <c r="BT33" i="36" l="1"/>
  <c r="BJ34" i="36"/>
  <c r="BF38" i="36"/>
  <c r="BL33" i="36" a="1"/>
  <c r="BL33" i="36" s="1"/>
  <c r="BG37" i="36"/>
  <c r="BH36" i="36"/>
  <c r="BD40" i="36"/>
  <c r="BE39" i="36"/>
  <c r="BI35" i="36"/>
  <c r="BU26" i="34"/>
  <c r="BF31" i="34"/>
  <c r="BJ27" i="34"/>
  <c r="BH29" i="34"/>
  <c r="BL26" i="34" a="1"/>
  <c r="BL26" i="34" s="1"/>
  <c r="BG30" i="34"/>
  <c r="BI28" i="34"/>
  <c r="BE32" i="34"/>
  <c r="BD33" i="34"/>
  <c r="BN39" i="36"/>
  <c r="BM40" i="36"/>
  <c r="BQ29" i="34"/>
  <c r="BO38" i="36"/>
  <c r="BS27" i="34"/>
  <c r="BR35" i="36"/>
  <c r="BS34" i="36"/>
  <c r="BR28" i="34"/>
  <c r="BQ36" i="36"/>
  <c r="BN32" i="34"/>
  <c r="BM33" i="34"/>
  <c r="BP37" i="36"/>
  <c r="BP30" i="34"/>
  <c r="BO31" i="34"/>
  <c r="BT34" i="36" l="1"/>
  <c r="BL34" i="36" a="1"/>
  <c r="BL34" i="36" s="1"/>
  <c r="BI36" i="36"/>
  <c r="BJ35" i="36"/>
  <c r="BD41" i="36"/>
  <c r="BE40" i="36"/>
  <c r="BF39" i="36"/>
  <c r="BH37" i="36"/>
  <c r="BG38" i="36"/>
  <c r="BU27" i="34"/>
  <c r="BJ28" i="34"/>
  <c r="BH30" i="34"/>
  <c r="BL27" i="34" a="1"/>
  <c r="BL27" i="34" s="1"/>
  <c r="BE33" i="34"/>
  <c r="BD34" i="34"/>
  <c r="BG31" i="34"/>
  <c r="BF32" i="34"/>
  <c r="BI29" i="34"/>
  <c r="BR29" i="34"/>
  <c r="BQ30" i="34"/>
  <c r="BQ37" i="36"/>
  <c r="BS35" i="36"/>
  <c r="BO39" i="36"/>
  <c r="BM41" i="36"/>
  <c r="BN40" i="36"/>
  <c r="BP31" i="34"/>
  <c r="BR36" i="36"/>
  <c r="BN33" i="34"/>
  <c r="BM34" i="34"/>
  <c r="BP38" i="36"/>
  <c r="BO32" i="34"/>
  <c r="BS28" i="34"/>
  <c r="BT35" i="36" l="1"/>
  <c r="BJ36" i="36"/>
  <c r="BG39" i="36"/>
  <c r="BL35" i="36" a="1"/>
  <c r="BL35" i="36" s="1"/>
  <c r="BI37" i="36"/>
  <c r="BD42" i="36"/>
  <c r="BE41" i="36"/>
  <c r="BH38" i="36"/>
  <c r="BF40" i="36"/>
  <c r="BU28" i="34"/>
  <c r="BJ29" i="34"/>
  <c r="BH31" i="34"/>
  <c r="BE34" i="34"/>
  <c r="BD35" i="34"/>
  <c r="BI30" i="34"/>
  <c r="BF33" i="34"/>
  <c r="BG32" i="34"/>
  <c r="BL28" i="34" a="1"/>
  <c r="BL28" i="34" s="1"/>
  <c r="BN41" i="36"/>
  <c r="BQ38" i="36"/>
  <c r="BO33" i="34"/>
  <c r="BN34" i="34"/>
  <c r="BP39" i="36"/>
  <c r="BQ31" i="34"/>
  <c r="BO40" i="36"/>
  <c r="BS36" i="36"/>
  <c r="BM42" i="36"/>
  <c r="BP32" i="34"/>
  <c r="BM35" i="34"/>
  <c r="BR37" i="36"/>
  <c r="BS29" i="34"/>
  <c r="BR30" i="34"/>
  <c r="BT36" i="36" l="1"/>
  <c r="BL36" i="36" a="1"/>
  <c r="BL36" i="36" s="1"/>
  <c r="BG40" i="36"/>
  <c r="BI38" i="36"/>
  <c r="BD43" i="36"/>
  <c r="BE42" i="36"/>
  <c r="BH39" i="36"/>
  <c r="BF41" i="36"/>
  <c r="BJ37" i="36"/>
  <c r="BU29" i="34"/>
  <c r="BL29" i="34" a="1"/>
  <c r="BL29" i="34" s="1"/>
  <c r="BJ30" i="34"/>
  <c r="BD36" i="34"/>
  <c r="BE35" i="34"/>
  <c r="BI31" i="34"/>
  <c r="BF34" i="34"/>
  <c r="BH32" i="34"/>
  <c r="BG33" i="34"/>
  <c r="BP40" i="36"/>
  <c r="BS37" i="36"/>
  <c r="BN35" i="34"/>
  <c r="BR38" i="36"/>
  <c r="BR31" i="34"/>
  <c r="BQ39" i="36"/>
  <c r="BS30" i="34"/>
  <c r="BQ32" i="34"/>
  <c r="BO41" i="36"/>
  <c r="BO34" i="34"/>
  <c r="BP33" i="34"/>
  <c r="BM43" i="36"/>
  <c r="BM36" i="34"/>
  <c r="BN42" i="36"/>
  <c r="BT37" i="36" l="1"/>
  <c r="BG41" i="36"/>
  <c r="BH40" i="36"/>
  <c r="BF42" i="36"/>
  <c r="BJ38" i="36"/>
  <c r="BL37" i="36" a="1"/>
  <c r="BL37" i="36" s="1"/>
  <c r="BI39" i="36"/>
  <c r="BD44" i="36"/>
  <c r="BE43" i="36"/>
  <c r="BU30" i="34"/>
  <c r="BJ31" i="34"/>
  <c r="BE36" i="34"/>
  <c r="BD37" i="34"/>
  <c r="BI32" i="34"/>
  <c r="BH33" i="34"/>
  <c r="BG34" i="34"/>
  <c r="BL30" i="34" a="1"/>
  <c r="BL30" i="34" s="1"/>
  <c r="BF35" i="34"/>
  <c r="BM44" i="36"/>
  <c r="BO42" i="36"/>
  <c r="BS31" i="34"/>
  <c r="BR39" i="36"/>
  <c r="BP41" i="36"/>
  <c r="BP34" i="34"/>
  <c r="BN43" i="36"/>
  <c r="BN36" i="34"/>
  <c r="BQ40" i="36"/>
  <c r="BO35" i="34"/>
  <c r="BR32" i="34"/>
  <c r="BS38" i="36"/>
  <c r="BQ33" i="34"/>
  <c r="BM37" i="34"/>
  <c r="BT38" i="36" l="1"/>
  <c r="BF43" i="36"/>
  <c r="BG42" i="36"/>
  <c r="BD45" i="36"/>
  <c r="BE44" i="36"/>
  <c r="BH41" i="36"/>
  <c r="BJ39" i="36"/>
  <c r="BL38" i="36" a="1"/>
  <c r="BL38" i="36" s="1"/>
  <c r="BI40" i="36"/>
  <c r="BU31" i="34"/>
  <c r="BL31" i="34" a="1"/>
  <c r="BL31" i="34" s="1"/>
  <c r="BI33" i="34"/>
  <c r="BG35" i="34"/>
  <c r="BE37" i="34"/>
  <c r="BD38" i="34"/>
  <c r="BH34" i="34"/>
  <c r="BJ32" i="34"/>
  <c r="BF36" i="34"/>
  <c r="BM45" i="36"/>
  <c r="BN37" i="34"/>
  <c r="BS39" i="36"/>
  <c r="BR33" i="34"/>
  <c r="BQ41" i="36"/>
  <c r="BP42" i="36"/>
  <c r="BR40" i="36"/>
  <c r="BN44" i="36"/>
  <c r="BP35" i="34"/>
  <c r="BM38" i="34"/>
  <c r="BO43" i="36"/>
  <c r="BS32" i="34"/>
  <c r="BO36" i="34"/>
  <c r="BQ34" i="34"/>
  <c r="BT39" i="36" l="1"/>
  <c r="BL39" i="36" a="1"/>
  <c r="BL39" i="36" s="1"/>
  <c r="BI41" i="36"/>
  <c r="BG43" i="36"/>
  <c r="BJ40" i="36"/>
  <c r="BF44" i="36"/>
  <c r="BD46" i="36"/>
  <c r="BE45" i="36"/>
  <c r="BH42" i="36"/>
  <c r="BU32" i="34"/>
  <c r="BF37" i="34"/>
  <c r="BG36" i="34"/>
  <c r="BI34" i="34"/>
  <c r="BL32" i="34" a="1"/>
  <c r="BL32" i="34" s="1"/>
  <c r="BH35" i="34"/>
  <c r="BJ33" i="34"/>
  <c r="BE38" i="34"/>
  <c r="BD39" i="34"/>
  <c r="BQ35" i="34"/>
  <c r="BP43" i="36"/>
  <c r="BN45" i="36"/>
  <c r="BS33" i="34"/>
  <c r="BM46" i="36"/>
  <c r="BM39" i="34"/>
  <c r="BR34" i="34"/>
  <c r="BN38" i="34"/>
  <c r="BS40" i="36"/>
  <c r="BQ42" i="36"/>
  <c r="BR41" i="36"/>
  <c r="BP36" i="34"/>
  <c r="BO44" i="36"/>
  <c r="BO37" i="34"/>
  <c r="BT40" i="36" l="1"/>
  <c r="BL40" i="36" a="1"/>
  <c r="BL40" i="36" s="1"/>
  <c r="BI42" i="36"/>
  <c r="BD47" i="36"/>
  <c r="BE46" i="36"/>
  <c r="BG44" i="36"/>
  <c r="BJ41" i="36"/>
  <c r="BH43" i="36"/>
  <c r="BF45" i="36"/>
  <c r="BU33" i="34"/>
  <c r="BI35" i="34"/>
  <c r="BH36" i="34"/>
  <c r="BF38" i="34"/>
  <c r="BJ34" i="34"/>
  <c r="BD40" i="34"/>
  <c r="BE39" i="34"/>
  <c r="BL33" i="34" a="1"/>
  <c r="BL33" i="34" s="1"/>
  <c r="BG37" i="34"/>
  <c r="BR42" i="36"/>
  <c r="BR35" i="34"/>
  <c r="BP44" i="36"/>
  <c r="BQ36" i="34"/>
  <c r="BS34" i="34"/>
  <c r="BM40" i="34"/>
  <c r="BM47" i="36"/>
  <c r="BO38" i="34"/>
  <c r="BN39" i="34"/>
  <c r="BQ43" i="36"/>
  <c r="BO45" i="36"/>
  <c r="BS41" i="36"/>
  <c r="BP37" i="34"/>
  <c r="BN46" i="36"/>
  <c r="BT41" i="36" l="1"/>
  <c r="BL41" i="36" a="1"/>
  <c r="BL41" i="36" s="1"/>
  <c r="BF46" i="36"/>
  <c r="BJ42" i="36"/>
  <c r="BG45" i="36"/>
  <c r="BI43" i="36"/>
  <c r="BH44" i="36"/>
  <c r="BD48" i="36"/>
  <c r="BE47" i="36"/>
  <c r="BU34" i="34"/>
  <c r="BL34" i="34" a="1"/>
  <c r="BL34" i="34" s="1"/>
  <c r="BI36" i="34"/>
  <c r="BE40" i="34"/>
  <c r="BD41" i="34"/>
  <c r="BG38" i="34"/>
  <c r="BH37" i="34"/>
  <c r="BJ35" i="34"/>
  <c r="BF39" i="34"/>
  <c r="BR43" i="36"/>
  <c r="BQ44" i="36"/>
  <c r="BN47" i="36"/>
  <c r="BP38" i="34"/>
  <c r="BN40" i="34"/>
  <c r="BS35" i="34"/>
  <c r="BP45" i="36"/>
  <c r="BM41" i="34"/>
  <c r="BR36" i="34"/>
  <c r="BS42" i="36"/>
  <c r="BM48" i="36"/>
  <c r="BO39" i="34"/>
  <c r="BQ37" i="34"/>
  <c r="BO46" i="36"/>
  <c r="BT42" i="36" l="1"/>
  <c r="BF47" i="36"/>
  <c r="BH45" i="36"/>
  <c r="BG46" i="36"/>
  <c r="BD49" i="36"/>
  <c r="BE48" i="36"/>
  <c r="BJ43" i="36"/>
  <c r="BI44" i="36"/>
  <c r="BL42" i="36" a="1"/>
  <c r="BL42" i="36" s="1"/>
  <c r="BU35" i="34"/>
  <c r="BI37" i="34"/>
  <c r="BD42" i="34"/>
  <c r="BE41" i="34"/>
  <c r="BJ36" i="34"/>
  <c r="BG39" i="34"/>
  <c r="BF40" i="34"/>
  <c r="BH38" i="34"/>
  <c r="BL35" i="34" a="1"/>
  <c r="BL35" i="34" s="1"/>
  <c r="BQ45" i="36"/>
  <c r="BM42" i="34"/>
  <c r="BS36" i="34"/>
  <c r="BP39" i="34"/>
  <c r="BQ38" i="34"/>
  <c r="BR37" i="34"/>
  <c r="BP46" i="36"/>
  <c r="BN48" i="36"/>
  <c r="BM49" i="36"/>
  <c r="BO40" i="34"/>
  <c r="BO47" i="36"/>
  <c r="BN41" i="34"/>
  <c r="BR44" i="36"/>
  <c r="BS43" i="36"/>
  <c r="BT43" i="36" l="1"/>
  <c r="BF48" i="36"/>
  <c r="BH46" i="36"/>
  <c r="BG47" i="36"/>
  <c r="BD50" i="36"/>
  <c r="BE49" i="36"/>
  <c r="BJ44" i="36"/>
  <c r="BI45" i="36"/>
  <c r="BL43" i="36" a="1"/>
  <c r="BL43" i="36" s="1"/>
  <c r="BU36" i="34"/>
  <c r="BL36" i="34" a="1"/>
  <c r="BL36" i="34" s="1"/>
  <c r="BE42" i="34"/>
  <c r="BD43" i="34"/>
  <c r="BI38" i="34"/>
  <c r="BH39" i="34"/>
  <c r="BF41" i="34"/>
  <c r="BJ37" i="34"/>
  <c r="BG40" i="34"/>
  <c r="D14" i="31"/>
  <c r="BQ46" i="36"/>
  <c r="BN49" i="36"/>
  <c r="BP47" i="36"/>
  <c r="BN42" i="34"/>
  <c r="BQ39" i="34"/>
  <c r="BM50" i="36"/>
  <c r="BS37" i="34"/>
  <c r="BP40" i="34"/>
  <c r="BM43" i="34"/>
  <c r="BO41" i="34"/>
  <c r="BO48" i="36"/>
  <c r="BR38" i="34"/>
  <c r="BS44" i="36"/>
  <c r="BR45" i="36"/>
  <c r="BT44" i="36" l="1"/>
  <c r="BF49" i="36"/>
  <c r="BH47" i="36"/>
  <c r="BG48" i="36"/>
  <c r="BL44" i="36" a="1"/>
  <c r="BL44" i="36" s="1"/>
  <c r="BD51" i="36"/>
  <c r="BE50" i="36"/>
  <c r="BI46" i="36"/>
  <c r="BJ45" i="36"/>
  <c r="BU37" i="34"/>
  <c r="BG41" i="34"/>
  <c r="BJ38" i="34"/>
  <c r="BF42" i="34"/>
  <c r="BL37" i="34" a="1"/>
  <c r="BL37" i="34" s="1"/>
  <c r="BH40" i="34"/>
  <c r="BI39" i="34"/>
  <c r="BD44" i="34"/>
  <c r="BE43" i="34"/>
  <c r="E14" i="31"/>
  <c r="D13" i="31"/>
  <c r="BN50" i="36"/>
  <c r="BS45" i="36"/>
  <c r="BM44" i="34"/>
  <c r="BP48" i="36"/>
  <c r="BM51" i="36"/>
  <c r="BS38" i="34"/>
  <c r="BN43" i="34"/>
  <c r="BO42" i="34"/>
  <c r="BR46" i="36"/>
  <c r="BQ40" i="34"/>
  <c r="BO49" i="36"/>
  <c r="BP41" i="34"/>
  <c r="BR39" i="34"/>
  <c r="BQ47" i="36"/>
  <c r="BT45" i="36" l="1"/>
  <c r="BI47" i="36"/>
  <c r="BH48" i="36"/>
  <c r="BF50" i="36"/>
  <c r="BJ46" i="36"/>
  <c r="BL45" i="36" a="1"/>
  <c r="BL45" i="36" s="1"/>
  <c r="BD52" i="36"/>
  <c r="BE51" i="36"/>
  <c r="BG49" i="36"/>
  <c r="BU38" i="34"/>
  <c r="F14" i="31"/>
  <c r="BJ39" i="34"/>
  <c r="BF43" i="34"/>
  <c r="BI40" i="34"/>
  <c r="BG42" i="34"/>
  <c r="BH41" i="34"/>
  <c r="BD45" i="34"/>
  <c r="BE44" i="34"/>
  <c r="BL38" i="34" a="1"/>
  <c r="BL38" i="34" s="1"/>
  <c r="E13" i="31"/>
  <c r="BM45" i="34"/>
  <c r="BN44" i="34"/>
  <c r="BO43" i="34"/>
  <c r="BM52" i="36"/>
  <c r="BQ41" i="34"/>
  <c r="BN51" i="36"/>
  <c r="BS39" i="34"/>
  <c r="BR47" i="36"/>
  <c r="BP49" i="36"/>
  <c r="BO50" i="36"/>
  <c r="BQ48" i="36"/>
  <c r="BS46" i="36"/>
  <c r="BP42" i="34"/>
  <c r="BR40" i="34"/>
  <c r="BT46" i="36" l="1"/>
  <c r="BG50" i="36"/>
  <c r="BJ47" i="36"/>
  <c r="BD53" i="36"/>
  <c r="BE52" i="36"/>
  <c r="BF51" i="36"/>
  <c r="BH49" i="36"/>
  <c r="BL46" i="36" a="1"/>
  <c r="BL46" i="36" s="1"/>
  <c r="BI48" i="36"/>
  <c r="BU39" i="34"/>
  <c r="G14" i="31"/>
  <c r="H14" i="31" s="1"/>
  <c r="F13" i="31"/>
  <c r="BI41" i="34"/>
  <c r="BG43" i="34"/>
  <c r="BL39" i="34" a="1"/>
  <c r="BL39" i="34" s="1"/>
  <c r="BF44" i="34"/>
  <c r="BD46" i="34"/>
  <c r="BE45" i="34"/>
  <c r="BH42" i="34"/>
  <c r="BJ40" i="34"/>
  <c r="BO51" i="36"/>
  <c r="BO44" i="34"/>
  <c r="BR48" i="36"/>
  <c r="BP43" i="34"/>
  <c r="BR41" i="34"/>
  <c r="BN52" i="36"/>
  <c r="BM53" i="36"/>
  <c r="BS40" i="34"/>
  <c r="BS47" i="36"/>
  <c r="BP50" i="36"/>
  <c r="BQ42" i="34"/>
  <c r="BQ49" i="36"/>
  <c r="BN45" i="34"/>
  <c r="BM46" i="34"/>
  <c r="BT47" i="36" l="1"/>
  <c r="BG51" i="36"/>
  <c r="BD54" i="36"/>
  <c r="BE53" i="36"/>
  <c r="BH50" i="36"/>
  <c r="BJ48" i="36"/>
  <c r="BI49" i="36"/>
  <c r="BF52" i="36"/>
  <c r="BL47" i="36" a="1"/>
  <c r="BL47" i="36" s="1"/>
  <c r="BU40" i="34"/>
  <c r="G13" i="31"/>
  <c r="H13" i="31"/>
  <c r="BG44" i="34"/>
  <c r="BJ41" i="34"/>
  <c r="BL40" i="34" a="1"/>
  <c r="BL40" i="34" s="1"/>
  <c r="BF45" i="34"/>
  <c r="BI42" i="34"/>
  <c r="BE46" i="34"/>
  <c r="BD47" i="34"/>
  <c r="BH43" i="34"/>
  <c r="I14" i="31"/>
  <c r="BQ50" i="36"/>
  <c r="BN46" i="34"/>
  <c r="BS41" i="34"/>
  <c r="BQ43" i="34"/>
  <c r="BR49" i="36"/>
  <c r="BN53" i="36"/>
  <c r="BS48" i="36"/>
  <c r="BM47" i="34"/>
  <c r="BM54" i="36"/>
  <c r="BO45" i="34"/>
  <c r="BR42" i="34"/>
  <c r="BO52" i="36"/>
  <c r="BP44" i="34"/>
  <c r="BP51" i="36"/>
  <c r="BT48" i="36" l="1"/>
  <c r="BJ49" i="36"/>
  <c r="BF53" i="36"/>
  <c r="BI50" i="36"/>
  <c r="BG52" i="36"/>
  <c r="BE54" i="36"/>
  <c r="BD55" i="36"/>
  <c r="BL48" i="36" a="1"/>
  <c r="BL48" i="36" s="1"/>
  <c r="BH51" i="36"/>
  <c r="BU41" i="34"/>
  <c r="BG45" i="34"/>
  <c r="BH44" i="34"/>
  <c r="BD48" i="34"/>
  <c r="BE47" i="34"/>
  <c r="BJ42" i="34"/>
  <c r="BI43" i="34"/>
  <c r="BF46" i="34"/>
  <c r="BL41" i="34" a="1"/>
  <c r="BL41" i="34" s="1"/>
  <c r="I13" i="31"/>
  <c r="C15" i="31"/>
  <c r="BN54" i="36"/>
  <c r="BO46" i="34"/>
  <c r="BQ51" i="36"/>
  <c r="BO53" i="36"/>
  <c r="BM55" i="36"/>
  <c r="BM48" i="34"/>
  <c r="BR50" i="36"/>
  <c r="BS42" i="34"/>
  <c r="BP45" i="34"/>
  <c r="BS49" i="36"/>
  <c r="BP52" i="36"/>
  <c r="BN47" i="34"/>
  <c r="BR43" i="34"/>
  <c r="BQ44" i="34"/>
  <c r="BT49" i="36" l="1"/>
  <c r="BL49" i="36" a="1"/>
  <c r="BL49" i="36" s="1"/>
  <c r="BD56" i="36"/>
  <c r="BE55" i="36"/>
  <c r="BH52" i="36"/>
  <c r="BG53" i="36"/>
  <c r="BF54" i="36"/>
  <c r="BJ50" i="36"/>
  <c r="BI51" i="36"/>
  <c r="BU42" i="34"/>
  <c r="C16" i="31"/>
  <c r="BJ43" i="34"/>
  <c r="BL42" i="34" a="1"/>
  <c r="BL42" i="34" s="1"/>
  <c r="BG46" i="34"/>
  <c r="BF47" i="34"/>
  <c r="BD49" i="34"/>
  <c r="BE48" i="34"/>
  <c r="BI44" i="34"/>
  <c r="BH45" i="34"/>
  <c r="D15" i="31"/>
  <c r="BR44" i="34"/>
  <c r="BM56" i="36"/>
  <c r="BQ45" i="34"/>
  <c r="BP46" i="34"/>
  <c r="BM49" i="34"/>
  <c r="BS43" i="34"/>
  <c r="BO47" i="34"/>
  <c r="BS50" i="36"/>
  <c r="BP53" i="36"/>
  <c r="BN48" i="34"/>
  <c r="BO54" i="36"/>
  <c r="BQ52" i="36"/>
  <c r="BN55" i="36"/>
  <c r="BR51" i="36"/>
  <c r="BT50" i="36" l="1"/>
  <c r="BJ51" i="36"/>
  <c r="BG54" i="36"/>
  <c r="BI52" i="36"/>
  <c r="BD57" i="36"/>
  <c r="BE56" i="36"/>
  <c r="BH53" i="36"/>
  <c r="BF55" i="36"/>
  <c r="BL50" i="36" a="1"/>
  <c r="BL50" i="36" s="1"/>
  <c r="BL51" i="36" a="1"/>
  <c r="BL51" i="36" s="1"/>
  <c r="BU43" i="34"/>
  <c r="D16" i="31"/>
  <c r="E16" i="31" s="1"/>
  <c r="C17" i="31"/>
  <c r="BI45" i="34"/>
  <c r="BJ44" i="34"/>
  <c r="BD50" i="34"/>
  <c r="BE49" i="34"/>
  <c r="BF48" i="34"/>
  <c r="BH46" i="34"/>
  <c r="BL43" i="34" a="1"/>
  <c r="BL43" i="34" s="1"/>
  <c r="BG47" i="34"/>
  <c r="E15" i="31"/>
  <c r="BQ46" i="34"/>
  <c r="BM57" i="36"/>
  <c r="BO48" i="34"/>
  <c r="BR45" i="34"/>
  <c r="BP54" i="36"/>
  <c r="BN56" i="36"/>
  <c r="BQ53" i="36"/>
  <c r="BO55" i="36"/>
  <c r="BS51" i="36"/>
  <c r="BN49" i="34"/>
  <c r="BP47" i="34"/>
  <c r="BS44" i="34"/>
  <c r="BR52" i="36"/>
  <c r="BM50" i="34"/>
  <c r="BT51" i="36" l="1"/>
  <c r="BI53" i="36"/>
  <c r="BH54" i="36"/>
  <c r="BG55" i="36"/>
  <c r="BD58" i="36"/>
  <c r="BE57" i="36"/>
  <c r="BJ52" i="36"/>
  <c r="BF56" i="36"/>
  <c r="BU44" i="34"/>
  <c r="D17" i="31"/>
  <c r="E17" i="31" s="1"/>
  <c r="C18" i="31"/>
  <c r="BG48" i="34"/>
  <c r="BE50" i="34"/>
  <c r="BD51" i="34"/>
  <c r="BH47" i="34"/>
  <c r="BI46" i="34"/>
  <c r="BJ45" i="34"/>
  <c r="BF49" i="34"/>
  <c r="BL44" i="34" a="1"/>
  <c r="BL44" i="34" s="1"/>
  <c r="F15" i="31"/>
  <c r="F16" i="31"/>
  <c r="BM58" i="36"/>
  <c r="BP48" i="34"/>
  <c r="BN50" i="34"/>
  <c r="BR46" i="34"/>
  <c r="BR53" i="36"/>
  <c r="BS45" i="34"/>
  <c r="BQ47" i="34"/>
  <c r="BO56" i="36"/>
  <c r="BS52" i="36"/>
  <c r="BQ54" i="36"/>
  <c r="BP55" i="36"/>
  <c r="BN57" i="36"/>
  <c r="BO49" i="34"/>
  <c r="BM51" i="34"/>
  <c r="BT52" i="36" l="1"/>
  <c r="BF57" i="36"/>
  <c r="BH55" i="36"/>
  <c r="BJ53" i="36"/>
  <c r="BL52" i="36" a="1"/>
  <c r="BL52" i="36" s="1"/>
  <c r="BD59" i="36"/>
  <c r="BE58" i="36"/>
  <c r="BG56" i="36"/>
  <c r="BI54" i="36"/>
  <c r="BU45" i="34"/>
  <c r="D18" i="31"/>
  <c r="E18" i="31" s="1"/>
  <c r="C19" i="31"/>
  <c r="BH48" i="34"/>
  <c r="BJ46" i="34"/>
  <c r="BD52" i="34"/>
  <c r="BE51" i="34"/>
  <c r="BG49" i="34"/>
  <c r="BL45" i="34" a="1"/>
  <c r="BL45" i="34" s="1"/>
  <c r="BI47" i="34"/>
  <c r="BF50" i="34"/>
  <c r="F17" i="31"/>
  <c r="G16" i="31"/>
  <c r="G15" i="31"/>
  <c r="BQ55" i="36"/>
  <c r="BM52" i="34"/>
  <c r="BO57" i="36"/>
  <c r="BN51" i="34"/>
  <c r="BR47" i="34"/>
  <c r="BM59" i="36"/>
  <c r="BO50" i="34"/>
  <c r="BS53" i="36"/>
  <c r="BP56" i="36"/>
  <c r="BN58" i="36"/>
  <c r="BS46" i="34"/>
  <c r="BR54" i="36"/>
  <c r="BQ48" i="34"/>
  <c r="BP49" i="34"/>
  <c r="BT53" i="36" l="1"/>
  <c r="BF58" i="36"/>
  <c r="BH56" i="36"/>
  <c r="BD60" i="36"/>
  <c r="BE59" i="36"/>
  <c r="BL53" i="36" a="1"/>
  <c r="BL53" i="36" s="1"/>
  <c r="BI55" i="36"/>
  <c r="BJ54" i="36"/>
  <c r="BG57" i="36"/>
  <c r="BU46" i="34"/>
  <c r="D19" i="31"/>
  <c r="E19" i="31" s="1"/>
  <c r="C20" i="31"/>
  <c r="BE52" i="34"/>
  <c r="BD53" i="34"/>
  <c r="BJ47" i="34"/>
  <c r="BH49" i="34"/>
  <c r="BI48" i="34"/>
  <c r="BG50" i="34"/>
  <c r="BF51" i="34"/>
  <c r="BL46" i="34" a="1"/>
  <c r="BL46" i="34" s="1"/>
  <c r="F18" i="31"/>
  <c r="H15" i="31"/>
  <c r="H16" i="31"/>
  <c r="G17" i="31"/>
  <c r="BP57" i="36"/>
  <c r="BM53" i="34"/>
  <c r="BN59" i="36"/>
  <c r="BQ56" i="36"/>
  <c r="BN52" i="34"/>
  <c r="BO58" i="36"/>
  <c r="BS47" i="34"/>
  <c r="BP50" i="34"/>
  <c r="BS54" i="36"/>
  <c r="BR55" i="36"/>
  <c r="BO51" i="34"/>
  <c r="BR48" i="34"/>
  <c r="BQ49" i="34"/>
  <c r="BM60" i="36"/>
  <c r="BT54" i="36" l="1"/>
  <c r="BL54" i="36" a="1"/>
  <c r="BL54" i="36" s="1"/>
  <c r="BF59" i="36"/>
  <c r="BG58" i="36"/>
  <c r="BH57" i="36"/>
  <c r="BE60" i="36"/>
  <c r="BD61" i="36"/>
  <c r="BJ55" i="36"/>
  <c r="BI56" i="36"/>
  <c r="BU47" i="34"/>
  <c r="D20" i="31"/>
  <c r="E20" i="31" s="1"/>
  <c r="C21" i="31"/>
  <c r="D21" i="31" s="1"/>
  <c r="BE53" i="34"/>
  <c r="BD54" i="34"/>
  <c r="BG51" i="34"/>
  <c r="BF52" i="34"/>
  <c r="BJ48" i="34"/>
  <c r="BL47" i="34" a="1"/>
  <c r="BL47" i="34" s="1"/>
  <c r="BH50" i="34"/>
  <c r="BI49" i="34"/>
  <c r="F19" i="31"/>
  <c r="H17" i="31"/>
  <c r="I16" i="31"/>
  <c r="G18" i="31"/>
  <c r="I15" i="31"/>
  <c r="BM61" i="36"/>
  <c r="BM54" i="34"/>
  <c r="BS55" i="36"/>
  <c r="BP58" i="36"/>
  <c r="BN60" i="36"/>
  <c r="BO52" i="34"/>
  <c r="BO59" i="36"/>
  <c r="BR56" i="36"/>
  <c r="BQ50" i="34"/>
  <c r="BQ57" i="36"/>
  <c r="BN53" i="34"/>
  <c r="BS48" i="34"/>
  <c r="BP51" i="34"/>
  <c r="BR49" i="34"/>
  <c r="BT55" i="36" l="1"/>
  <c r="BG59" i="36"/>
  <c r="BL55" i="36" a="1"/>
  <c r="BL55" i="36" s="1"/>
  <c r="BF60" i="36"/>
  <c r="BJ56" i="36"/>
  <c r="BH58" i="36"/>
  <c r="BD62" i="36"/>
  <c r="BE61" i="36"/>
  <c r="BI57" i="36"/>
  <c r="C22" i="31"/>
  <c r="C23" i="31" s="1"/>
  <c r="BU48" i="34"/>
  <c r="BL48" i="34" a="1"/>
  <c r="BL48" i="34" s="1"/>
  <c r="A15" i="31" a="1"/>
  <c r="A15" i="31" s="1"/>
  <c r="BI50" i="34"/>
  <c r="BE54" i="34"/>
  <c r="BD55" i="34"/>
  <c r="BF53" i="34"/>
  <c r="BH51" i="34"/>
  <c r="BJ49" i="34"/>
  <c r="BG52" i="34"/>
  <c r="H18" i="31"/>
  <c r="A16" i="31" a="1"/>
  <c r="A16" i="31" s="1"/>
  <c r="E21" i="31"/>
  <c r="I17" i="31"/>
  <c r="F20" i="31"/>
  <c r="G19" i="31"/>
  <c r="BQ58" i="36"/>
  <c r="BP52" i="34"/>
  <c r="BO60" i="36"/>
  <c r="BR57" i="36"/>
  <c r="BS56" i="36"/>
  <c r="BS49" i="34"/>
  <c r="BP59" i="36"/>
  <c r="BN54" i="34"/>
  <c r="BR50" i="34"/>
  <c r="BO53" i="34"/>
  <c r="BQ51" i="34"/>
  <c r="BM55" i="34"/>
  <c r="BM62" i="36"/>
  <c r="BN61" i="36"/>
  <c r="D22" i="31" l="1"/>
  <c r="BT56" i="36"/>
  <c r="BF61" i="36"/>
  <c r="BI58" i="36"/>
  <c r="BG60" i="36"/>
  <c r="BH59" i="36"/>
  <c r="BL56" i="36" a="1"/>
  <c r="BL56" i="36" s="1"/>
  <c r="BJ57" i="36"/>
  <c r="BD63" i="36"/>
  <c r="BE62" i="36"/>
  <c r="BU49" i="34"/>
  <c r="BL49" i="34" a="1"/>
  <c r="BL49" i="34" s="1"/>
  <c r="BG53" i="34"/>
  <c r="BF54" i="34"/>
  <c r="BH52" i="34"/>
  <c r="BI51" i="34"/>
  <c r="BD56" i="34"/>
  <c r="BE55" i="34"/>
  <c r="BJ50" i="34"/>
  <c r="G20" i="31"/>
  <c r="E22" i="31"/>
  <c r="I18" i="31"/>
  <c r="A17" i="31" a="1"/>
  <c r="A17" i="31" s="1"/>
  <c r="H19" i="31"/>
  <c r="F21" i="31"/>
  <c r="D23" i="31"/>
  <c r="C24" i="31"/>
  <c r="BP53" i="34"/>
  <c r="BM56" i="34"/>
  <c r="BP60" i="36"/>
  <c r="BQ52" i="34"/>
  <c r="BS50" i="34"/>
  <c r="BO61" i="36"/>
  <c r="BN55" i="34"/>
  <c r="BQ59" i="36"/>
  <c r="BS57" i="36"/>
  <c r="BM63" i="36"/>
  <c r="BR51" i="34"/>
  <c r="BR58" i="36"/>
  <c r="BN62" i="36"/>
  <c r="BO54" i="34"/>
  <c r="BT57" i="36" l="1"/>
  <c r="BH60" i="36"/>
  <c r="BF62" i="36"/>
  <c r="BL57" i="36" a="1"/>
  <c r="BL57" i="36" s="1"/>
  <c r="BG61" i="36"/>
  <c r="BI59" i="36"/>
  <c r="BD64" i="36"/>
  <c r="BE63" i="36"/>
  <c r="BJ58" i="36"/>
  <c r="BU50" i="34"/>
  <c r="A18" i="31" a="1"/>
  <c r="A18" i="31" s="1"/>
  <c r="BI52" i="34"/>
  <c r="BH53" i="34"/>
  <c r="BF55" i="34"/>
  <c r="BJ51" i="34"/>
  <c r="BG54" i="34"/>
  <c r="BL50" i="34" a="1"/>
  <c r="BL50" i="34" s="1"/>
  <c r="BD57" i="34"/>
  <c r="BE56" i="34"/>
  <c r="I19" i="31"/>
  <c r="E23" i="31"/>
  <c r="H20" i="31"/>
  <c r="D24" i="31"/>
  <c r="C25" i="31"/>
  <c r="G21" i="31"/>
  <c r="F22" i="31"/>
  <c r="BM64" i="36"/>
  <c r="BS51" i="34"/>
  <c r="BO55" i="34"/>
  <c r="BP54" i="34"/>
  <c r="BR52" i="34"/>
  <c r="BS58" i="36"/>
  <c r="BO62" i="36"/>
  <c r="BQ60" i="36"/>
  <c r="BN56" i="34"/>
  <c r="BP61" i="36"/>
  <c r="BM57" i="34"/>
  <c r="BN63" i="36"/>
  <c r="BQ53" i="34"/>
  <c r="BR59" i="36"/>
  <c r="BT58" i="36" l="1"/>
  <c r="BF63" i="36"/>
  <c r="BI60" i="36"/>
  <c r="BL58" i="36" a="1"/>
  <c r="BL58" i="36" s="1"/>
  <c r="BD65" i="36"/>
  <c r="BE64" i="36"/>
  <c r="BH61" i="36"/>
  <c r="BG62" i="36"/>
  <c r="BJ59" i="36"/>
  <c r="BU51" i="34"/>
  <c r="BF56" i="34"/>
  <c r="BL51" i="34" a="1"/>
  <c r="BL51" i="34" s="1"/>
  <c r="BI53" i="34"/>
  <c r="BE57" i="34"/>
  <c r="BD58" i="34"/>
  <c r="BJ52" i="34"/>
  <c r="BH54" i="34"/>
  <c r="BG55" i="34"/>
  <c r="G22" i="31"/>
  <c r="E24" i="31"/>
  <c r="A19" i="31" a="1"/>
  <c r="A19" i="31" s="1"/>
  <c r="H21" i="31"/>
  <c r="I20" i="31"/>
  <c r="D25" i="31"/>
  <c r="C26" i="31"/>
  <c r="F23" i="31"/>
  <c r="BS52" i="34"/>
  <c r="BO56" i="34"/>
  <c r="BM65" i="36"/>
  <c r="BP62" i="36"/>
  <c r="BQ61" i="36"/>
  <c r="BM58" i="34"/>
  <c r="BS59" i="36"/>
  <c r="BN57" i="34"/>
  <c r="BP55" i="34"/>
  <c r="BR53" i="34"/>
  <c r="BQ54" i="34"/>
  <c r="BN64" i="36"/>
  <c r="BO63" i="36"/>
  <c r="BR60" i="36"/>
  <c r="BT59" i="36" l="1"/>
  <c r="BJ60" i="36"/>
  <c r="BF64" i="36"/>
  <c r="BG63" i="36"/>
  <c r="BI61" i="36"/>
  <c r="BD66" i="36"/>
  <c r="BE65" i="36"/>
  <c r="BL59" i="36" a="1"/>
  <c r="BL59" i="36" s="1"/>
  <c r="BH62" i="36"/>
  <c r="BU52" i="34"/>
  <c r="BL52" i="34" a="1"/>
  <c r="BL52" i="34" s="1"/>
  <c r="BH55" i="34"/>
  <c r="BF57" i="34"/>
  <c r="BI54" i="34"/>
  <c r="BJ53" i="34"/>
  <c r="BE58" i="34"/>
  <c r="BD59" i="34"/>
  <c r="BG56" i="34"/>
  <c r="D26" i="31"/>
  <c r="C27" i="31"/>
  <c r="H22" i="31"/>
  <c r="E25" i="31"/>
  <c r="I21" i="31"/>
  <c r="G23" i="31"/>
  <c r="A20" i="31" a="1"/>
  <c r="A20" i="31" s="1"/>
  <c r="F24" i="31"/>
  <c r="BR54" i="34"/>
  <c r="BR61" i="36"/>
  <c r="BS60" i="36"/>
  <c r="BQ62" i="36"/>
  <c r="BO57" i="34"/>
  <c r="BS53" i="34"/>
  <c r="BN65" i="36"/>
  <c r="BM59" i="34"/>
  <c r="BM66" i="36"/>
  <c r="BO64" i="36"/>
  <c r="BN58" i="34"/>
  <c r="BP63" i="36"/>
  <c r="BQ55" i="34"/>
  <c r="BP56" i="34"/>
  <c r="BT60" i="36" l="1"/>
  <c r="BF65" i="36"/>
  <c r="BH63" i="36"/>
  <c r="BL60" i="36" a="1"/>
  <c r="BL60" i="36" s="1"/>
  <c r="BD67" i="36"/>
  <c r="BE66" i="36"/>
  <c r="BI62" i="36"/>
  <c r="BJ61" i="36"/>
  <c r="BG64" i="36"/>
  <c r="BU53" i="34"/>
  <c r="BL53" i="34" a="1"/>
  <c r="BL53" i="34" s="1"/>
  <c r="BF58" i="34"/>
  <c r="BJ54" i="34"/>
  <c r="BI55" i="34"/>
  <c r="BH56" i="34"/>
  <c r="BE59" i="34"/>
  <c r="BD60" i="34"/>
  <c r="BG57" i="34"/>
  <c r="G24" i="31"/>
  <c r="A21" i="31" a="1"/>
  <c r="A21" i="31" s="1"/>
  <c r="F25" i="31"/>
  <c r="D27" i="31"/>
  <c r="C28" i="31"/>
  <c r="I22" i="31"/>
  <c r="H23" i="31"/>
  <c r="E26" i="31"/>
  <c r="BN66" i="36"/>
  <c r="BQ63" i="36"/>
  <c r="BS61" i="36"/>
  <c r="BQ56" i="34"/>
  <c r="BO65" i="36"/>
  <c r="BO58" i="34"/>
  <c r="BN59" i="34"/>
  <c r="BP57" i="34"/>
  <c r="BM60" i="34"/>
  <c r="BS54" i="34"/>
  <c r="BR55" i="34"/>
  <c r="BP64" i="36"/>
  <c r="BR62" i="36"/>
  <c r="BM67" i="36"/>
  <c r="BT61" i="36" l="1"/>
  <c r="BH64" i="36"/>
  <c r="BF66" i="36"/>
  <c r="BG65" i="36"/>
  <c r="BJ62" i="36"/>
  <c r="BL61" i="36" a="1"/>
  <c r="BL61" i="36" s="1"/>
  <c r="BD68" i="36"/>
  <c r="BE67" i="36"/>
  <c r="BI63" i="36"/>
  <c r="BU54" i="34"/>
  <c r="A22" i="31" a="1"/>
  <c r="A22" i="31" s="1"/>
  <c r="BE60" i="34"/>
  <c r="BD61" i="34"/>
  <c r="BI56" i="34"/>
  <c r="BL54" i="34" a="1"/>
  <c r="BL54" i="34" s="1"/>
  <c r="BF59" i="34"/>
  <c r="BH57" i="34"/>
  <c r="BJ55" i="34"/>
  <c r="BG58" i="34"/>
  <c r="F26" i="31"/>
  <c r="E27" i="31"/>
  <c r="I23" i="31"/>
  <c r="H24" i="31"/>
  <c r="G25" i="31"/>
  <c r="D28" i="31"/>
  <c r="C29" i="31"/>
  <c r="BO59" i="34"/>
  <c r="BM61" i="34"/>
  <c r="BP58" i="34"/>
  <c r="BP65" i="36"/>
  <c r="BN60" i="34"/>
  <c r="BQ57" i="34"/>
  <c r="BN67" i="36"/>
  <c r="BQ64" i="36"/>
  <c r="BO66" i="36"/>
  <c r="BS62" i="36"/>
  <c r="BS55" i="34"/>
  <c r="BR56" i="34"/>
  <c r="BM68" i="36"/>
  <c r="BR63" i="36"/>
  <c r="BT62" i="36" l="1"/>
  <c r="BF67" i="36"/>
  <c r="BH65" i="36"/>
  <c r="BJ63" i="36"/>
  <c r="BL62" i="36" a="1"/>
  <c r="BL62" i="36" s="1"/>
  <c r="BG66" i="36"/>
  <c r="BI64" i="36"/>
  <c r="BD69" i="36"/>
  <c r="BE68" i="36"/>
  <c r="BU55" i="34"/>
  <c r="BL55" i="34" a="1"/>
  <c r="BL55" i="34" s="1"/>
  <c r="BI57" i="34"/>
  <c r="BG59" i="34"/>
  <c r="BJ56" i="34"/>
  <c r="BD62" i="34"/>
  <c r="BE61" i="34"/>
  <c r="BH58" i="34"/>
  <c r="BF60" i="34"/>
  <c r="I24" i="31"/>
  <c r="G26" i="31"/>
  <c r="E28" i="31"/>
  <c r="A23" i="31" a="1"/>
  <c r="A23" i="31" s="1"/>
  <c r="D29" i="31"/>
  <c r="C30" i="31"/>
  <c r="H25" i="31"/>
  <c r="F27" i="31"/>
  <c r="BM69" i="36"/>
  <c r="BP59" i="34"/>
  <c r="BQ58" i="34"/>
  <c r="BO60" i="34"/>
  <c r="BN61" i="34"/>
  <c r="BM62" i="34"/>
  <c r="BP66" i="36"/>
  <c r="BS56" i="34"/>
  <c r="BO67" i="36"/>
  <c r="BS63" i="36"/>
  <c r="BQ65" i="36"/>
  <c r="BR57" i="34"/>
  <c r="BN68" i="36"/>
  <c r="BR64" i="36"/>
  <c r="BT63" i="36" l="1"/>
  <c r="BL63" i="36" a="1"/>
  <c r="BL63" i="36" s="1"/>
  <c r="BJ64" i="36"/>
  <c r="BG67" i="36"/>
  <c r="BH66" i="36"/>
  <c r="BF68" i="36"/>
  <c r="BI65" i="36"/>
  <c r="BD70" i="36"/>
  <c r="BE69" i="36"/>
  <c r="BU56" i="34"/>
  <c r="A24" i="31" a="1"/>
  <c r="A24" i="31" s="1"/>
  <c r="BH59" i="34"/>
  <c r="BF61" i="34"/>
  <c r="BL56" i="34" a="1"/>
  <c r="BL56" i="34" s="1"/>
  <c r="BJ57" i="34"/>
  <c r="BI58" i="34"/>
  <c r="BG60" i="34"/>
  <c r="BE62" i="34"/>
  <c r="BD63" i="34"/>
  <c r="E29" i="31"/>
  <c r="F28" i="31"/>
  <c r="H26" i="31"/>
  <c r="G27" i="31"/>
  <c r="I25" i="31"/>
  <c r="D30" i="31"/>
  <c r="C31" i="31"/>
  <c r="BR65" i="36"/>
  <c r="BQ59" i="34"/>
  <c r="BM70" i="36"/>
  <c r="BP60" i="34"/>
  <c r="BN69" i="36"/>
  <c r="BR58" i="34"/>
  <c r="BP67" i="36"/>
  <c r="BQ66" i="36"/>
  <c r="BS64" i="36"/>
  <c r="BS57" i="34"/>
  <c r="BO68" i="36"/>
  <c r="BM63" i="34"/>
  <c r="BN62" i="34"/>
  <c r="BO61" i="34"/>
  <c r="BT64" i="36" l="1"/>
  <c r="BD71" i="36"/>
  <c r="BE70" i="36"/>
  <c r="BH67" i="36"/>
  <c r="BG68" i="36"/>
  <c r="BF69" i="36"/>
  <c r="BJ65" i="36"/>
  <c r="BI66" i="36"/>
  <c r="BL64" i="36" a="1"/>
  <c r="BL64" i="36" s="1"/>
  <c r="BU57" i="34"/>
  <c r="A25" i="31" a="1"/>
  <c r="A25" i="31" s="1"/>
  <c r="BF62" i="34"/>
  <c r="BL57" i="34" a="1"/>
  <c r="BL57" i="34" s="1"/>
  <c r="BG61" i="34"/>
  <c r="BI59" i="34"/>
  <c r="BD64" i="34"/>
  <c r="BE63" i="34"/>
  <c r="BH60" i="34"/>
  <c r="BJ58" i="34"/>
  <c r="H27" i="31"/>
  <c r="G28" i="31"/>
  <c r="D31" i="31"/>
  <c r="C32" i="31"/>
  <c r="F29" i="31"/>
  <c r="E30" i="31"/>
  <c r="I26" i="31"/>
  <c r="BS65" i="36"/>
  <c r="BR59" i="34"/>
  <c r="BN63" i="34"/>
  <c r="BO69" i="36"/>
  <c r="BO62" i="34"/>
  <c r="BN70" i="36"/>
  <c r="BR66" i="36"/>
  <c r="BP61" i="34"/>
  <c r="BM64" i="34"/>
  <c r="BS58" i="34"/>
  <c r="BM71" i="36"/>
  <c r="BP68" i="36"/>
  <c r="BQ60" i="34"/>
  <c r="BQ67" i="36"/>
  <c r="BT65" i="36" l="1"/>
  <c r="BL65" i="36" a="1"/>
  <c r="BL65" i="36" s="1"/>
  <c r="BJ66" i="36"/>
  <c r="BH68" i="36"/>
  <c r="BF70" i="36"/>
  <c r="BG69" i="36"/>
  <c r="BI67" i="36"/>
  <c r="BD72" i="36"/>
  <c r="BE71" i="36"/>
  <c r="BM9" i="34"/>
  <c r="BU58" i="34"/>
  <c r="A26" i="31" a="1"/>
  <c r="A26" i="31" s="1"/>
  <c r="BF63" i="34"/>
  <c r="BI60" i="34"/>
  <c r="BE64" i="34"/>
  <c r="BH61" i="34"/>
  <c r="BG62" i="34"/>
  <c r="BL58" i="34" a="1"/>
  <c r="BL58" i="34" s="1"/>
  <c r="BJ59" i="34"/>
  <c r="D32" i="31"/>
  <c r="C33" i="31"/>
  <c r="I27" i="31"/>
  <c r="E31" i="31"/>
  <c r="F30" i="31"/>
  <c r="G29" i="31"/>
  <c r="H28" i="31"/>
  <c r="BQ61" i="34"/>
  <c r="BN64" i="34"/>
  <c r="BS59" i="34"/>
  <c r="BO63" i="34"/>
  <c r="BS66" i="36"/>
  <c r="BP69" i="36"/>
  <c r="BR60" i="34"/>
  <c r="BO70" i="36"/>
  <c r="BR67" i="36"/>
  <c r="BQ68" i="36"/>
  <c r="BP62" i="34"/>
  <c r="BN71" i="36"/>
  <c r="BM72" i="36"/>
  <c r="BT66" i="36" l="1"/>
  <c r="BL66" i="36" a="1"/>
  <c r="BL66" i="36" s="1"/>
  <c r="BD73" i="36"/>
  <c r="BE72" i="36"/>
  <c r="BH69" i="36"/>
  <c r="BJ67" i="36"/>
  <c r="BI68" i="36"/>
  <c r="BF71" i="36"/>
  <c r="BG70" i="36"/>
  <c r="BN9" i="34"/>
  <c r="BU59" i="34"/>
  <c r="BL59" i="34" a="1"/>
  <c r="BL59" i="34" s="1"/>
  <c r="BH62" i="34"/>
  <c r="BF64" i="34"/>
  <c r="BJ60" i="34"/>
  <c r="BD10" i="34" s="1"/>
  <c r="BM10" i="34" s="1"/>
  <c r="BI61" i="34"/>
  <c r="BG63" i="34"/>
  <c r="D33" i="31"/>
  <c r="C34" i="31"/>
  <c r="I28" i="31"/>
  <c r="F31" i="31"/>
  <c r="H29" i="31"/>
  <c r="A27" i="31" a="1"/>
  <c r="A27" i="31" s="1"/>
  <c r="G30" i="31"/>
  <c r="E32" i="31"/>
  <c r="BN72" i="36"/>
  <c r="BM73" i="36"/>
  <c r="BQ62" i="34"/>
  <c r="BP70" i="36"/>
  <c r="BS67" i="36"/>
  <c r="BP63" i="34"/>
  <c r="BR61" i="34"/>
  <c r="BQ69" i="36"/>
  <c r="BR68" i="36"/>
  <c r="BO64" i="34"/>
  <c r="BO71" i="36"/>
  <c r="BM18" i="36" l="1"/>
  <c r="BT67" i="36"/>
  <c r="BL67" i="36" a="1"/>
  <c r="BL67" i="36" s="1"/>
  <c r="BG71" i="36"/>
  <c r="BE73" i="36"/>
  <c r="BH70" i="36"/>
  <c r="BJ68" i="36"/>
  <c r="BF72" i="36"/>
  <c r="BI69" i="36"/>
  <c r="BO9" i="34"/>
  <c r="A28" i="31" a="1"/>
  <c r="A28" i="31" s="1"/>
  <c r="BJ61" i="34"/>
  <c r="BG64" i="34"/>
  <c r="BH63" i="34"/>
  <c r="BL60" i="34" a="1"/>
  <c r="BL60" i="34" s="1"/>
  <c r="BI62" i="34"/>
  <c r="I29" i="31"/>
  <c r="E33" i="31"/>
  <c r="G31" i="31"/>
  <c r="F32" i="31"/>
  <c r="H30" i="31"/>
  <c r="D34" i="31"/>
  <c r="C35" i="31"/>
  <c r="BP71" i="36"/>
  <c r="BS61" i="34"/>
  <c r="BP64" i="34"/>
  <c r="BO72" i="36"/>
  <c r="BN73" i="36"/>
  <c r="BQ70" i="36"/>
  <c r="BS60" i="34"/>
  <c r="BS68" i="36"/>
  <c r="BR62" i="34"/>
  <c r="BR69" i="36"/>
  <c r="BQ63" i="34"/>
  <c r="BU60" i="34" l="1"/>
  <c r="BN18" i="36"/>
  <c r="BT68" i="36"/>
  <c r="BL68" i="36" a="1"/>
  <c r="BL68" i="36" s="1"/>
  <c r="BJ69" i="36"/>
  <c r="BF73" i="36"/>
  <c r="BH71" i="36"/>
  <c r="BG72" i="36"/>
  <c r="BI70" i="36"/>
  <c r="BP9" i="34"/>
  <c r="BU61" i="34"/>
  <c r="A29" i="31" a="1"/>
  <c r="A29" i="31" s="1"/>
  <c r="BJ62" i="34"/>
  <c r="BH64" i="34"/>
  <c r="BI63" i="34"/>
  <c r="BL61" i="34" a="1"/>
  <c r="BL61" i="34" s="1"/>
  <c r="F33" i="31"/>
  <c r="G32" i="31"/>
  <c r="D35" i="31"/>
  <c r="C36" i="31"/>
  <c r="E34" i="31"/>
  <c r="I30" i="31"/>
  <c r="H31" i="31"/>
  <c r="BP72" i="36"/>
  <c r="BQ71" i="36"/>
  <c r="BQ64" i="34"/>
  <c r="BR70" i="36"/>
  <c r="BS69" i="36"/>
  <c r="BR63" i="34"/>
  <c r="BO73" i="36"/>
  <c r="BS62" i="34"/>
  <c r="BO18" i="36" l="1"/>
  <c r="BT69" i="36"/>
  <c r="BI71" i="36"/>
  <c r="BL69" i="36" a="1"/>
  <c r="BL69" i="36" s="1"/>
  <c r="BG73" i="36"/>
  <c r="BH72" i="36"/>
  <c r="BJ70" i="36"/>
  <c r="BQ9" i="34"/>
  <c r="BU62" i="34"/>
  <c r="BI64" i="34"/>
  <c r="BR64" i="34" s="1"/>
  <c r="BJ63" i="34"/>
  <c r="BL62" i="34" a="1"/>
  <c r="BL62" i="34" s="1"/>
  <c r="D36" i="31"/>
  <c r="C37" i="31"/>
  <c r="G33" i="31"/>
  <c r="I31" i="31"/>
  <c r="E35" i="31"/>
  <c r="A30" i="31" a="1"/>
  <c r="A30" i="31" s="1"/>
  <c r="F34" i="31"/>
  <c r="H32" i="31"/>
  <c r="BS63" i="34"/>
  <c r="BQ72" i="36"/>
  <c r="BP73" i="36"/>
  <c r="BR71" i="36"/>
  <c r="BS70" i="36"/>
  <c r="BP18" i="36" l="1"/>
  <c r="BR9" i="34"/>
  <c r="BT70" i="36"/>
  <c r="BL70" i="36" a="1"/>
  <c r="BL70" i="36" s="1"/>
  <c r="BJ71" i="36"/>
  <c r="BH73" i="36"/>
  <c r="BI72" i="36"/>
  <c r="BU63" i="34"/>
  <c r="BJ64" i="34"/>
  <c r="BS64" i="34" s="1"/>
  <c r="BL63" i="34" a="1"/>
  <c r="BL63" i="34" s="1"/>
  <c r="G34" i="31"/>
  <c r="A31" i="31" a="1"/>
  <c r="A31" i="31" s="1"/>
  <c r="E36" i="31"/>
  <c r="H33" i="31"/>
  <c r="I32" i="31"/>
  <c r="F35" i="31"/>
  <c r="D37" i="31"/>
  <c r="C38" i="31"/>
  <c r="BS71" i="36"/>
  <c r="BQ73" i="36"/>
  <c r="BR72" i="36"/>
  <c r="BQ18" i="36" l="1"/>
  <c r="BU7" i="34"/>
  <c r="BT71" i="36"/>
  <c r="BI73" i="36"/>
  <c r="BJ72" i="36"/>
  <c r="BL71" i="36" a="1"/>
  <c r="BL71" i="36" s="1"/>
  <c r="BM7" i="34"/>
  <c r="AU7" i="34"/>
  <c r="AC7" i="34"/>
  <c r="BS9" i="34"/>
  <c r="BU64" i="34"/>
  <c r="A32" i="31" a="1"/>
  <c r="A32" i="31" s="1"/>
  <c r="BL64" i="34" a="1"/>
  <c r="BL64" i="34" s="1"/>
  <c r="G35" i="31"/>
  <c r="I33" i="31"/>
  <c r="H34" i="31"/>
  <c r="F36" i="31"/>
  <c r="D38" i="31"/>
  <c r="C39" i="31"/>
  <c r="E37" i="31"/>
  <c r="BS72" i="36"/>
  <c r="BR73" i="36"/>
  <c r="BR18" i="36" l="1"/>
  <c r="BT72" i="36"/>
  <c r="BJ73" i="36"/>
  <c r="BL72" i="36" a="1"/>
  <c r="BL72" i="36" s="1"/>
  <c r="F37" i="31"/>
  <c r="G36" i="31"/>
  <c r="H35" i="31"/>
  <c r="D39" i="31"/>
  <c r="C40" i="31"/>
  <c r="I34" i="31"/>
  <c r="E38" i="31"/>
  <c r="A33" i="31" a="1"/>
  <c r="A33" i="31" s="1"/>
  <c r="BS73" i="36"/>
  <c r="BS18" i="36" l="1"/>
  <c r="BN14" i="36"/>
  <c r="BM14" i="36" s="1"/>
  <c r="BN11" i="36"/>
  <c r="BM11" i="36" s="1"/>
  <c r="BT73" i="36"/>
  <c r="BN15" i="36"/>
  <c r="BM15" i="36" s="1"/>
  <c r="BN12" i="36"/>
  <c r="BM12" i="36" s="1"/>
  <c r="BN10" i="36"/>
  <c r="BM10" i="36" s="1"/>
  <c r="BN13" i="36"/>
  <c r="BM13" i="36" s="1"/>
  <c r="BL73" i="36" a="1"/>
  <c r="BL73" i="36" s="1"/>
  <c r="A34" i="31" a="1"/>
  <c r="A34" i="31" s="1"/>
  <c r="F38" i="31"/>
  <c r="E39" i="31"/>
  <c r="H36" i="31"/>
  <c r="G37" i="31"/>
  <c r="D40" i="31"/>
  <c r="C41" i="31"/>
  <c r="I35" i="31"/>
  <c r="A35" i="31" l="1" a="1"/>
  <c r="A35" i="31" s="1"/>
  <c r="H37" i="31"/>
  <c r="G38" i="31"/>
  <c r="D41" i="31"/>
  <c r="C42" i="31"/>
  <c r="I36" i="31"/>
  <c r="E40" i="31"/>
  <c r="F39" i="31"/>
  <c r="D42" i="31" l="1"/>
  <c r="C43" i="31"/>
  <c r="G39" i="31"/>
  <c r="E41" i="31"/>
  <c r="I37" i="31"/>
  <c r="F40" i="31"/>
  <c r="A36" i="31" a="1"/>
  <c r="A36" i="31" s="1"/>
  <c r="H38" i="31"/>
  <c r="G40" i="31" l="1"/>
  <c r="D43" i="31"/>
  <c r="C44" i="31"/>
  <c r="I38" i="31"/>
  <c r="A37" i="31" a="1"/>
  <c r="A37" i="31" s="1"/>
  <c r="E42" i="31"/>
  <c r="F41" i="31"/>
  <c r="H39" i="31"/>
  <c r="A38" i="31" l="1" a="1"/>
  <c r="A38" i="31" s="1"/>
  <c r="D44" i="31"/>
  <c r="C45" i="31"/>
  <c r="H40" i="31"/>
  <c r="G41" i="31"/>
  <c r="I39" i="31"/>
  <c r="F42" i="31"/>
  <c r="E43" i="31"/>
  <c r="I40" i="31" l="1"/>
  <c r="D45" i="31"/>
  <c r="C46" i="31"/>
  <c r="F43" i="31"/>
  <c r="G42" i="31"/>
  <c r="A39" i="31" a="1"/>
  <c r="A39" i="31" s="1"/>
  <c r="E44" i="31"/>
  <c r="H41" i="31"/>
  <c r="G43" i="31" l="1"/>
  <c r="A40" i="31" a="1"/>
  <c r="A40" i="31" s="1"/>
  <c r="D46" i="31"/>
  <c r="C47" i="31"/>
  <c r="F44" i="31"/>
  <c r="H42" i="31"/>
  <c r="I41" i="31"/>
  <c r="E45" i="31"/>
  <c r="D47" i="31" l="1"/>
  <c r="C48" i="31"/>
  <c r="H43" i="31"/>
  <c r="I42" i="31"/>
  <c r="A41" i="31" a="1"/>
  <c r="A41" i="31" s="1"/>
  <c r="E46" i="31"/>
  <c r="F45" i="31"/>
  <c r="G44" i="31"/>
  <c r="A42" i="31" l="1" a="1"/>
  <c r="A42" i="31" s="1"/>
  <c r="I43" i="31"/>
  <c r="F46" i="31"/>
  <c r="H44" i="31"/>
  <c r="E47" i="31"/>
  <c r="D48" i="31"/>
  <c r="C49" i="31"/>
  <c r="G45" i="31"/>
  <c r="H45" i="31" l="1"/>
  <c r="F47" i="31"/>
  <c r="A43" i="31" a="1"/>
  <c r="A43" i="31" s="1"/>
  <c r="D49" i="31"/>
  <c r="C50" i="31"/>
  <c r="I44" i="31"/>
  <c r="E48" i="31"/>
  <c r="G46" i="31"/>
  <c r="E49" i="31" l="1"/>
  <c r="I45" i="31"/>
  <c r="F48" i="31"/>
  <c r="A44" i="31" a="1"/>
  <c r="A44" i="31" s="1"/>
  <c r="H46" i="31"/>
  <c r="D50" i="31"/>
  <c r="C51" i="31"/>
  <c r="G47" i="31"/>
  <c r="D51" i="31" l="1"/>
  <c r="C52" i="31"/>
  <c r="I46" i="31"/>
  <c r="F49" i="31"/>
  <c r="G48" i="31"/>
  <c r="E50" i="31"/>
  <c r="H47" i="31"/>
  <c r="A45" i="31" a="1"/>
  <c r="A45" i="31" s="1"/>
  <c r="F50" i="31" l="1"/>
  <c r="D52" i="31"/>
  <c r="C53" i="31"/>
  <c r="A46" i="31" a="1"/>
  <c r="A46" i="31" s="1"/>
  <c r="H48" i="31"/>
  <c r="E51" i="31"/>
  <c r="I47" i="31"/>
  <c r="G49" i="31"/>
  <c r="H49" i="31" l="1"/>
  <c r="A47" i="31" a="1"/>
  <c r="A47" i="31" s="1"/>
  <c r="G50" i="31"/>
  <c r="F51" i="31"/>
  <c r="D53" i="31"/>
  <c r="C54" i="31"/>
  <c r="I48" i="31"/>
  <c r="E52" i="31"/>
  <c r="A48" i="31" l="1" a="1"/>
  <c r="A48" i="31" s="1"/>
  <c r="E53" i="31"/>
  <c r="I49" i="31"/>
  <c r="F52" i="31"/>
  <c r="G51" i="31"/>
  <c r="D54" i="31"/>
  <c r="C55" i="31"/>
  <c r="H50" i="31"/>
  <c r="D55" i="31" l="1"/>
  <c r="C56" i="31"/>
  <c r="H51" i="31"/>
  <c r="F53" i="31"/>
  <c r="G52" i="31"/>
  <c r="E54" i="31"/>
  <c r="I50" i="31"/>
  <c r="A49" i="31" a="1"/>
  <c r="A49" i="31" s="1"/>
  <c r="E55" i="31" l="1"/>
  <c r="A50" i="31" a="1"/>
  <c r="A50" i="31" s="1"/>
  <c r="I51" i="31"/>
  <c r="F54" i="31"/>
  <c r="D56" i="31"/>
  <c r="C57" i="31"/>
  <c r="H52" i="31"/>
  <c r="G53" i="31"/>
  <c r="A51" i="31" l="1" a="1"/>
  <c r="A51" i="31" s="1"/>
  <c r="I52" i="31"/>
  <c r="F55" i="31"/>
  <c r="G54" i="31"/>
  <c r="H53" i="31"/>
  <c r="D57" i="31"/>
  <c r="C58" i="31"/>
  <c r="E56" i="31"/>
  <c r="A52" i="31" l="1" a="1"/>
  <c r="A52" i="31" s="1"/>
  <c r="F56" i="31"/>
  <c r="D58" i="31"/>
  <c r="C59" i="31"/>
  <c r="H54" i="31"/>
  <c r="E57" i="31"/>
  <c r="G55" i="31"/>
  <c r="I53" i="31"/>
  <c r="I54" i="31" l="1"/>
  <c r="H55" i="31"/>
  <c r="D59" i="31"/>
  <c r="C60" i="31"/>
  <c r="G56" i="31"/>
  <c r="A53" i="31" a="1"/>
  <c r="A53" i="31" s="1"/>
  <c r="F57" i="31"/>
  <c r="E58" i="31"/>
  <c r="D60" i="31" l="1"/>
  <c r="C61" i="31"/>
  <c r="A54" i="31" a="1"/>
  <c r="A54" i="31" s="1"/>
  <c r="F58" i="31"/>
  <c r="G57" i="31"/>
  <c r="E59" i="31"/>
  <c r="H56" i="31"/>
  <c r="I55" i="31"/>
  <c r="A55" i="31" l="1" a="1"/>
  <c r="A55" i="31" s="1"/>
  <c r="G58" i="31"/>
  <c r="F59" i="31"/>
  <c r="D61" i="31"/>
  <c r="C62" i="31"/>
  <c r="I56" i="31"/>
  <c r="H57" i="31"/>
  <c r="E60" i="31"/>
  <c r="D62" i="31" l="1"/>
  <c r="C63" i="31"/>
  <c r="F60" i="31"/>
  <c r="E61" i="31"/>
  <c r="I57" i="31"/>
  <c r="H58" i="31"/>
  <c r="A56" i="31" a="1"/>
  <c r="A56" i="31" s="1"/>
  <c r="G59" i="31"/>
  <c r="A57" i="31" l="1" a="1"/>
  <c r="A57" i="31" s="1"/>
  <c r="F61" i="31"/>
  <c r="E62" i="31"/>
  <c r="H59" i="31"/>
  <c r="I58" i="31"/>
  <c r="G60" i="31"/>
  <c r="D63" i="31"/>
  <c r="C64" i="31"/>
  <c r="C65" i="31" l="1"/>
  <c r="H60" i="31"/>
  <c r="D64" i="31"/>
  <c r="F62" i="31"/>
  <c r="E63" i="31"/>
  <c r="A58" i="31" a="1"/>
  <c r="A58" i="31" s="1"/>
  <c r="G61" i="31"/>
  <c r="I59" i="31"/>
  <c r="D65" i="31" l="1"/>
  <c r="E65" i="31" s="1"/>
  <c r="C66" i="31"/>
  <c r="A59" i="31" a="1"/>
  <c r="A59" i="31" s="1"/>
  <c r="F63" i="31"/>
  <c r="G62" i="31"/>
  <c r="H61" i="31"/>
  <c r="I60" i="31"/>
  <c r="E64" i="31"/>
  <c r="D66" i="31" l="1"/>
  <c r="E66" i="31" s="1"/>
  <c r="F65" i="31"/>
  <c r="G63" i="31"/>
  <c r="F64" i="31"/>
  <c r="I61" i="31"/>
  <c r="A60" i="31" a="1"/>
  <c r="A60" i="31" s="1"/>
  <c r="H62" i="31"/>
  <c r="A61" i="31" l="1" a="1"/>
  <c r="A61" i="31" s="1"/>
  <c r="G65" i="31"/>
  <c r="F66" i="31"/>
  <c r="G64" i="31"/>
  <c r="H63" i="31"/>
  <c r="I62" i="31"/>
  <c r="G66" i="31" l="1"/>
  <c r="H65" i="31"/>
  <c r="A62" i="31" a="1"/>
  <c r="A62" i="31" s="1"/>
  <c r="I63" i="31"/>
  <c r="H64" i="31"/>
  <c r="I65" i="31" l="1"/>
  <c r="H66" i="31"/>
  <c r="A63" i="31" a="1"/>
  <c r="A63" i="31" s="1"/>
  <c r="I64" i="31"/>
  <c r="A64" i="31" l="1" a="1"/>
  <c r="A64" i="31" s="1"/>
  <c r="I66" i="31"/>
  <c r="A65" i="31" a="1"/>
  <c r="A65" i="31" s="1"/>
  <c r="C7" i="31" l="1"/>
  <c r="K72" i="31" s="1"/>
  <c r="A66" i="31" a="1"/>
  <c r="A66" i="31" s="1"/>
  <c r="K14" i="31"/>
  <c r="L14" i="31"/>
  <c r="Q61" i="31"/>
  <c r="M30" i="31"/>
  <c r="L72" i="31"/>
  <c r="P61" i="31"/>
  <c r="L37" i="31"/>
  <c r="O64" i="31"/>
  <c r="L35" i="31"/>
  <c r="Q47" i="31"/>
  <c r="M49" i="31"/>
  <c r="M36" i="31"/>
  <c r="N17" i="31"/>
  <c r="N16" i="31"/>
  <c r="O31" i="31"/>
  <c r="Q54" i="31"/>
  <c r="Q60" i="31"/>
  <c r="N64" i="31"/>
  <c r="Q42" i="31"/>
  <c r="L32" i="31"/>
  <c r="M55" i="31"/>
  <c r="Q64" i="31"/>
  <c r="M19" i="31"/>
  <c r="O14" i="31"/>
  <c r="Q39" i="31"/>
  <c r="Q27" i="31"/>
  <c r="M41" i="31"/>
  <c r="Q53" i="31"/>
  <c r="K19" i="31"/>
  <c r="P31" i="31"/>
  <c r="O56" i="31"/>
  <c r="P50" i="31"/>
  <c r="N30" i="31"/>
  <c r="L64" i="31"/>
  <c r="P55" i="31"/>
  <c r="O60" i="31"/>
  <c r="Q16" i="31"/>
  <c r="N53" i="31"/>
  <c r="Q55" i="31"/>
  <c r="O53" i="31"/>
  <c r="P28" i="31"/>
  <c r="P33" i="31"/>
  <c r="K60" i="31"/>
  <c r="Q30" i="31"/>
  <c r="O23" i="31"/>
  <c r="K44" i="31"/>
  <c r="L41" i="31"/>
  <c r="N18" i="31"/>
  <c r="P18" i="31"/>
  <c r="N33" i="31"/>
  <c r="O55" i="31"/>
  <c r="P25" i="31"/>
  <c r="K42" i="31"/>
  <c r="K46" i="31"/>
  <c r="P65" i="31"/>
  <c r="K47" i="31"/>
  <c r="M32" i="31"/>
  <c r="K18" i="31"/>
  <c r="Q38" i="31"/>
  <c r="O49" i="31"/>
  <c r="P46" i="31"/>
  <c r="L27" i="31"/>
  <c r="O38" i="31"/>
  <c r="L54" i="31"/>
  <c r="K48" i="31"/>
  <c r="L51" i="31"/>
  <c r="N34" i="31"/>
  <c r="M34" i="31"/>
  <c r="K25" i="31"/>
  <c r="M39" i="31"/>
  <c r="L36" i="31"/>
  <c r="N24" i="31"/>
  <c r="K41" i="31"/>
  <c r="L62" i="31"/>
  <c r="N44" i="31"/>
  <c r="O58" i="31"/>
  <c r="M50" i="31"/>
  <c r="N42" i="31"/>
  <c r="P54" i="31"/>
  <c r="N62" i="31"/>
  <c r="L29" i="31"/>
  <c r="N55" i="31"/>
  <c r="O61" i="31"/>
  <c r="O16" i="31"/>
  <c r="Q58" i="31"/>
  <c r="K16" i="31"/>
  <c r="K56" i="31"/>
  <c r="M21" i="31"/>
  <c r="N15" i="31"/>
  <c r="N39" i="31"/>
  <c r="Q26" i="31"/>
  <c r="P44" i="31"/>
  <c r="Q35" i="31"/>
  <c r="L23" i="31"/>
  <c r="M64" i="31"/>
  <c r="K39" i="31"/>
  <c r="Q46" i="31"/>
  <c r="M46" i="31"/>
  <c r="K27" i="31"/>
  <c r="N56" i="31"/>
  <c r="N48" i="31"/>
  <c r="O37" i="31"/>
  <c r="L31" i="31"/>
  <c r="K22" i="31"/>
  <c r="L50" i="31"/>
  <c r="N29" i="31"/>
  <c r="P36" i="31"/>
  <c r="L42" i="31"/>
  <c r="P47" i="31"/>
  <c r="L34" i="31"/>
  <c r="O46" i="31"/>
  <c r="K66" i="31"/>
  <c r="O57" i="31"/>
  <c r="M28" i="31"/>
  <c r="N19" i="31"/>
  <c r="Q50" i="31"/>
  <c r="K23" i="31"/>
  <c r="P20" i="31"/>
  <c r="K58" i="31"/>
  <c r="O63" i="31"/>
  <c r="Q41" i="31"/>
  <c r="Q28" i="31"/>
  <c r="M48" i="31"/>
  <c r="P26" i="31"/>
  <c r="K32" i="31"/>
  <c r="O43" i="31"/>
  <c r="K29" i="31"/>
  <c r="N36" i="31"/>
  <c r="L46" i="31"/>
  <c r="Q65" i="31"/>
  <c r="N46" i="31"/>
  <c r="M60" i="31"/>
  <c r="P43" i="31"/>
  <c r="K63" i="31"/>
  <c r="Q37" i="31"/>
  <c r="M51" i="31"/>
  <c r="M58" i="31"/>
  <c r="L28" i="31"/>
  <c r="P21" i="31"/>
  <c r="P56" i="31"/>
  <c r="L63" i="31"/>
  <c r="L15" i="31"/>
  <c r="L20" i="31"/>
  <c r="M24" i="31"/>
  <c r="K26" i="31"/>
  <c r="O17" i="31"/>
  <c r="O24" i="31"/>
  <c r="O18" i="31"/>
  <c r="O32" i="31"/>
  <c r="P38" i="31"/>
  <c r="P66" i="31"/>
  <c r="M45" i="31"/>
  <c r="N38" i="31"/>
  <c r="L53" i="31"/>
  <c r="N45" i="31"/>
  <c r="K30" i="31"/>
  <c r="P59" i="31"/>
  <c r="M17" i="31"/>
  <c r="P16" i="31"/>
  <c r="K31" i="31"/>
  <c r="N47" i="31"/>
  <c r="L38" i="31"/>
  <c r="Q33" i="31"/>
  <c r="M63" i="31"/>
  <c r="Q23" i="31"/>
  <c r="N28" i="31"/>
  <c r="M57" i="31"/>
  <c r="P49" i="31"/>
  <c r="N54" i="31"/>
  <c r="L18" i="31"/>
  <c r="N20" i="31"/>
  <c r="M16" i="31"/>
  <c r="L44" i="31"/>
  <c r="O39" i="31"/>
  <c r="O30" i="31"/>
  <c r="O51" i="31"/>
  <c r="M59" i="31"/>
  <c r="P17" i="31"/>
  <c r="K61" i="31"/>
  <c r="L26" i="31"/>
  <c r="K24" i="31"/>
  <c r="L17" i="31"/>
  <c r="K57" i="31"/>
  <c r="P29" i="31"/>
  <c r="Q19" i="31"/>
  <c r="K62" i="31"/>
  <c r="P23" i="31"/>
  <c r="Q17" i="31"/>
  <c r="L47" i="31"/>
  <c r="O34" i="31"/>
  <c r="K43" i="31"/>
  <c r="O42" i="31"/>
  <c r="Q18" i="31"/>
  <c r="L57" i="31"/>
  <c r="O22" i="31"/>
  <c r="M54" i="31"/>
  <c r="L58" i="31"/>
  <c r="K51" i="31"/>
  <c r="L66" i="31"/>
  <c r="L21" i="31"/>
  <c r="L56" i="31"/>
  <c r="Q40" i="31"/>
  <c r="L59" i="31"/>
  <c r="Q52" i="31"/>
  <c r="M37" i="31"/>
  <c r="Q49" i="31"/>
  <c r="P40" i="31"/>
  <c r="N59" i="31"/>
  <c r="L39" i="31"/>
  <c r="O62" i="31"/>
  <c r="O66" i="31"/>
  <c r="Q43" i="31"/>
  <c r="Q32" i="31"/>
  <c r="M53" i="31"/>
  <c r="P30" i="31"/>
  <c r="P45" i="31"/>
  <c r="M20" i="31"/>
  <c r="N21" i="31"/>
  <c r="P35" i="31"/>
  <c r="N43" i="31"/>
  <c r="O54" i="31"/>
  <c r="P60" i="31"/>
  <c r="N57" i="31"/>
  <c r="K15" i="31"/>
  <c r="O40" i="31"/>
  <c r="P58" i="31"/>
  <c r="K59" i="31"/>
  <c r="M47" i="31"/>
  <c r="Q21" i="31"/>
  <c r="P15" i="31"/>
  <c r="K17" i="31"/>
  <c r="L16" i="31"/>
  <c r="L48" i="31"/>
  <c r="K33" i="31"/>
  <c r="Q36" i="31"/>
  <c r="K45" i="31"/>
  <c r="O28" i="31"/>
  <c r="O25" i="31"/>
  <c r="M52" i="31"/>
  <c r="N23" i="31"/>
  <c r="K34" i="31"/>
  <c r="K21" i="31"/>
  <c r="M22" i="31"/>
  <c r="M66" i="31"/>
  <c r="M15" i="31"/>
  <c r="Q45" i="31"/>
  <c r="N60" i="31"/>
  <c r="N27" i="31"/>
  <c r="N61" i="31"/>
  <c r="P41" i="31"/>
  <c r="L55" i="31"/>
  <c r="N26" i="31"/>
  <c r="Q15" i="31"/>
  <c r="K55" i="31"/>
  <c r="K52" i="31"/>
  <c r="Q20" i="31"/>
  <c r="P14" i="31"/>
  <c r="Q44" i="31"/>
  <c r="K36" i="31"/>
  <c r="M27" i="31"/>
  <c r="P63" i="31"/>
  <c r="P52" i="31"/>
  <c r="N37" i="31"/>
  <c r="N49" i="31"/>
  <c r="P42" i="31"/>
  <c r="M42" i="31"/>
  <c r="P19" i="31"/>
  <c r="L65" i="31"/>
  <c r="M18" i="31"/>
  <c r="L61" i="31"/>
  <c r="Q62" i="31"/>
  <c r="N51" i="31"/>
  <c r="P34" i="31"/>
  <c r="L52" i="31"/>
  <c r="Q57" i="31"/>
  <c r="O50" i="31"/>
  <c r="P62" i="31"/>
  <c r="N50" i="31"/>
  <c r="O27" i="31"/>
  <c r="Q25" i="31"/>
  <c r="K50" i="31"/>
  <c r="O35" i="31"/>
  <c r="N22" i="31"/>
  <c r="O20" i="31"/>
  <c r="K38" i="31"/>
  <c r="N58" i="31"/>
  <c r="L60" i="31"/>
  <c r="L40" i="31"/>
  <c r="L19" i="31"/>
  <c r="O41" i="31"/>
  <c r="K54" i="31"/>
  <c r="N32" i="31"/>
  <c r="K40" i="31"/>
  <c r="P39" i="31"/>
  <c r="M40" i="31"/>
  <c r="L25" i="31"/>
  <c r="M25" i="31"/>
  <c r="M35" i="31"/>
  <c r="N65" i="31"/>
  <c r="O44" i="31"/>
  <c r="Q31" i="31"/>
  <c r="M56" i="31"/>
  <c r="Q59" i="31"/>
  <c r="O36" i="31"/>
  <c r="K53" i="31"/>
  <c r="M44" i="31"/>
  <c r="N35" i="31"/>
  <c r="N63" i="31"/>
  <c r="O65" i="31"/>
  <c r="M65" i="31"/>
  <c r="O48" i="31"/>
  <c r="N52" i="31"/>
  <c r="L49" i="31"/>
  <c r="Q22" i="31"/>
  <c r="L22" i="31"/>
  <c r="Q24" i="31"/>
  <c r="K64" i="31"/>
  <c r="N31" i="31"/>
  <c r="Q56" i="31"/>
  <c r="K20" i="31"/>
  <c r="O15" i="31"/>
  <c r="L43" i="31"/>
  <c r="M14" i="31"/>
  <c r="K37" i="31"/>
  <c r="Q63" i="31"/>
  <c r="Q66" i="31"/>
  <c r="N41" i="31"/>
  <c r="M26" i="31"/>
  <c r="P37" i="31"/>
  <c r="P51" i="31"/>
  <c r="P64" i="31"/>
  <c r="P57" i="31"/>
  <c r="O19" i="31"/>
  <c r="L24" i="31"/>
  <c r="M61" i="31"/>
  <c r="O33" i="31"/>
  <c r="L30" i="31"/>
  <c r="N40" i="31"/>
  <c r="O21" i="31"/>
  <c r="O29" i="31"/>
  <c r="O45" i="31"/>
  <c r="Q48" i="31"/>
  <c r="M62" i="31"/>
  <c r="Q34" i="31"/>
  <c r="M43" i="31"/>
  <c r="K28" i="31"/>
  <c r="M23" i="31"/>
  <c r="Q14" i="31"/>
  <c r="O26" i="31"/>
  <c r="N66" i="31"/>
  <c r="L33" i="31"/>
  <c r="P27" i="31"/>
  <c r="M33" i="31"/>
  <c r="M31" i="31"/>
  <c r="K35" i="31"/>
  <c r="O47" i="31"/>
  <c r="L45" i="31"/>
  <c r="N25" i="31"/>
  <c r="Q51" i="31"/>
  <c r="K49" i="31"/>
  <c r="P32" i="31"/>
  <c r="P48" i="31"/>
  <c r="O59" i="31"/>
  <c r="P24" i="31"/>
  <c r="O52" i="31"/>
  <c r="N14" i="31"/>
  <c r="M38" i="31"/>
  <c r="Q29" i="31"/>
  <c r="P53" i="31"/>
  <c r="P22" i="31"/>
  <c r="K65" i="31"/>
  <c r="M29" i="31"/>
  <c r="T62" i="31" l="1"/>
  <c r="T48" i="31"/>
  <c r="T57" i="31"/>
  <c r="T66" i="31"/>
  <c r="T18" i="31"/>
  <c r="T35" i="31"/>
  <c r="T46" i="31"/>
  <c r="T53" i="31"/>
  <c r="T23" i="31"/>
  <c r="T30" i="31"/>
  <c r="T37" i="31"/>
  <c r="T59" i="31"/>
  <c r="T19" i="31"/>
  <c r="T47" i="31"/>
  <c r="T28" i="31"/>
  <c r="T39" i="31"/>
  <c r="T55" i="31"/>
  <c r="T64" i="31"/>
  <c r="T21" i="31"/>
  <c r="T26" i="31"/>
  <c r="T56" i="31"/>
  <c r="T33" i="31"/>
  <c r="T44" i="31"/>
  <c r="T65" i="31"/>
  <c r="T25" i="31"/>
  <c r="T29" i="31"/>
  <c r="T40" i="31"/>
  <c r="T42" i="31"/>
  <c r="T49" i="31"/>
  <c r="T51" i="31"/>
  <c r="T58" i="31"/>
  <c r="T60" i="31"/>
  <c r="T15" i="31"/>
  <c r="T38" i="31"/>
  <c r="T63" i="31"/>
  <c r="T36" i="31"/>
  <c r="T32" i="31"/>
  <c r="T34" i="31"/>
  <c r="T41" i="31"/>
  <c r="T24" i="31"/>
  <c r="T45" i="31"/>
  <c r="T52" i="31"/>
  <c r="T17" i="31"/>
  <c r="T20" i="31"/>
  <c r="T16" i="31"/>
  <c r="T22" i="31"/>
  <c r="T27" i="31"/>
  <c r="T31" i="31"/>
  <c r="T43" i="31"/>
  <c r="T50" i="31"/>
  <c r="T54" i="31"/>
  <c r="T61" i="31"/>
  <c r="T14" i="31"/>
  <c r="L11" i="31"/>
  <c r="M11" i="31"/>
  <c r="N11" i="31"/>
  <c r="O11" i="31"/>
  <c r="P11" i="31"/>
  <c r="Q11" i="31"/>
  <c r="K11" i="31"/>
  <c r="K10" i="31"/>
  <c r="L10" i="31"/>
  <c r="M10" i="31"/>
  <c r="N10" i="31"/>
  <c r="O10" i="31"/>
  <c r="P10" i="31"/>
  <c r="Q10" i="31"/>
  <c r="S14" i="31"/>
  <c r="S15" i="31"/>
  <c r="S16" i="31"/>
  <c r="S17" i="31"/>
  <c r="S18" i="31"/>
  <c r="S19" i="31"/>
  <c r="S20" i="31"/>
  <c r="S21" i="31"/>
  <c r="S22" i="31"/>
  <c r="S23" i="31"/>
  <c r="S24" i="31"/>
  <c r="S25" i="31"/>
  <c r="S26" i="31"/>
  <c r="S27" i="31"/>
  <c r="S28" i="31"/>
  <c r="S29" i="31"/>
  <c r="S30" i="31"/>
  <c r="S31" i="31"/>
  <c r="S32" i="31"/>
  <c r="S33" i="31"/>
  <c r="S34" i="31"/>
  <c r="S35" i="31"/>
  <c r="S36" i="31"/>
  <c r="S37" i="31"/>
  <c r="S38" i="31"/>
  <c r="S39" i="31"/>
  <c r="S40" i="31"/>
  <c r="S41" i="31"/>
  <c r="S42" i="31"/>
  <c r="S43" i="31"/>
  <c r="S44" i="31"/>
  <c r="S45" i="31"/>
  <c r="S46" i="31"/>
  <c r="S47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S61" i="31"/>
  <c r="S62" i="31"/>
  <c r="S63" i="31"/>
  <c r="S64" i="31"/>
  <c r="S65" i="31"/>
  <c r="S66" i="31"/>
  <c r="K73" i="31"/>
  <c r="L73" i="31"/>
  <c r="K74" i="31" l="1"/>
  <c r="L74" i="31"/>
  <c r="K75" i="31" l="1"/>
  <c r="L75" i="31"/>
  <c r="K76" i="31" l="1"/>
  <c r="L76" i="31"/>
  <c r="K77" i="31" l="1"/>
  <c r="L77" i="31"/>
  <c r="K78" i="31" l="1"/>
  <c r="L78" i="31"/>
  <c r="K79" i="31" l="1"/>
  <c r="L79" i="31"/>
  <c r="K80" i="31" l="1"/>
  <c r="L80" i="31"/>
  <c r="K81" i="31" l="1"/>
  <c r="L81" i="31"/>
  <c r="K82" i="31" l="1"/>
  <c r="L82" i="31"/>
  <c r="K83" i="31" l="1"/>
  <c r="L83" i="31"/>
  <c r="K84" i="31" l="1"/>
  <c r="L84" i="31"/>
  <c r="K85" i="31" l="1"/>
  <c r="L85" i="31"/>
  <c r="K86" i="31" l="1"/>
  <c r="L86" i="31"/>
  <c r="K87" i="31" l="1"/>
  <c r="L87" i="31"/>
  <c r="K88" i="31" l="1"/>
  <c r="L88" i="31"/>
  <c r="K89" i="31" l="1"/>
  <c r="L89" i="31"/>
  <c r="K90" i="31" l="1"/>
  <c r="L90" i="31"/>
  <c r="K91" i="31" l="1"/>
  <c r="L91" i="31"/>
  <c r="K92" i="31" l="1"/>
  <c r="L92" i="31"/>
  <c r="K93" i="31" l="1"/>
  <c r="L93" i="31"/>
  <c r="K94" i="31" l="1"/>
  <c r="L94" i="31"/>
  <c r="K95" i="31" l="1"/>
  <c r="L95" i="31"/>
  <c r="K96" i="31" l="1"/>
  <c r="L96" i="31"/>
  <c r="K97" i="31" l="1"/>
  <c r="L97" i="31"/>
  <c r="K98" i="31" l="1"/>
  <c r="L98" i="31"/>
  <c r="K99" i="31" l="1"/>
  <c r="L99" i="31"/>
  <c r="K100" i="31" l="1"/>
  <c r="L100" i="31"/>
  <c r="K101" i="31" l="1"/>
  <c r="L101" i="31"/>
  <c r="K102" i="31" l="1"/>
  <c r="L102" i="31"/>
  <c r="K103" i="31" l="1"/>
  <c r="L103" i="31"/>
  <c r="K104" i="31" l="1"/>
  <c r="L104" i="31"/>
  <c r="K105" i="31" l="1"/>
  <c r="L105" i="31"/>
  <c r="K106" i="31" l="1"/>
  <c r="L106" i="31"/>
  <c r="K107" i="31" l="1"/>
  <c r="L107" i="31"/>
  <c r="K108" i="31" l="1"/>
  <c r="L108" i="31"/>
  <c r="K109" i="31" l="1"/>
  <c r="L109" i="31"/>
  <c r="K110" i="31" l="1"/>
  <c r="L110" i="31"/>
  <c r="K111" i="31" l="1"/>
  <c r="L111" i="31"/>
  <c r="K112" i="31" l="1"/>
  <c r="L112" i="31"/>
  <c r="K113" i="31" l="1"/>
  <c r="L113" i="31"/>
  <c r="K114" i="31" l="1"/>
  <c r="L114" i="31"/>
  <c r="K115" i="31" l="1"/>
  <c r="L115" i="31"/>
  <c r="K116" i="31" l="1"/>
  <c r="L116" i="31"/>
  <c r="K117" i="31" l="1"/>
  <c r="L117" i="31"/>
  <c r="K118" i="31" l="1"/>
  <c r="L118" i="31"/>
  <c r="K119" i="31" l="1"/>
  <c r="L119" i="31"/>
  <c r="K120" i="31" l="1"/>
  <c r="L120" i="31"/>
  <c r="K121" i="31" l="1"/>
  <c r="L121" i="31"/>
  <c r="K122" i="31" l="1"/>
  <c r="L122" i="31"/>
  <c r="K123" i="31" l="1"/>
  <c r="L123" i="31"/>
  <c r="K124" i="31" l="1"/>
  <c r="L124" i="31"/>
  <c r="K125" i="31" l="1"/>
  <c r="L125" i="31"/>
  <c r="K126" i="31" l="1"/>
  <c r="L126" i="31"/>
  <c r="K127" i="31" l="1"/>
  <c r="L127" i="31"/>
  <c r="K128" i="31" l="1"/>
  <c r="L128" i="31"/>
  <c r="K129" i="31" l="1"/>
  <c r="L129" i="31"/>
  <c r="K130" i="31" l="1"/>
  <c r="L130" i="31"/>
  <c r="K131" i="31" l="1"/>
  <c r="L131" i="31"/>
  <c r="K132" i="31" l="1"/>
  <c r="L132" i="31"/>
  <c r="K133" i="31" l="1"/>
  <c r="L133" i="31"/>
  <c r="K134" i="31" l="1"/>
  <c r="L134" i="31"/>
  <c r="K135" i="31" l="1"/>
  <c r="L135" i="31"/>
  <c r="K136" i="31" l="1"/>
  <c r="L136" i="31"/>
  <c r="K137" i="31" l="1"/>
  <c r="L137" i="31"/>
  <c r="K138" i="31" l="1"/>
  <c r="L138" i="31"/>
  <c r="K139" i="31" l="1"/>
  <c r="L139" i="31"/>
  <c r="K140" i="31" l="1"/>
  <c r="L140" i="31"/>
  <c r="K141" i="31" l="1"/>
  <c r="L141" i="31"/>
  <c r="K142" i="31" l="1"/>
  <c r="L142" i="31"/>
  <c r="K143" i="31" l="1"/>
  <c r="L143" i="31"/>
  <c r="K144" i="31" l="1"/>
  <c r="L144" i="31"/>
  <c r="K145" i="31" l="1"/>
  <c r="L145" i="31"/>
  <c r="K146" i="31" l="1"/>
  <c r="L146" i="31"/>
  <c r="K147" i="31" l="1"/>
  <c r="L147" i="31"/>
  <c r="K148" i="31" l="1"/>
  <c r="L148" i="31"/>
  <c r="K149" i="31" l="1"/>
  <c r="L149" i="31"/>
  <c r="K150" i="31" l="1"/>
  <c r="L150" i="31"/>
  <c r="K151" i="31" l="1"/>
  <c r="L151" i="31"/>
  <c r="K152" i="31" l="1"/>
  <c r="L152" i="31"/>
  <c r="K153" i="31" l="1"/>
  <c r="L153" i="31"/>
  <c r="K154" i="31" l="1"/>
  <c r="L154" i="31"/>
  <c r="K155" i="31" l="1"/>
  <c r="L155" i="31"/>
  <c r="K156" i="31" l="1"/>
  <c r="L156" i="31"/>
  <c r="K157" i="31" l="1"/>
  <c r="L157" i="31"/>
  <c r="K158" i="31" l="1"/>
  <c r="L158" i="31"/>
  <c r="K159" i="31" l="1"/>
  <c r="L159" i="31"/>
  <c r="K160" i="31" l="1"/>
  <c r="L160" i="31"/>
  <c r="K161" i="31" l="1"/>
  <c r="L161" i="31"/>
  <c r="K162" i="31" l="1"/>
  <c r="L162" i="31"/>
  <c r="K163" i="31" l="1"/>
  <c r="L163" i="31"/>
  <c r="K164" i="31" l="1"/>
  <c r="L164" i="31"/>
  <c r="K165" i="31" l="1"/>
  <c r="L165" i="31"/>
  <c r="K166" i="31" l="1"/>
  <c r="L166" i="31"/>
  <c r="K167" i="31" l="1"/>
  <c r="L167" i="31"/>
  <c r="K168" i="31" l="1"/>
  <c r="L168" i="31"/>
  <c r="K169" i="31" l="1"/>
  <c r="L169" i="31"/>
  <c r="K170" i="31" l="1"/>
  <c r="L170" i="31"/>
  <c r="K171" i="31" l="1"/>
  <c r="L171" i="31"/>
  <c r="K172" i="31" l="1"/>
  <c r="L172" i="31"/>
  <c r="K173" i="31" l="1"/>
  <c r="L173" i="31"/>
  <c r="K174" i="31" l="1"/>
  <c r="L174" i="31"/>
  <c r="K175" i="31" l="1"/>
  <c r="L175" i="31"/>
  <c r="K176" i="31" l="1"/>
  <c r="L176" i="31"/>
  <c r="K177" i="31" l="1"/>
  <c r="L177" i="31"/>
  <c r="K178" i="31" l="1"/>
  <c r="L178" i="31"/>
  <c r="K179" i="31" l="1"/>
  <c r="L179" i="31"/>
  <c r="K180" i="31" l="1"/>
  <c r="L180" i="31"/>
  <c r="K181" i="31" l="1"/>
  <c r="L181" i="31"/>
  <c r="K182" i="31" l="1"/>
  <c r="L182" i="31"/>
  <c r="K183" i="31" l="1"/>
  <c r="L183" i="31"/>
  <c r="K184" i="31" l="1"/>
  <c r="L184" i="31"/>
  <c r="K185" i="31" l="1"/>
  <c r="L185" i="31"/>
  <c r="K186" i="31" l="1"/>
  <c r="L186" i="31"/>
  <c r="K187" i="31" l="1"/>
  <c r="L187" i="31"/>
  <c r="K188" i="31" l="1"/>
  <c r="L188" i="31"/>
  <c r="K189" i="31" l="1"/>
  <c r="L189" i="31"/>
  <c r="K190" i="31" l="1"/>
  <c r="L190" i="31"/>
  <c r="K191" i="31" l="1"/>
  <c r="L191" i="31"/>
  <c r="K192" i="31" l="1"/>
  <c r="L192" i="31"/>
  <c r="K193" i="31" l="1"/>
  <c r="L193" i="31"/>
  <c r="K194" i="31" l="1"/>
  <c r="L194" i="31"/>
  <c r="K195" i="31" l="1"/>
  <c r="L195" i="31"/>
  <c r="K196" i="31" l="1"/>
  <c r="L196" i="31"/>
  <c r="K197" i="31" l="1"/>
  <c r="L197" i="31"/>
  <c r="K198" i="31" l="1"/>
  <c r="L198" i="31"/>
  <c r="K199" i="31" l="1"/>
  <c r="L199" i="31"/>
  <c r="K200" i="31" l="1"/>
  <c r="L200" i="31"/>
  <c r="K201" i="31" l="1"/>
  <c r="L201" i="31"/>
  <c r="K202" i="31" l="1"/>
  <c r="L202" i="31"/>
  <c r="K203" i="31" l="1"/>
  <c r="L203" i="31"/>
  <c r="K204" i="31" l="1"/>
  <c r="L204" i="31"/>
  <c r="K205" i="31" l="1"/>
  <c r="L205" i="31"/>
  <c r="K206" i="31" l="1"/>
  <c r="L206" i="31"/>
  <c r="K207" i="31" l="1"/>
  <c r="L207" i="31"/>
  <c r="K208" i="31" l="1"/>
  <c r="L208" i="31"/>
  <c r="K209" i="31" l="1"/>
  <c r="L209" i="31"/>
  <c r="K210" i="31" l="1"/>
  <c r="L210" i="31"/>
  <c r="K211" i="31" l="1"/>
  <c r="L211" i="31"/>
  <c r="K212" i="31" l="1"/>
  <c r="L212" i="31"/>
  <c r="K213" i="31" l="1"/>
  <c r="L213" i="31"/>
  <c r="K214" i="31" l="1"/>
  <c r="L214" i="31"/>
  <c r="K215" i="31" l="1"/>
  <c r="L215" i="31"/>
  <c r="K216" i="31" l="1"/>
  <c r="L216" i="31"/>
  <c r="K217" i="31" l="1"/>
  <c r="L217" i="31"/>
  <c r="K218" i="31" l="1"/>
  <c r="L218" i="31"/>
  <c r="K219" i="31" l="1"/>
  <c r="L219" i="31"/>
  <c r="K220" i="31" l="1"/>
  <c r="L220" i="31"/>
  <c r="K221" i="31" l="1"/>
  <c r="L221" i="31"/>
  <c r="K222" i="31" l="1"/>
  <c r="L222" i="31"/>
  <c r="K223" i="31" l="1"/>
  <c r="L223" i="31"/>
  <c r="K224" i="31" l="1"/>
  <c r="L224" i="31"/>
  <c r="K225" i="31" l="1"/>
  <c r="L225" i="31"/>
  <c r="K226" i="31" l="1"/>
  <c r="L226" i="31"/>
  <c r="K227" i="31" l="1"/>
  <c r="L227" i="31"/>
  <c r="K228" i="31" l="1"/>
  <c r="L228" i="31"/>
  <c r="K229" i="31" l="1"/>
  <c r="L229" i="31"/>
  <c r="K230" i="31" l="1"/>
  <c r="L230" i="31"/>
  <c r="K231" i="31" l="1"/>
  <c r="L231" i="31"/>
  <c r="K232" i="31" l="1"/>
  <c r="L232" i="31"/>
  <c r="K233" i="31" l="1"/>
  <c r="L233" i="31"/>
  <c r="K234" i="31" l="1"/>
  <c r="L234" i="31"/>
  <c r="K235" i="31" l="1"/>
  <c r="L235" i="31"/>
  <c r="K236" i="31" l="1"/>
  <c r="L236" i="31"/>
  <c r="K237" i="31" l="1"/>
  <c r="L237" i="31"/>
  <c r="K238" i="31" l="1"/>
  <c r="L238" i="31"/>
  <c r="K239" i="31" l="1"/>
  <c r="L239" i="31"/>
  <c r="K240" i="31" l="1"/>
  <c r="L240" i="31"/>
  <c r="K241" i="31" l="1"/>
  <c r="L241" i="31"/>
  <c r="K242" i="31" l="1"/>
  <c r="L242" i="31"/>
  <c r="K243" i="31" l="1"/>
  <c r="L243" i="31"/>
  <c r="K244" i="31" l="1"/>
  <c r="L244" i="31"/>
  <c r="K245" i="31" l="1"/>
  <c r="L245" i="31"/>
  <c r="K246" i="31" l="1"/>
  <c r="L246" i="31"/>
  <c r="K247" i="31" l="1"/>
  <c r="L247" i="31"/>
  <c r="K248" i="31" l="1"/>
  <c r="L248" i="31"/>
  <c r="K249" i="31" l="1"/>
  <c r="L249" i="31"/>
  <c r="K250" i="31" l="1"/>
  <c r="L250" i="31"/>
  <c r="K251" i="31" l="1"/>
  <c r="L251" i="31"/>
  <c r="K252" i="31" l="1"/>
  <c r="L252" i="31"/>
  <c r="K253" i="31" l="1"/>
  <c r="L253" i="31"/>
  <c r="K254" i="31" l="1"/>
  <c r="L254" i="31"/>
  <c r="K255" i="31" l="1"/>
  <c r="L255" i="31"/>
  <c r="K256" i="31" l="1"/>
  <c r="L256" i="31"/>
  <c r="K257" i="31" l="1"/>
  <c r="L257" i="31"/>
  <c r="K258" i="31" l="1"/>
  <c r="L258" i="31"/>
  <c r="K259" i="31" l="1"/>
  <c r="L259" i="31"/>
  <c r="K260" i="31" l="1"/>
  <c r="L260" i="31"/>
  <c r="K261" i="31" l="1"/>
  <c r="L261" i="31"/>
  <c r="K262" i="31" l="1"/>
  <c r="L262" i="31"/>
  <c r="K263" i="31" l="1"/>
  <c r="L263" i="31"/>
  <c r="K264" i="31" l="1"/>
  <c r="L264" i="31"/>
  <c r="K265" i="31" l="1"/>
  <c r="L265" i="31"/>
  <c r="K266" i="31" l="1"/>
  <c r="L266" i="31"/>
  <c r="K267" i="31" l="1"/>
  <c r="L267" i="31"/>
  <c r="K268" i="31" l="1"/>
  <c r="L268" i="31"/>
  <c r="K269" i="31" l="1"/>
  <c r="L269" i="31"/>
  <c r="K270" i="31" l="1"/>
  <c r="L270" i="31"/>
  <c r="K271" i="31" l="1"/>
  <c r="L271" i="31"/>
  <c r="K272" i="31" l="1"/>
  <c r="L272" i="31"/>
  <c r="K273" i="31" l="1"/>
  <c r="L273" i="31"/>
  <c r="K274" i="31" l="1"/>
  <c r="L274" i="31"/>
  <c r="K275" i="31" l="1"/>
  <c r="L275" i="31"/>
  <c r="K276" i="31" l="1"/>
  <c r="L276" i="31"/>
  <c r="K277" i="31" l="1"/>
  <c r="L277" i="31"/>
  <c r="K278" i="31" l="1"/>
  <c r="L278" i="31"/>
  <c r="K279" i="31" l="1"/>
  <c r="L279" i="31"/>
  <c r="K280" i="31" l="1"/>
  <c r="L280" i="31"/>
  <c r="K281" i="31" l="1"/>
  <c r="L281" i="31"/>
  <c r="K282" i="31" l="1"/>
  <c r="L282" i="31"/>
  <c r="K283" i="31" l="1"/>
  <c r="L283" i="31"/>
  <c r="K284" i="31" l="1"/>
  <c r="L284" i="31"/>
  <c r="K285" i="31" l="1"/>
  <c r="L285" i="31"/>
  <c r="K286" i="31" l="1"/>
  <c r="L286" i="31"/>
  <c r="K287" i="31" l="1"/>
  <c r="L287" i="31"/>
  <c r="K288" i="31" l="1"/>
  <c r="L288" i="31"/>
  <c r="K289" i="31" l="1"/>
  <c r="L289" i="31"/>
  <c r="K290" i="31" l="1"/>
  <c r="L290" i="31"/>
  <c r="K291" i="31" l="1"/>
  <c r="L291" i="31"/>
  <c r="K292" i="31" l="1"/>
  <c r="L292" i="31"/>
  <c r="K293" i="31" l="1"/>
  <c r="L293" i="31"/>
  <c r="K294" i="31" l="1"/>
  <c r="L294" i="31"/>
  <c r="K295" i="31" l="1"/>
  <c r="L295" i="31"/>
  <c r="K296" i="31" l="1"/>
  <c r="L296" i="31"/>
  <c r="K297" i="31" l="1"/>
  <c r="L297" i="31"/>
  <c r="K298" i="31" l="1"/>
  <c r="L298" i="31"/>
  <c r="K299" i="31" l="1"/>
  <c r="L299" i="31"/>
  <c r="K300" i="31" l="1"/>
  <c r="L300" i="31"/>
  <c r="K301" i="31" l="1"/>
  <c r="L301" i="31"/>
  <c r="K302" i="31" l="1"/>
  <c r="L302" i="31"/>
  <c r="K303" i="31" l="1"/>
  <c r="L303" i="31"/>
  <c r="K304" i="31" l="1"/>
  <c r="L304" i="31"/>
  <c r="K305" i="31" l="1"/>
  <c r="L305" i="31"/>
  <c r="K306" i="31" l="1"/>
  <c r="L306" i="31"/>
  <c r="K307" i="31" l="1"/>
  <c r="L307" i="31"/>
  <c r="K308" i="31" l="1"/>
  <c r="L308" i="31"/>
  <c r="K309" i="31" l="1"/>
  <c r="L309" i="31"/>
  <c r="K310" i="31" l="1"/>
  <c r="L310" i="31"/>
  <c r="K311" i="31" l="1"/>
  <c r="L311" i="31"/>
  <c r="K312" i="31" l="1"/>
  <c r="L312" i="31"/>
  <c r="K313" i="31" l="1"/>
  <c r="L313" i="31"/>
  <c r="K314" i="31" l="1"/>
  <c r="L314" i="31"/>
  <c r="K315" i="31" l="1"/>
  <c r="L315" i="31"/>
  <c r="K316" i="31" l="1"/>
  <c r="L316" i="31"/>
  <c r="K317" i="31" l="1"/>
  <c r="L317" i="31"/>
  <c r="K318" i="31" l="1"/>
  <c r="L318" i="31"/>
  <c r="K319" i="31" l="1"/>
  <c r="L319" i="31"/>
  <c r="K320" i="31" l="1"/>
  <c r="L320" i="31"/>
  <c r="K321" i="31" l="1"/>
  <c r="L321" i="31"/>
  <c r="K322" i="31" l="1"/>
  <c r="L322" i="31"/>
  <c r="K323" i="31" l="1"/>
  <c r="L323" i="31"/>
  <c r="K324" i="31" l="1"/>
  <c r="L324" i="31"/>
  <c r="K325" i="31" l="1"/>
  <c r="L325" i="31"/>
  <c r="K326" i="31" l="1"/>
  <c r="L326" i="31"/>
  <c r="K327" i="31" l="1"/>
  <c r="L327" i="31"/>
  <c r="K328" i="31" l="1"/>
  <c r="L328" i="31"/>
  <c r="K329" i="31" l="1"/>
  <c r="L329" i="31"/>
  <c r="K330" i="31" l="1"/>
  <c r="L330" i="31"/>
  <c r="K331" i="31" l="1"/>
  <c r="L331" i="31"/>
  <c r="K332" i="31" l="1"/>
  <c r="L332" i="31"/>
  <c r="K333" i="31" l="1"/>
  <c r="L333" i="31"/>
  <c r="K334" i="31" l="1"/>
  <c r="L334" i="31"/>
  <c r="K335" i="31" l="1"/>
  <c r="L335" i="31"/>
  <c r="K336" i="31" l="1"/>
  <c r="L336" i="31"/>
  <c r="K337" i="31" l="1"/>
  <c r="L337" i="31"/>
  <c r="K338" i="31" l="1"/>
  <c r="L338" i="31"/>
  <c r="K339" i="31" l="1"/>
  <c r="L339" i="31"/>
  <c r="K340" i="31" l="1"/>
  <c r="L340" i="31"/>
  <c r="K341" i="31" l="1"/>
  <c r="L341" i="31"/>
  <c r="K342" i="31" l="1"/>
  <c r="L342" i="31"/>
  <c r="K343" i="31" l="1"/>
  <c r="L343" i="31"/>
  <c r="K344" i="31" l="1"/>
  <c r="L344" i="31"/>
  <c r="K345" i="31" l="1"/>
  <c r="L345" i="31"/>
  <c r="K346" i="31" l="1"/>
  <c r="L346" i="31"/>
  <c r="K347" i="31" l="1"/>
  <c r="L347" i="31"/>
  <c r="K348" i="31" l="1"/>
  <c r="L348" i="31"/>
  <c r="K349" i="31" l="1"/>
  <c r="L349" i="31"/>
  <c r="K350" i="31" l="1"/>
  <c r="L350" i="31"/>
  <c r="K351" i="31" l="1"/>
  <c r="L351" i="31"/>
  <c r="K352" i="31" l="1"/>
  <c r="L352" i="31"/>
  <c r="K353" i="31" l="1"/>
  <c r="L353" i="31"/>
  <c r="K354" i="31" l="1"/>
  <c r="L354" i="31"/>
  <c r="K355" i="31" l="1"/>
  <c r="L355" i="31"/>
  <c r="K356" i="31" l="1"/>
  <c r="L356" i="31"/>
  <c r="K357" i="31" l="1"/>
  <c r="L357" i="31"/>
  <c r="K358" i="31" l="1"/>
  <c r="L358" i="31"/>
  <c r="K359" i="31" l="1"/>
  <c r="L359" i="31"/>
  <c r="K360" i="31" l="1"/>
  <c r="L360" i="31"/>
  <c r="K361" i="31" l="1"/>
  <c r="L361" i="31"/>
  <c r="K362" i="31" l="1"/>
  <c r="L362" i="31"/>
  <c r="K363" i="31" l="1"/>
  <c r="L363" i="31"/>
  <c r="K364" i="31" l="1"/>
  <c r="L364" i="31"/>
  <c r="K365" i="31" l="1"/>
  <c r="L365" i="31"/>
  <c r="K366" i="31" l="1"/>
  <c r="L366" i="31"/>
  <c r="K367" i="31" l="1"/>
  <c r="L367" i="31"/>
  <c r="K368" i="31" l="1"/>
  <c r="L368" i="31"/>
  <c r="K369" i="31" l="1"/>
  <c r="L369" i="31"/>
  <c r="K370" i="31" l="1"/>
  <c r="L370" i="31"/>
  <c r="K371" i="31" l="1"/>
  <c r="L371" i="31"/>
  <c r="K372" i="31" l="1"/>
  <c r="L372" i="31"/>
  <c r="K373" i="31" l="1"/>
  <c r="L373" i="31"/>
  <c r="K374" i="31" l="1"/>
  <c r="L374" i="31"/>
  <c r="K375" i="31" l="1"/>
  <c r="L375" i="31"/>
  <c r="K376" i="31" l="1"/>
  <c r="L376" i="31"/>
  <c r="K377" i="31" l="1"/>
  <c r="L377" i="31"/>
  <c r="K378" i="31" l="1"/>
  <c r="L378" i="31"/>
  <c r="K379" i="31" l="1"/>
  <c r="L379" i="31"/>
  <c r="K380" i="31" l="1"/>
  <c r="L380" i="31"/>
  <c r="K381" i="31" l="1"/>
  <c r="L381" i="31"/>
  <c r="K382" i="31" l="1"/>
  <c r="L382" i="31"/>
  <c r="K383" i="31" l="1"/>
  <c r="L383" i="31"/>
  <c r="K384" i="31" l="1"/>
  <c r="L384" i="31"/>
  <c r="K385" i="31" l="1"/>
  <c r="L385" i="31"/>
  <c r="K386" i="31" l="1"/>
  <c r="L386" i="31"/>
  <c r="K387" i="31" l="1"/>
  <c r="L387" i="31"/>
  <c r="K388" i="31" l="1"/>
  <c r="L388" i="31"/>
  <c r="K389" i="31" l="1"/>
  <c r="L389" i="31"/>
  <c r="K390" i="31" l="1"/>
  <c r="L390" i="31"/>
  <c r="K391" i="31" l="1"/>
  <c r="L391" i="31"/>
  <c r="K392" i="31" l="1"/>
  <c r="L392" i="31"/>
  <c r="K393" i="31" l="1"/>
  <c r="L393" i="31"/>
  <c r="K394" i="31" l="1"/>
  <c r="L394" i="31"/>
  <c r="K395" i="31" l="1"/>
  <c r="L395" i="31"/>
  <c r="K396" i="31" l="1"/>
  <c r="L396" i="31"/>
  <c r="K397" i="31" l="1"/>
  <c r="L397" i="31"/>
  <c r="K398" i="31" l="1"/>
  <c r="L398" i="31"/>
  <c r="K399" i="31" l="1"/>
  <c r="L399" i="31"/>
  <c r="K400" i="31" l="1"/>
  <c r="L400" i="31"/>
  <c r="K401" i="31" l="1"/>
  <c r="L401" i="31"/>
  <c r="K402" i="31" l="1"/>
  <c r="L402" i="31"/>
  <c r="K403" i="31" l="1"/>
  <c r="L403" i="31"/>
  <c r="K404" i="31" l="1"/>
  <c r="L404" i="31"/>
  <c r="K405" i="31" l="1"/>
  <c r="L405" i="31"/>
  <c r="K406" i="31" l="1"/>
  <c r="L406" i="31"/>
  <c r="K407" i="31" l="1"/>
  <c r="L407" i="31"/>
  <c r="K408" i="31" l="1"/>
  <c r="L408" i="31"/>
  <c r="K409" i="31" l="1"/>
  <c r="L409" i="31"/>
  <c r="K410" i="31" l="1"/>
  <c r="L410" i="31"/>
  <c r="K411" i="31" l="1"/>
  <c r="L411" i="31"/>
  <c r="K412" i="31" l="1"/>
  <c r="L412" i="31"/>
  <c r="K413" i="31" l="1"/>
  <c r="L413" i="31"/>
  <c r="K414" i="31" l="1"/>
  <c r="L414" i="31"/>
  <c r="K415" i="31" l="1"/>
  <c r="L415" i="31"/>
  <c r="K416" i="31" l="1"/>
  <c r="L416" i="31"/>
  <c r="K417" i="31" l="1"/>
  <c r="L417" i="31"/>
  <c r="K418" i="31" l="1"/>
  <c r="L418" i="31"/>
  <c r="K419" i="31" l="1"/>
  <c r="L419" i="31"/>
  <c r="K420" i="31" l="1"/>
  <c r="L420" i="31"/>
  <c r="K421" i="31" l="1"/>
  <c r="L421" i="31"/>
  <c r="K422" i="31" l="1"/>
  <c r="L422" i="31"/>
  <c r="K423" i="31" l="1"/>
  <c r="L423" i="31"/>
  <c r="K424" i="31" l="1"/>
  <c r="L424" i="31"/>
  <c r="K425" i="31" l="1"/>
  <c r="L425" i="31"/>
  <c r="K426" i="31" l="1"/>
  <c r="L426" i="31"/>
  <c r="K427" i="31" l="1"/>
  <c r="L427" i="31"/>
  <c r="K428" i="31" l="1"/>
  <c r="L428" i="31"/>
  <c r="K429" i="31" l="1"/>
  <c r="L429" i="31"/>
  <c r="K430" i="31" l="1"/>
  <c r="L430" i="31"/>
  <c r="K431" i="31" l="1"/>
  <c r="L431" i="31"/>
  <c r="K432" i="31" l="1"/>
  <c r="L432" i="31"/>
  <c r="K433" i="31" l="1"/>
  <c r="L433" i="31"/>
  <c r="K434" i="31" l="1"/>
  <c r="L434" i="31"/>
  <c r="K435" i="31" l="1"/>
  <c r="L435" i="31"/>
  <c r="K436" i="31" l="1"/>
  <c r="L436" i="31"/>
  <c r="K437" i="31" l="1"/>
  <c r="L437" i="31"/>
  <c r="K438" i="31" l="1"/>
  <c r="L438" i="31"/>
  <c r="K439" i="31" l="1"/>
  <c r="L439" i="31"/>
  <c r="K440" i="31" l="1"/>
  <c r="L440" i="31"/>
  <c r="K441" i="31" l="1"/>
  <c r="L441" i="31"/>
  <c r="K442" i="31" l="1"/>
  <c r="L442" i="31"/>
  <c r="K443" i="31" l="1"/>
  <c r="L443" i="31"/>
  <c r="K444" i="31" l="1"/>
  <c r="L444" i="31"/>
  <c r="K445" i="31" l="1"/>
  <c r="L445" i="31"/>
  <c r="K446" i="31" l="1"/>
  <c r="L446" i="31"/>
  <c r="K447" i="31" l="1"/>
  <c r="L447" i="31"/>
  <c r="K448" i="31" l="1"/>
  <c r="L448" i="31"/>
  <c r="K449" i="31" l="1"/>
  <c r="L449" i="31"/>
  <c r="K450" i="31" l="1"/>
  <c r="L450" i="31"/>
  <c r="K451" i="31" l="1"/>
  <c r="L451" i="31"/>
  <c r="K452" i="31" l="1"/>
  <c r="L452" i="31"/>
  <c r="K453" i="31" l="1"/>
  <c r="L453" i="31"/>
  <c r="K454" i="31" l="1"/>
  <c r="L454" i="31"/>
  <c r="K455" i="31" l="1"/>
  <c r="L455" i="31"/>
  <c r="K456" i="31" l="1"/>
  <c r="L456" i="31"/>
  <c r="K457" i="31" l="1"/>
  <c r="L457" i="31"/>
  <c r="K458" i="31" l="1"/>
  <c r="L458" i="31"/>
  <c r="K459" i="31" l="1"/>
  <c r="L459" i="31"/>
  <c r="K460" i="31" l="1"/>
  <c r="L460" i="31"/>
  <c r="K461" i="31" l="1"/>
  <c r="L461" i="31"/>
  <c r="K462" i="31" l="1"/>
  <c r="L462" i="31"/>
  <c r="K463" i="31" l="1"/>
  <c r="L463" i="31"/>
  <c r="K464" i="31" l="1"/>
  <c r="L464" i="31"/>
  <c r="K465" i="31" l="1"/>
  <c r="L465" i="31"/>
  <c r="K466" i="31" l="1"/>
  <c r="L466" i="31"/>
  <c r="K467" i="31" l="1"/>
  <c r="L467" i="31"/>
  <c r="K468" i="31" l="1"/>
  <c r="L468" i="31"/>
  <c r="K469" i="31" l="1"/>
  <c r="L469" i="31"/>
  <c r="K470" i="31" l="1"/>
  <c r="L470" i="31"/>
  <c r="K471" i="31" l="1"/>
  <c r="L471" i="31"/>
  <c r="K472" i="31" l="1"/>
  <c r="L472" i="31"/>
  <c r="K473" i="31" l="1"/>
  <c r="L473" i="31"/>
  <c r="K474" i="31" l="1"/>
  <c r="L474" i="31"/>
  <c r="K475" i="31" l="1"/>
  <c r="L475" i="31"/>
  <c r="K476" i="31" l="1"/>
  <c r="L476" i="31"/>
  <c r="K477" i="31" l="1"/>
  <c r="L477" i="31"/>
  <c r="K478" i="31" l="1"/>
  <c r="L478" i="31"/>
  <c r="K479" i="31" l="1"/>
  <c r="L479" i="31"/>
  <c r="K480" i="31" l="1"/>
  <c r="L480" i="31"/>
  <c r="K481" i="31" l="1"/>
  <c r="L481" i="31"/>
  <c r="K482" i="31" l="1"/>
  <c r="L482" i="31"/>
  <c r="K483" i="31" l="1"/>
  <c r="L483" i="31"/>
  <c r="K484" i="31" l="1"/>
  <c r="L484" i="31"/>
  <c r="K485" i="31" l="1"/>
  <c r="L485" i="31"/>
  <c r="K486" i="31" l="1"/>
  <c r="L486" i="31"/>
  <c r="K487" i="31" l="1"/>
  <c r="L487" i="31"/>
  <c r="K488" i="31" l="1"/>
  <c r="L488" i="31"/>
  <c r="K489" i="31" l="1"/>
  <c r="L489" i="31"/>
  <c r="K490" i="31" l="1"/>
  <c r="L490" i="31"/>
  <c r="K491" i="31" l="1"/>
  <c r="L491" i="31"/>
  <c r="K492" i="31" l="1"/>
  <c r="L492" i="31"/>
  <c r="K493" i="31" l="1"/>
  <c r="L493" i="31"/>
  <c r="K494" i="31" l="1"/>
  <c r="L494" i="31"/>
  <c r="K495" i="31" l="1"/>
  <c r="L495" i="31"/>
  <c r="K496" i="31" l="1"/>
  <c r="L496" i="31"/>
  <c r="K497" i="31" l="1"/>
  <c r="L497" i="31"/>
  <c r="K498" i="31" l="1"/>
  <c r="L498" i="31"/>
  <c r="K499" i="31" l="1"/>
  <c r="L499" i="31"/>
  <c r="K500" i="31" l="1"/>
  <c r="L500" i="31"/>
  <c r="K501" i="31" l="1"/>
  <c r="L501" i="31"/>
  <c r="K502" i="31" l="1"/>
  <c r="L502" i="31"/>
  <c r="K503" i="31" l="1"/>
  <c r="L503" i="31"/>
  <c r="K504" i="31" l="1"/>
  <c r="L504" i="31"/>
  <c r="K505" i="31" l="1"/>
  <c r="L505" i="31"/>
  <c r="K506" i="31" l="1"/>
  <c r="L506" i="31"/>
  <c r="K507" i="31" l="1"/>
  <c r="L507" i="31"/>
  <c r="K508" i="31" l="1"/>
  <c r="L508" i="31"/>
  <c r="K509" i="31" l="1"/>
  <c r="L509" i="31"/>
  <c r="K510" i="31" l="1"/>
  <c r="L510" i="31"/>
  <c r="K511" i="31" l="1"/>
  <c r="L511" i="31"/>
  <c r="K512" i="31" l="1"/>
  <c r="L512" i="31"/>
  <c r="K513" i="31" l="1"/>
  <c r="L513" i="31"/>
  <c r="K514" i="31" l="1"/>
  <c r="L514" i="31"/>
  <c r="K515" i="31" l="1"/>
  <c r="L515" i="31"/>
  <c r="K516" i="31" l="1"/>
  <c r="L516" i="31"/>
  <c r="K517" i="31" l="1"/>
  <c r="L517" i="31"/>
  <c r="K518" i="31" l="1"/>
  <c r="L518" i="31"/>
  <c r="K519" i="31" l="1"/>
  <c r="L519" i="31"/>
  <c r="K520" i="31" l="1"/>
  <c r="L520" i="31"/>
  <c r="K521" i="31" l="1"/>
  <c r="L521" i="31"/>
  <c r="K522" i="31" l="1"/>
  <c r="L522" i="31"/>
  <c r="K523" i="31" l="1"/>
  <c r="L523" i="31"/>
  <c r="K524" i="31" l="1"/>
  <c r="L524" i="31"/>
  <c r="K525" i="31" l="1"/>
  <c r="L525" i="31"/>
  <c r="K526" i="31" l="1"/>
  <c r="L526" i="31"/>
  <c r="K527" i="31" l="1"/>
  <c r="L527" i="31"/>
  <c r="K528" i="31" l="1"/>
  <c r="L528" i="31"/>
  <c r="K529" i="31" l="1"/>
  <c r="L529" i="31"/>
  <c r="K530" i="31" l="1"/>
  <c r="L530" i="31"/>
  <c r="K531" i="31" l="1"/>
  <c r="L531" i="31"/>
  <c r="K532" i="31" l="1"/>
  <c r="L532" i="31"/>
  <c r="K533" i="31" l="1"/>
  <c r="L533" i="31"/>
  <c r="K534" i="31" l="1"/>
  <c r="L534" i="31"/>
  <c r="K535" i="31" l="1"/>
  <c r="L535" i="31"/>
  <c r="K536" i="31" l="1"/>
  <c r="L536" i="31"/>
  <c r="K537" i="31" l="1"/>
  <c r="L537" i="31"/>
  <c r="K538" i="31" l="1"/>
  <c r="L538" i="31"/>
  <c r="K539" i="31" l="1"/>
  <c r="L539" i="31"/>
  <c r="K540" i="31" l="1"/>
  <c r="L540" i="31"/>
  <c r="K541" i="31" l="1"/>
  <c r="L541" i="31"/>
  <c r="K542" i="31" l="1"/>
  <c r="L542" i="31"/>
  <c r="K543" i="31" l="1"/>
  <c r="L543" i="31"/>
  <c r="K544" i="31" l="1"/>
  <c r="L544" i="31"/>
  <c r="K545" i="31" l="1"/>
  <c r="L545" i="31"/>
  <c r="K546" i="31" l="1"/>
  <c r="L546" i="31"/>
  <c r="K547" i="31" l="1"/>
  <c r="L547" i="31"/>
  <c r="K548" i="31" l="1"/>
  <c r="L548" i="31"/>
  <c r="K549" i="31" l="1"/>
  <c r="L549" i="31"/>
  <c r="K550" i="31" l="1"/>
  <c r="L550" i="31"/>
  <c r="K551" i="31" l="1"/>
  <c r="L551" i="31"/>
  <c r="K552" i="31" l="1"/>
  <c r="L552" i="31"/>
  <c r="K553" i="31" l="1"/>
  <c r="L553" i="31"/>
  <c r="K554" i="31" l="1"/>
  <c r="L554" i="31"/>
  <c r="K555" i="31" l="1"/>
  <c r="L555" i="31"/>
  <c r="K556" i="31" l="1"/>
  <c r="L556" i="31"/>
  <c r="K557" i="31" l="1"/>
  <c r="L557" i="31"/>
  <c r="K558" i="31" l="1"/>
  <c r="L558" i="31"/>
  <c r="K559" i="31" l="1"/>
  <c r="L559" i="31"/>
  <c r="K560" i="31" l="1"/>
  <c r="L560" i="31"/>
  <c r="K561" i="31" l="1"/>
  <c r="L561" i="31"/>
  <c r="K562" i="31" l="1"/>
  <c r="L562" i="31"/>
  <c r="K563" i="31" l="1"/>
  <c r="L563" i="31"/>
  <c r="K564" i="31" l="1"/>
  <c r="L564" i="31"/>
  <c r="K565" i="31" l="1"/>
  <c r="L565" i="31"/>
  <c r="K566" i="31" l="1"/>
  <c r="L566" i="31"/>
  <c r="K567" i="31" l="1"/>
  <c r="L567" i="31"/>
  <c r="K568" i="31" l="1"/>
  <c r="L568" i="31"/>
  <c r="K569" i="31" l="1"/>
  <c r="L569" i="31"/>
  <c r="K570" i="31" l="1"/>
  <c r="L570" i="31"/>
  <c r="K571" i="31" l="1"/>
  <c r="L571" i="31"/>
  <c r="K572" i="31" l="1"/>
  <c r="L572" i="31"/>
  <c r="K573" i="31" l="1"/>
  <c r="L573" i="31"/>
  <c r="K574" i="31" l="1"/>
  <c r="L574" i="31"/>
  <c r="K575" i="31" l="1"/>
  <c r="L575" i="31"/>
  <c r="K576" i="31" l="1"/>
  <c r="L576" i="31"/>
  <c r="K577" i="31" l="1"/>
  <c r="L577" i="31"/>
  <c r="K578" i="31" l="1"/>
  <c r="L578" i="31"/>
  <c r="K579" i="31" l="1"/>
  <c r="L579" i="31"/>
  <c r="K580" i="31" l="1"/>
  <c r="L580" i="31"/>
  <c r="K581" i="31" l="1"/>
  <c r="L581" i="31"/>
  <c r="K582" i="31" l="1"/>
  <c r="L582" i="31"/>
  <c r="K583" i="31" l="1"/>
  <c r="L583" i="31"/>
  <c r="K584" i="31" l="1"/>
  <c r="L584" i="31"/>
  <c r="K585" i="31" l="1"/>
  <c r="L585" i="31"/>
  <c r="K586" i="31" l="1"/>
  <c r="L586" i="31"/>
  <c r="K587" i="31" l="1"/>
  <c r="L587" i="31"/>
  <c r="K588" i="31" l="1"/>
  <c r="L588" i="31"/>
  <c r="K589" i="31" l="1"/>
  <c r="L589" i="31"/>
  <c r="K590" i="31" l="1"/>
  <c r="L590" i="31"/>
  <c r="K591" i="31" l="1"/>
  <c r="L591" i="31"/>
  <c r="K592" i="31" l="1"/>
  <c r="L592" i="31"/>
  <c r="K593" i="31" l="1"/>
  <c r="L593" i="31"/>
  <c r="K594" i="31" l="1"/>
  <c r="L594" i="31"/>
  <c r="K595" i="31" l="1"/>
  <c r="L595" i="31"/>
  <c r="K596" i="31" l="1"/>
  <c r="L596" i="31"/>
  <c r="K597" i="31" l="1"/>
  <c r="L597" i="31"/>
  <c r="K598" i="31" l="1"/>
  <c r="L598" i="31"/>
  <c r="K599" i="31" l="1"/>
  <c r="L599" i="31"/>
  <c r="K600" i="31" l="1"/>
  <c r="L600" i="31"/>
  <c r="K601" i="31" l="1"/>
  <c r="L601" i="31"/>
  <c r="K602" i="31" l="1"/>
  <c r="L602" i="31"/>
  <c r="K603" i="31" l="1"/>
  <c r="L603" i="31"/>
  <c r="K604" i="31" l="1"/>
  <c r="L604" i="31"/>
  <c r="K605" i="31" l="1"/>
  <c r="L605" i="31"/>
  <c r="K606" i="31" l="1"/>
  <c r="L606" i="31"/>
  <c r="K607" i="31" l="1"/>
  <c r="L607" i="31"/>
  <c r="K608" i="31" l="1"/>
  <c r="L608" i="31"/>
  <c r="K609" i="31" l="1"/>
  <c r="L609" i="31"/>
  <c r="K610" i="31" l="1"/>
  <c r="L610" i="31"/>
  <c r="K611" i="31" l="1"/>
  <c r="L611" i="31"/>
  <c r="K612" i="31" l="1"/>
  <c r="L612" i="31"/>
  <c r="K613" i="31" l="1"/>
  <c r="L613" i="31"/>
  <c r="K614" i="31" l="1"/>
  <c r="L614" i="31"/>
  <c r="K615" i="31" l="1"/>
  <c r="L615" i="31"/>
  <c r="K616" i="31" l="1"/>
  <c r="L616" i="31"/>
  <c r="K617" i="31" l="1"/>
  <c r="L617" i="31"/>
  <c r="K618" i="31" l="1"/>
  <c r="L618" i="31"/>
  <c r="K619" i="31" l="1"/>
  <c r="L619" i="31"/>
  <c r="K620" i="31" l="1"/>
  <c r="L620" i="31"/>
  <c r="K621" i="31" l="1"/>
  <c r="L621" i="31"/>
  <c r="K622" i="31" l="1"/>
  <c r="L622" i="31"/>
  <c r="K623" i="31" l="1"/>
  <c r="L623" i="31"/>
  <c r="K624" i="31" l="1"/>
  <c r="L624" i="31"/>
  <c r="K625" i="31" l="1"/>
  <c r="L625" i="31"/>
  <c r="K626" i="31" l="1"/>
  <c r="L626" i="31"/>
  <c r="K627" i="31" l="1"/>
  <c r="L627" i="31"/>
  <c r="K628" i="31" l="1"/>
  <c r="L628" i="31"/>
  <c r="K629" i="31" l="1"/>
  <c r="L629" i="31"/>
  <c r="K630" i="31" l="1"/>
  <c r="L630" i="31"/>
  <c r="K631" i="31" l="1"/>
  <c r="L631" i="31"/>
  <c r="K632" i="31" l="1"/>
  <c r="L632" i="31"/>
  <c r="K633" i="31" l="1"/>
  <c r="L633" i="31"/>
  <c r="K634" i="31" l="1"/>
  <c r="L634" i="31"/>
  <c r="K635" i="31" l="1"/>
  <c r="L635" i="31"/>
  <c r="K636" i="31" l="1"/>
  <c r="L636" i="31"/>
  <c r="K637" i="31" l="1"/>
  <c r="L637" i="31"/>
  <c r="K638" i="31" l="1"/>
  <c r="L638" i="31"/>
  <c r="K639" i="31" l="1"/>
  <c r="L639" i="31"/>
  <c r="K640" i="31" l="1"/>
  <c r="L640" i="31"/>
  <c r="K641" i="31" l="1"/>
  <c r="L641" i="31"/>
  <c r="K642" i="31" l="1"/>
  <c r="L642" i="31"/>
  <c r="K643" i="31" l="1"/>
  <c r="L643" i="31"/>
  <c r="K644" i="31" l="1"/>
  <c r="L644" i="31"/>
  <c r="K645" i="31" l="1"/>
  <c r="L645" i="31"/>
  <c r="K646" i="31" l="1"/>
  <c r="L646" i="31"/>
  <c r="K647" i="31" l="1"/>
  <c r="L647" i="31"/>
  <c r="K648" i="31" l="1"/>
  <c r="L648" i="31"/>
  <c r="K649" i="31" l="1"/>
  <c r="L649" i="31"/>
  <c r="K650" i="31" l="1"/>
  <c r="L650" i="31"/>
  <c r="K651" i="31" l="1"/>
  <c r="L651" i="31"/>
  <c r="K652" i="31" l="1"/>
  <c r="L652" i="31"/>
  <c r="K653" i="31" l="1"/>
  <c r="L653" i="31"/>
  <c r="K654" i="31" l="1"/>
  <c r="L654" i="31"/>
  <c r="K655" i="31" l="1"/>
  <c r="L655" i="31"/>
  <c r="K656" i="31" l="1"/>
  <c r="L656" i="31"/>
  <c r="K657" i="31" l="1"/>
  <c r="L657" i="31"/>
  <c r="K658" i="31" l="1"/>
  <c r="L658" i="31"/>
  <c r="K659" i="31" l="1"/>
  <c r="L659" i="31"/>
  <c r="K660" i="31" l="1"/>
  <c r="L660" i="31"/>
  <c r="K661" i="31" l="1"/>
  <c r="L661" i="31"/>
  <c r="K662" i="31" l="1"/>
  <c r="L662" i="31"/>
  <c r="K663" i="31" l="1"/>
  <c r="L663" i="31"/>
  <c r="K664" i="31" l="1"/>
  <c r="L664" i="31"/>
  <c r="K665" i="31" l="1"/>
  <c r="L665" i="31"/>
  <c r="K666" i="31" l="1"/>
  <c r="L666" i="31"/>
  <c r="K667" i="31" l="1"/>
  <c r="L667" i="31"/>
  <c r="K668" i="31" l="1"/>
  <c r="L668" i="31"/>
  <c r="K669" i="31" l="1"/>
  <c r="L669" i="31"/>
  <c r="K670" i="31" l="1"/>
  <c r="L670" i="31"/>
  <c r="K671" i="31" l="1"/>
  <c r="L671" i="31"/>
  <c r="K672" i="31" l="1"/>
  <c r="L672" i="31"/>
  <c r="K673" i="31" l="1"/>
  <c r="L673" i="31"/>
  <c r="K674" i="31" l="1"/>
  <c r="L674" i="31"/>
  <c r="K675" i="31" l="1"/>
  <c r="L675" i="31"/>
  <c r="K676" i="31" l="1"/>
  <c r="L676" i="31"/>
  <c r="K677" i="31" l="1"/>
  <c r="L677" i="31"/>
  <c r="K678" i="31" l="1"/>
  <c r="L678" i="31"/>
  <c r="K679" i="31" l="1"/>
  <c r="L679" i="31"/>
  <c r="K680" i="31" l="1"/>
  <c r="L680" i="31"/>
  <c r="K681" i="31" l="1"/>
  <c r="L681" i="31"/>
  <c r="K682" i="31" l="1"/>
  <c r="L682" i="31"/>
  <c r="K683" i="31" l="1"/>
  <c r="L683" i="31"/>
  <c r="K684" i="31" l="1"/>
  <c r="L684" i="31"/>
  <c r="K685" i="31" l="1"/>
  <c r="L685" i="31"/>
  <c r="K686" i="31" l="1"/>
  <c r="L686" i="31"/>
  <c r="K687" i="31" l="1"/>
  <c r="L687" i="31"/>
  <c r="K688" i="31" l="1"/>
  <c r="L688" i="31"/>
  <c r="K689" i="31" l="1"/>
  <c r="L689" i="31"/>
  <c r="K690" i="31" l="1"/>
  <c r="L690" i="31"/>
  <c r="K691" i="31" l="1"/>
  <c r="L691" i="31"/>
  <c r="K692" i="31" l="1"/>
  <c r="L692" i="31"/>
  <c r="K693" i="31" l="1"/>
  <c r="L693" i="31"/>
  <c r="K694" i="31" l="1"/>
  <c r="L694" i="31"/>
  <c r="K695" i="31" l="1"/>
  <c r="L695" i="31"/>
  <c r="K696" i="31" l="1"/>
  <c r="L696" i="31"/>
  <c r="K697" i="31" l="1"/>
  <c r="L697" i="31"/>
  <c r="K698" i="31" l="1"/>
  <c r="L698" i="31"/>
  <c r="K699" i="31" l="1"/>
  <c r="L699" i="31"/>
  <c r="K700" i="31" l="1"/>
  <c r="L700" i="31"/>
  <c r="K701" i="31" l="1"/>
  <c r="L701" i="31"/>
  <c r="K702" i="31" l="1"/>
  <c r="L702" i="31"/>
  <c r="K703" i="31" l="1"/>
  <c r="L703" i="31"/>
  <c r="K704" i="31" l="1"/>
  <c r="L704" i="31"/>
  <c r="K705" i="31" l="1"/>
  <c r="L705" i="31"/>
  <c r="K706" i="31" l="1"/>
  <c r="L706" i="31"/>
  <c r="K707" i="31" l="1"/>
  <c r="L707" i="31"/>
  <c r="K708" i="31" l="1"/>
  <c r="L708" i="31"/>
  <c r="K709" i="31" l="1"/>
  <c r="L709" i="31"/>
  <c r="K710" i="31" l="1"/>
  <c r="L710" i="31"/>
  <c r="K711" i="31" l="1"/>
  <c r="L711" i="31"/>
  <c r="K712" i="31" l="1"/>
  <c r="L712" i="31"/>
  <c r="K713" i="31" l="1"/>
  <c r="L713" i="31"/>
  <c r="K714" i="31" l="1"/>
  <c r="L714" i="31"/>
  <c r="K715" i="31" l="1"/>
  <c r="L715" i="31"/>
  <c r="K716" i="31" l="1"/>
  <c r="L716" i="31"/>
  <c r="K717" i="31" l="1"/>
  <c r="L717" i="31"/>
  <c r="K718" i="31" l="1"/>
  <c r="L718" i="31"/>
  <c r="K719" i="31" l="1"/>
  <c r="L719" i="31"/>
  <c r="K720" i="31" l="1"/>
  <c r="L720" i="31"/>
  <c r="K721" i="31" l="1"/>
  <c r="L721" i="31"/>
  <c r="K722" i="31" l="1"/>
  <c r="L722" i="31"/>
  <c r="K723" i="31" l="1"/>
  <c r="L723" i="31"/>
  <c r="K724" i="31" l="1"/>
  <c r="L724" i="31"/>
  <c r="K725" i="31" l="1"/>
  <c r="L725" i="31"/>
  <c r="K726" i="31" l="1"/>
  <c r="L726" i="31"/>
  <c r="K727" i="31" l="1"/>
  <c r="L727" i="31"/>
  <c r="K728" i="31" l="1"/>
  <c r="L728" i="31"/>
  <c r="K729" i="31" l="1"/>
  <c r="L729" i="31"/>
  <c r="K730" i="31" l="1"/>
  <c r="L730" i="31"/>
  <c r="K731" i="31" l="1"/>
  <c r="L731" i="31"/>
  <c r="K732" i="31" l="1"/>
  <c r="L732" i="31"/>
  <c r="K733" i="31" l="1"/>
  <c r="L733" i="31"/>
  <c r="K734" i="31" l="1"/>
  <c r="L734" i="31"/>
  <c r="K735" i="31" l="1"/>
  <c r="L735" i="31"/>
  <c r="K736" i="31" l="1"/>
  <c r="L736" i="31"/>
  <c r="K737" i="31" l="1"/>
  <c r="L737" i="31"/>
  <c r="K738" i="31" l="1"/>
  <c r="L738" i="31"/>
  <c r="K739" i="31" l="1"/>
  <c r="L739" i="31"/>
  <c r="K740" i="31" l="1"/>
  <c r="L740" i="31"/>
  <c r="K741" i="31" l="1"/>
  <c r="L741" i="31"/>
  <c r="K742" i="31" l="1"/>
  <c r="L742" i="31"/>
  <c r="K743" i="31" l="1"/>
  <c r="L743" i="31"/>
  <c r="K744" i="31" l="1"/>
  <c r="L744" i="31"/>
  <c r="K745" i="31" l="1"/>
  <c r="L745" i="31"/>
  <c r="K746" i="31" l="1"/>
  <c r="L746" i="31"/>
  <c r="K747" i="31" l="1"/>
  <c r="L747" i="31"/>
  <c r="K748" i="31" l="1"/>
  <c r="L748" i="31"/>
  <c r="K749" i="31" l="1"/>
  <c r="L749" i="31"/>
  <c r="K750" i="31" l="1"/>
  <c r="L750" i="31"/>
  <c r="K751" i="31" l="1"/>
  <c r="L751" i="31"/>
  <c r="K752" i="31" l="1"/>
  <c r="L752" i="31"/>
  <c r="K753" i="31" l="1"/>
  <c r="L753" i="31"/>
  <c r="K754" i="31" l="1"/>
  <c r="L754" i="31"/>
  <c r="K755" i="31" l="1"/>
  <c r="L755" i="31"/>
  <c r="K756" i="31" l="1"/>
  <c r="L756" i="31"/>
  <c r="K757" i="31" l="1"/>
  <c r="L757" i="31"/>
  <c r="K758" i="31" l="1"/>
  <c r="L758" i="31"/>
  <c r="K759" i="31" l="1"/>
  <c r="L759" i="31"/>
  <c r="K760" i="31" l="1"/>
  <c r="L760" i="31"/>
  <c r="K761" i="31" l="1"/>
  <c r="L761" i="31"/>
  <c r="K762" i="31" l="1"/>
  <c r="L762" i="31"/>
  <c r="K763" i="31" l="1"/>
  <c r="L763" i="31"/>
  <c r="K764" i="31" l="1"/>
  <c r="L764" i="31"/>
  <c r="K765" i="31" l="1"/>
  <c r="L765" i="31"/>
  <c r="K766" i="31" l="1"/>
  <c r="L766" i="31"/>
  <c r="K767" i="31" l="1"/>
  <c r="L767" i="31"/>
  <c r="K768" i="31" l="1"/>
  <c r="L768" i="31"/>
  <c r="K769" i="31" l="1"/>
  <c r="L769" i="31"/>
  <c r="K770" i="31" l="1"/>
  <c r="L770" i="31"/>
  <c r="K771" i="31" l="1"/>
  <c r="L771" i="31"/>
  <c r="K772" i="31" l="1"/>
  <c r="L772" i="31"/>
  <c r="K773" i="31" l="1"/>
  <c r="L773" i="31"/>
  <c r="K774" i="31" l="1"/>
  <c r="L774" i="31"/>
  <c r="K775" i="31" l="1"/>
  <c r="L775" i="31"/>
  <c r="K776" i="31" l="1"/>
  <c r="L776" i="31"/>
  <c r="K777" i="31" l="1"/>
  <c r="L777" i="31"/>
  <c r="K778" i="31" l="1"/>
  <c r="L778" i="31"/>
  <c r="K779" i="31" l="1"/>
  <c r="L779" i="31"/>
  <c r="K780" i="31" l="1"/>
  <c r="L780" i="31"/>
  <c r="K781" i="31" l="1"/>
  <c r="L781" i="31"/>
  <c r="K782" i="31" l="1"/>
  <c r="L782" i="31"/>
  <c r="K783" i="31" l="1"/>
  <c r="L783" i="31"/>
  <c r="K784" i="31" l="1"/>
  <c r="L784" i="31"/>
  <c r="K785" i="31" l="1"/>
  <c r="L785" i="31"/>
  <c r="K786" i="31" l="1"/>
  <c r="L786" i="31"/>
  <c r="K787" i="31" l="1"/>
  <c r="L787" i="31"/>
  <c r="K788" i="31" l="1"/>
  <c r="L788" i="31"/>
  <c r="K789" i="31" l="1"/>
  <c r="L789" i="31"/>
  <c r="K790" i="31" l="1"/>
  <c r="L790" i="31"/>
  <c r="K791" i="31" l="1"/>
  <c r="L791" i="31"/>
  <c r="K792" i="31" l="1"/>
  <c r="L792" i="31"/>
  <c r="K793" i="31" l="1"/>
  <c r="L793" i="31"/>
  <c r="K794" i="31" l="1"/>
  <c r="L794" i="31"/>
  <c r="K795" i="31" l="1"/>
  <c r="L795" i="31"/>
  <c r="K796" i="31" l="1"/>
  <c r="L796" i="31"/>
  <c r="K797" i="31" l="1"/>
  <c r="L797" i="31"/>
  <c r="K798" i="31" l="1"/>
  <c r="L798" i="31"/>
  <c r="K799" i="31" l="1"/>
  <c r="L799" i="31"/>
  <c r="K800" i="31" l="1"/>
  <c r="L800" i="31"/>
  <c r="K801" i="31" l="1"/>
  <c r="L801" i="31"/>
  <c r="K802" i="31" l="1"/>
  <c r="L802" i="31"/>
  <c r="K803" i="31" l="1"/>
  <c r="L803" i="31"/>
  <c r="K804" i="31" l="1"/>
  <c r="L804" i="31"/>
  <c r="K805" i="31" l="1"/>
  <c r="L805" i="31"/>
  <c r="K806" i="31" l="1"/>
  <c r="L806" i="31"/>
  <c r="K807" i="31" l="1"/>
  <c r="L807" i="31"/>
  <c r="K808" i="31" l="1"/>
  <c r="L808" i="31"/>
  <c r="K809" i="31" l="1"/>
  <c r="L809" i="31"/>
  <c r="K810" i="31" l="1"/>
  <c r="L810" i="31"/>
  <c r="K811" i="31" l="1"/>
  <c r="L811" i="31"/>
  <c r="K812" i="31" l="1"/>
  <c r="L812" i="31"/>
  <c r="K813" i="31" l="1"/>
  <c r="L813" i="31"/>
  <c r="K814" i="31" l="1"/>
  <c r="L814" i="31"/>
  <c r="K815" i="31" l="1"/>
  <c r="L815" i="31"/>
  <c r="K816" i="31" l="1"/>
  <c r="L816" i="31"/>
  <c r="K817" i="31" l="1"/>
  <c r="L817" i="31"/>
  <c r="K818" i="31" l="1"/>
  <c r="L818" i="31"/>
  <c r="K819" i="31" l="1"/>
  <c r="L819" i="31"/>
  <c r="K820" i="31" l="1"/>
  <c r="L820" i="31"/>
  <c r="K821" i="31" l="1"/>
  <c r="L821" i="31"/>
  <c r="K822" i="31" l="1"/>
  <c r="L822" i="31"/>
  <c r="K823" i="31" l="1"/>
  <c r="L823" i="31"/>
  <c r="K824" i="31" l="1"/>
  <c r="L824" i="31"/>
  <c r="K825" i="31" l="1"/>
  <c r="L825" i="31"/>
  <c r="K826" i="31" l="1"/>
  <c r="L826" i="31"/>
  <c r="K827" i="31" l="1"/>
  <c r="L827" i="31"/>
  <c r="K828" i="31" l="1"/>
  <c r="L828" i="31"/>
  <c r="K829" i="31" l="1"/>
  <c r="L829" i="31"/>
  <c r="K830" i="31" l="1"/>
  <c r="L830" i="31"/>
  <c r="K831" i="31" l="1"/>
  <c r="L831" i="31"/>
  <c r="K832" i="31" l="1"/>
  <c r="L832" i="31"/>
  <c r="K833" i="31" l="1"/>
  <c r="L833" i="31"/>
  <c r="K834" i="31" l="1"/>
  <c r="L834" i="31"/>
  <c r="K835" i="31" l="1"/>
  <c r="L835" i="31"/>
  <c r="K836" i="31" l="1"/>
  <c r="L836" i="31"/>
  <c r="K837" i="31" l="1"/>
  <c r="L837" i="31"/>
  <c r="K838" i="31" l="1"/>
  <c r="L838" i="31"/>
  <c r="K839" i="31" l="1"/>
  <c r="L839" i="31"/>
  <c r="K840" i="31" l="1"/>
  <c r="L840" i="31"/>
  <c r="K841" i="31" l="1"/>
  <c r="L841" i="31"/>
  <c r="K842" i="31" l="1"/>
  <c r="L842" i="31"/>
  <c r="K843" i="31" l="1"/>
  <c r="L843" i="31"/>
  <c r="K844" i="31" l="1"/>
  <c r="L844" i="31"/>
  <c r="K845" i="31" l="1"/>
  <c r="L845" i="31"/>
  <c r="K846" i="31" l="1"/>
  <c r="L846" i="31"/>
  <c r="K847" i="31" l="1"/>
  <c r="L847" i="31"/>
  <c r="K848" i="31" l="1"/>
  <c r="L848" i="31"/>
  <c r="K849" i="31" l="1"/>
  <c r="L849" i="31"/>
  <c r="K850" i="31" l="1"/>
  <c r="L850" i="31"/>
  <c r="K851" i="31" l="1"/>
  <c r="L851" i="31"/>
  <c r="K852" i="31" l="1"/>
  <c r="L852" i="31"/>
  <c r="K853" i="31" l="1"/>
  <c r="L853" i="31"/>
  <c r="K854" i="31" l="1"/>
  <c r="L854" i="31"/>
  <c r="K855" i="31" l="1"/>
  <c r="L855" i="31"/>
  <c r="K856" i="31" l="1"/>
  <c r="L856" i="31"/>
  <c r="K857" i="31" l="1"/>
  <c r="L857" i="31"/>
  <c r="K858" i="31" l="1"/>
  <c r="L858" i="31"/>
  <c r="K859" i="31" l="1"/>
  <c r="L859" i="31"/>
  <c r="K860" i="31" l="1"/>
  <c r="L860" i="31"/>
  <c r="K861" i="31" l="1"/>
  <c r="L861" i="31"/>
  <c r="K862" i="31" l="1"/>
  <c r="L862" i="31"/>
  <c r="K863" i="31" l="1"/>
  <c r="L863" i="31"/>
  <c r="K864" i="31" l="1"/>
  <c r="L864" i="31"/>
  <c r="K865" i="31" l="1"/>
  <c r="L865" i="31"/>
  <c r="K866" i="31" l="1"/>
  <c r="L866" i="31"/>
  <c r="K867" i="31" l="1"/>
  <c r="L867" i="31"/>
  <c r="K868" i="31" l="1"/>
  <c r="L868" i="31"/>
  <c r="K869" i="31" l="1"/>
  <c r="L869" i="31"/>
  <c r="K870" i="31" l="1"/>
  <c r="L870" i="31"/>
  <c r="K871" i="31" l="1"/>
  <c r="L871" i="31"/>
  <c r="K872" i="31" l="1"/>
  <c r="L872" i="31"/>
  <c r="K873" i="31" l="1"/>
  <c r="L873" i="31"/>
  <c r="K874" i="31" l="1"/>
  <c r="L874" i="31"/>
  <c r="K875" i="31" l="1"/>
  <c r="L875" i="31"/>
  <c r="K876" i="31" l="1"/>
  <c r="L876" i="31"/>
  <c r="K877" i="31" l="1"/>
  <c r="L877" i="31"/>
  <c r="K878" i="31" l="1"/>
  <c r="L878" i="31"/>
  <c r="K879" i="31" l="1"/>
  <c r="L879" i="31"/>
  <c r="K880" i="31" l="1"/>
  <c r="L880" i="31"/>
  <c r="K881" i="31" l="1"/>
  <c r="L881" i="31"/>
  <c r="K882" i="31" l="1"/>
  <c r="L882" i="31"/>
  <c r="K883" i="31" l="1"/>
  <c r="L883" i="31"/>
  <c r="K884" i="31" l="1"/>
  <c r="L884" i="31"/>
  <c r="K885" i="31" l="1"/>
  <c r="L885" i="31"/>
  <c r="K886" i="31" l="1"/>
  <c r="L886" i="31"/>
  <c r="K887" i="31" l="1"/>
  <c r="L887" i="31"/>
  <c r="K888" i="31" l="1"/>
  <c r="L888" i="31"/>
  <c r="K889" i="31" l="1"/>
  <c r="L889" i="31"/>
  <c r="K890" i="31" l="1"/>
  <c r="L890" i="31"/>
  <c r="K891" i="31" l="1"/>
  <c r="L891" i="31"/>
  <c r="K892" i="31" l="1"/>
  <c r="L892" i="31"/>
  <c r="K893" i="31" l="1"/>
  <c r="L893" i="31"/>
  <c r="K894" i="31" l="1"/>
  <c r="L894" i="31"/>
  <c r="K895" i="31" l="1"/>
  <c r="L895" i="31"/>
  <c r="K896" i="31" l="1"/>
  <c r="L896" i="31"/>
  <c r="K897" i="31" l="1"/>
  <c r="L897" i="31"/>
  <c r="K898" i="31" l="1"/>
  <c r="L898" i="31"/>
  <c r="K899" i="31" l="1"/>
  <c r="L899" i="31"/>
  <c r="K900" i="31" l="1"/>
  <c r="L900" i="31"/>
  <c r="K901" i="31" l="1"/>
  <c r="L901" i="31"/>
  <c r="K902" i="31" l="1"/>
  <c r="L902" i="31"/>
  <c r="K903" i="31" l="1"/>
  <c r="L903" i="31"/>
  <c r="K904" i="31" l="1"/>
  <c r="L904" i="31"/>
  <c r="K905" i="31" l="1"/>
  <c r="L905" i="31"/>
  <c r="K906" i="31" l="1"/>
  <c r="L906" i="31"/>
  <c r="K907" i="31" l="1"/>
  <c r="L907" i="31"/>
  <c r="K908" i="31" l="1"/>
  <c r="L908" i="31"/>
  <c r="K909" i="31" l="1"/>
  <c r="L909" i="31"/>
  <c r="K910" i="31" l="1"/>
  <c r="L910" i="31"/>
  <c r="K911" i="31" l="1"/>
  <c r="L911" i="31"/>
  <c r="K912" i="31" l="1"/>
  <c r="L912" i="31"/>
  <c r="K913" i="31" l="1"/>
  <c r="L913" i="31"/>
  <c r="K914" i="31" l="1"/>
  <c r="L914" i="31"/>
  <c r="K915" i="31" l="1"/>
  <c r="L915" i="31"/>
  <c r="K916" i="31" l="1"/>
  <c r="L916" i="31"/>
  <c r="K917" i="31" l="1"/>
  <c r="L917" i="31"/>
  <c r="K918" i="31" l="1"/>
  <c r="L918" i="31"/>
  <c r="K919" i="31" l="1"/>
  <c r="L919" i="31"/>
  <c r="K920" i="31" l="1"/>
  <c r="L920" i="31"/>
  <c r="K921" i="31" l="1"/>
  <c r="L921" i="31"/>
  <c r="K922" i="31" l="1"/>
  <c r="L922" i="31"/>
  <c r="K923" i="31" l="1"/>
  <c r="L923" i="31"/>
  <c r="K924" i="31" l="1"/>
  <c r="L924" i="31"/>
  <c r="K925" i="31" l="1"/>
  <c r="L925" i="31"/>
  <c r="K926" i="31" l="1"/>
  <c r="L926" i="31"/>
  <c r="K927" i="31" l="1"/>
  <c r="L927" i="31"/>
  <c r="K928" i="31" l="1"/>
  <c r="L928" i="31"/>
  <c r="K929" i="31" l="1"/>
  <c r="L929" i="31"/>
  <c r="K930" i="31" l="1"/>
  <c r="L930" i="31"/>
  <c r="K931" i="31" l="1"/>
  <c r="L931" i="31"/>
  <c r="K932" i="31" l="1"/>
  <c r="L932" i="31"/>
  <c r="K933" i="31" l="1"/>
  <c r="L933" i="31"/>
  <c r="K934" i="31" l="1"/>
  <c r="L934" i="31"/>
  <c r="K935" i="31" l="1"/>
  <c r="L935" i="31"/>
  <c r="K936" i="31" l="1"/>
  <c r="L936" i="31"/>
  <c r="K937" i="31" l="1"/>
  <c r="L937" i="31"/>
  <c r="K938" i="31" l="1"/>
  <c r="L938" i="31"/>
  <c r="K939" i="31" l="1"/>
  <c r="L939" i="31"/>
  <c r="K940" i="31" l="1"/>
  <c r="L940" i="31"/>
  <c r="K941" i="31" l="1"/>
  <c r="L941" i="31"/>
  <c r="K942" i="31" l="1"/>
  <c r="L942" i="31"/>
  <c r="K943" i="31" l="1"/>
  <c r="L943" i="31"/>
  <c r="K944" i="31" l="1"/>
  <c r="L944" i="31"/>
  <c r="K945" i="31" l="1"/>
  <c r="L945" i="31"/>
  <c r="K946" i="31" l="1"/>
  <c r="L946" i="31"/>
  <c r="K947" i="31" l="1"/>
  <c r="L947" i="31"/>
  <c r="K948" i="31" l="1"/>
  <c r="L948" i="31"/>
  <c r="K949" i="31" l="1"/>
  <c r="L949" i="31"/>
  <c r="K950" i="31" l="1"/>
  <c r="L950" i="31"/>
  <c r="K951" i="31" l="1"/>
  <c r="L951" i="31"/>
  <c r="K952" i="31" l="1"/>
  <c r="L952" i="31"/>
  <c r="K953" i="31" l="1"/>
  <c r="L953" i="31"/>
  <c r="K954" i="31" l="1"/>
  <c r="L954" i="31"/>
  <c r="K955" i="31" l="1"/>
  <c r="L955" i="31"/>
  <c r="K956" i="31" l="1"/>
  <c r="L956" i="31"/>
  <c r="K957" i="31" l="1"/>
  <c r="L957" i="31"/>
  <c r="K958" i="31" l="1"/>
  <c r="L958" i="31"/>
  <c r="K959" i="31" l="1"/>
  <c r="L959" i="31"/>
  <c r="K960" i="31" l="1"/>
  <c r="L960" i="31"/>
  <c r="K961" i="31" l="1"/>
  <c r="L961" i="31"/>
  <c r="K962" i="31" l="1"/>
  <c r="L962" i="31"/>
  <c r="K963" i="31" l="1"/>
  <c r="L963" i="31"/>
  <c r="K964" i="31" l="1"/>
  <c r="L964" i="31"/>
  <c r="K965" i="31" l="1"/>
  <c r="L965" i="31"/>
  <c r="K966" i="31" l="1"/>
  <c r="L966" i="31"/>
  <c r="K967" i="31" l="1"/>
  <c r="L967" i="31"/>
  <c r="K968" i="31" l="1"/>
  <c r="L968" i="31"/>
  <c r="K969" i="31" l="1"/>
  <c r="L969" i="31"/>
  <c r="K970" i="31" l="1"/>
  <c r="L970" i="31"/>
  <c r="K971" i="31" l="1"/>
  <c r="L971" i="31"/>
  <c r="K972" i="31" l="1"/>
  <c r="L972" i="31"/>
  <c r="K973" i="31" l="1"/>
  <c r="L973" i="31"/>
  <c r="K974" i="31" l="1"/>
  <c r="L974" i="31"/>
  <c r="K975" i="31" l="1"/>
  <c r="L975" i="31"/>
  <c r="K976" i="31" l="1"/>
  <c r="L976" i="31"/>
  <c r="K977" i="31" l="1"/>
  <c r="L977" i="31"/>
  <c r="K978" i="31" l="1"/>
  <c r="L978" i="31"/>
  <c r="K979" i="31" l="1"/>
  <c r="L979" i="31"/>
  <c r="K980" i="31" l="1"/>
  <c r="L980" i="31"/>
  <c r="K981" i="31" l="1"/>
  <c r="L981" i="31"/>
  <c r="K982" i="31" l="1"/>
  <c r="L982" i="31"/>
  <c r="K983" i="31" l="1"/>
  <c r="L983" i="31"/>
  <c r="K984" i="31" l="1"/>
  <c r="L984" i="31"/>
  <c r="K985" i="31" l="1"/>
  <c r="L985" i="31"/>
  <c r="K986" i="31" l="1"/>
  <c r="L986" i="31"/>
  <c r="K987" i="31" l="1"/>
  <c r="L987" i="31"/>
  <c r="K988" i="31" l="1"/>
  <c r="L988" i="31"/>
  <c r="K989" i="31" l="1"/>
  <c r="L989" i="31"/>
  <c r="K990" i="31" l="1"/>
  <c r="L990" i="31"/>
  <c r="K991" i="31" l="1"/>
  <c r="L991" i="31"/>
  <c r="K992" i="31" l="1"/>
  <c r="L992" i="31"/>
  <c r="K993" i="31" l="1"/>
  <c r="L993" i="31"/>
  <c r="K994" i="31" l="1"/>
  <c r="L994" i="31"/>
  <c r="K995" i="31" l="1"/>
  <c r="L995" i="31"/>
  <c r="K996" i="31" l="1"/>
  <c r="L996" i="31"/>
  <c r="K997" i="31" l="1"/>
  <c r="L997" i="31"/>
  <c r="K998" i="31" l="1"/>
  <c r="L998" i="31"/>
  <c r="K999" i="31" l="1"/>
  <c r="L999" i="31"/>
  <c r="K1000" i="31" l="1"/>
  <c r="L1000" i="31"/>
  <c r="K1001" i="31" l="1"/>
  <c r="L1001" i="31"/>
  <c r="K1002" i="31" l="1"/>
  <c r="L1002" i="31"/>
  <c r="K1003" i="31" l="1"/>
  <c r="L1003" i="31"/>
  <c r="K1004" i="31" l="1"/>
  <c r="L1004" i="31"/>
  <c r="K1005" i="31" l="1"/>
  <c r="L1005" i="31"/>
  <c r="K1006" i="31" l="1"/>
  <c r="L1006" i="31"/>
  <c r="K1007" i="31" l="1"/>
  <c r="L1007" i="31"/>
  <c r="K1008" i="31" l="1"/>
  <c r="L1008" i="31"/>
  <c r="K1009" i="31" l="1"/>
  <c r="L1009" i="31"/>
  <c r="K1010" i="31" l="1"/>
  <c r="L1010" i="31"/>
  <c r="K1011" i="31" l="1"/>
  <c r="L1011" i="31"/>
  <c r="K1012" i="31" l="1"/>
  <c r="L1012" i="31"/>
  <c r="K1013" i="31" l="1"/>
  <c r="L1013" i="31"/>
  <c r="K1014" i="31" l="1"/>
  <c r="L1014" i="31"/>
  <c r="K1015" i="31" l="1"/>
  <c r="L1015" i="31"/>
  <c r="K1016" i="31" l="1"/>
  <c r="L1016" i="31"/>
  <c r="K1017" i="31" l="1"/>
  <c r="L1017" i="31"/>
  <c r="K1018" i="31" l="1"/>
  <c r="L1018" i="31"/>
  <c r="K1019" i="31" l="1"/>
  <c r="L1019" i="31"/>
  <c r="K1020" i="31" l="1"/>
  <c r="L1020" i="31"/>
  <c r="K1021" i="31" l="1"/>
  <c r="L1021" i="31"/>
  <c r="K1022" i="31" l="1"/>
  <c r="L1022" i="31"/>
  <c r="K1023" i="31" l="1"/>
  <c r="L1023" i="31"/>
  <c r="K1024" i="31" l="1"/>
  <c r="L1024" i="31"/>
  <c r="K1025" i="31" l="1"/>
  <c r="L1025" i="31"/>
  <c r="K1026" i="31" l="1"/>
  <c r="L1026" i="31"/>
  <c r="K1027" i="31" l="1"/>
  <c r="L1027" i="31"/>
  <c r="K1028" i="31" l="1"/>
  <c r="L1028" i="31"/>
  <c r="K1029" i="31" l="1"/>
  <c r="L1029" i="31"/>
  <c r="K1030" i="31" l="1"/>
  <c r="L1030" i="31"/>
  <c r="K1031" i="31" l="1"/>
  <c r="L1031" i="31"/>
  <c r="K1032" i="31" l="1"/>
  <c r="L1032" i="31"/>
  <c r="K1033" i="31" l="1"/>
  <c r="L1033" i="31"/>
  <c r="K1034" i="31" l="1"/>
  <c r="L1034" i="31"/>
  <c r="K1035" i="31" l="1"/>
  <c r="L1035" i="31"/>
  <c r="K1036" i="31" l="1"/>
  <c r="L1036" i="31"/>
  <c r="K1037" i="31" l="1"/>
  <c r="L1037" i="31"/>
  <c r="K1038" i="31" l="1"/>
  <c r="L1038" i="31"/>
  <c r="K1039" i="31" l="1"/>
  <c r="L1039" i="31"/>
  <c r="K1040" i="31" l="1"/>
  <c r="L1040" i="31"/>
  <c r="K1041" i="31" l="1"/>
  <c r="L1041" i="31"/>
  <c r="K1042" i="31" l="1"/>
  <c r="L1042" i="31"/>
  <c r="K1043" i="31" l="1"/>
  <c r="L1043" i="31"/>
  <c r="K1044" i="31" l="1"/>
  <c r="L1044" i="31"/>
  <c r="K1045" i="31" l="1"/>
  <c r="L1045" i="31"/>
  <c r="K1046" i="31" l="1"/>
  <c r="L1046" i="31"/>
  <c r="K1047" i="31" l="1"/>
  <c r="L1047" i="31"/>
  <c r="K1048" i="31" l="1"/>
  <c r="L1048" i="31"/>
  <c r="K1049" i="31" l="1"/>
  <c r="L1049" i="31"/>
  <c r="K1050" i="31" l="1"/>
  <c r="L1050" i="31"/>
  <c r="K1051" i="31" l="1"/>
  <c r="L1051" i="31"/>
  <c r="K1052" i="31" l="1"/>
  <c r="L1052" i="31"/>
  <c r="K1053" i="31" l="1"/>
  <c r="L1053" i="31"/>
  <c r="K1054" i="31" l="1"/>
  <c r="L1054" i="31"/>
  <c r="K1055" i="31" l="1"/>
  <c r="L1055" i="31"/>
  <c r="K1056" i="31" l="1"/>
  <c r="L1056" i="31"/>
  <c r="K1057" i="31" l="1"/>
  <c r="L1057" i="31"/>
  <c r="K1058" i="31" l="1"/>
  <c r="L1058" i="31"/>
  <c r="K1059" i="31" l="1"/>
  <c r="L1059" i="31"/>
  <c r="K1060" i="31" l="1"/>
  <c r="L1060" i="31"/>
  <c r="K1061" i="31" l="1"/>
  <c r="L1061" i="31"/>
  <c r="K1062" i="31" l="1"/>
  <c r="L1062" i="31"/>
  <c r="K1063" i="31" l="1"/>
  <c r="L1063" i="31"/>
  <c r="K1064" i="31" l="1"/>
  <c r="L1064" i="31"/>
  <c r="K1065" i="31" l="1"/>
  <c r="L1065" i="31"/>
  <c r="K1066" i="31" l="1"/>
  <c r="L1066" i="31"/>
  <c r="K1067" i="31" l="1"/>
  <c r="L1067" i="31"/>
  <c r="K1068" i="31" l="1"/>
  <c r="L1068" i="31"/>
  <c r="K1069" i="31" l="1"/>
  <c r="L1069" i="31"/>
  <c r="K1070" i="31" l="1"/>
  <c r="L1070" i="31"/>
  <c r="K1071" i="31" l="1"/>
  <c r="L1071" i="31"/>
  <c r="K1072" i="31" l="1"/>
  <c r="L1072" i="31"/>
  <c r="K1073" i="31" l="1"/>
  <c r="L1073" i="31"/>
  <c r="K1074" i="31" l="1"/>
  <c r="L1074" i="31"/>
  <c r="K1075" i="31" l="1"/>
  <c r="L1075" i="31"/>
  <c r="K1076" i="31" l="1"/>
  <c r="L1076" i="31"/>
  <c r="K1077" i="31" l="1"/>
  <c r="L1077" i="31"/>
  <c r="K1078" i="31" l="1"/>
  <c r="L1078" i="31"/>
  <c r="K1079" i="31" l="1"/>
  <c r="L1079" i="31"/>
  <c r="K1080" i="31" l="1"/>
  <c r="L1080" i="31"/>
  <c r="K1081" i="31" l="1"/>
  <c r="L1081" i="31"/>
  <c r="K1082" i="31" l="1"/>
  <c r="L1082" i="31"/>
  <c r="K1083" i="31" l="1"/>
  <c r="L1083" i="31"/>
  <c r="K1084" i="31" l="1"/>
  <c r="L1084" i="31"/>
  <c r="K1085" i="31" l="1"/>
  <c r="L1085" i="31"/>
  <c r="K1086" i="31" l="1"/>
  <c r="L1086" i="31"/>
  <c r="K1087" i="31" l="1"/>
  <c r="L1087" i="31"/>
  <c r="K1088" i="31" l="1"/>
  <c r="L1088" i="31"/>
  <c r="K1089" i="31" l="1"/>
  <c r="L1089" i="31"/>
  <c r="K1090" i="31" l="1"/>
  <c r="L1090" i="31"/>
  <c r="K1091" i="31" l="1"/>
  <c r="L1091" i="31"/>
  <c r="K1092" i="31" l="1"/>
  <c r="L1092" i="31"/>
  <c r="K1093" i="31" l="1"/>
  <c r="L1093" i="31"/>
  <c r="K1094" i="31" l="1"/>
  <c r="L1094" i="31"/>
  <c r="K1095" i="31" l="1"/>
  <c r="L1095" i="31"/>
  <c r="K1096" i="31" l="1"/>
  <c r="L1096" i="31"/>
  <c r="K1097" i="31" l="1"/>
  <c r="L1097" i="31"/>
  <c r="K1098" i="31" l="1"/>
  <c r="L1098" i="31"/>
  <c r="K1099" i="31" l="1"/>
  <c r="L1099" i="31"/>
  <c r="K1100" i="31" l="1"/>
  <c r="L1100" i="31"/>
  <c r="K1101" i="31" l="1"/>
  <c r="L1101" i="31"/>
  <c r="K1102" i="31" l="1"/>
  <c r="L1102" i="31"/>
  <c r="K1103" i="31" l="1"/>
  <c r="L1103" i="31"/>
  <c r="K1104" i="31" l="1"/>
  <c r="L1104" i="31"/>
  <c r="K1105" i="31" l="1"/>
  <c r="L1105" i="31"/>
  <c r="K1106" i="31" l="1"/>
  <c r="L1106" i="31"/>
  <c r="K1107" i="31" l="1"/>
  <c r="L1107" i="31"/>
  <c r="K1108" i="31" l="1"/>
  <c r="L1108" i="31"/>
  <c r="K1109" i="31" l="1"/>
  <c r="L1109" i="31"/>
  <c r="K1110" i="31" l="1"/>
  <c r="L1110" i="31"/>
  <c r="K1111" i="31" l="1"/>
  <c r="L1111" i="31"/>
  <c r="K1112" i="31" l="1"/>
  <c r="L1112" i="31"/>
  <c r="K1113" i="31" l="1"/>
  <c r="L1113" i="31"/>
  <c r="K1114" i="31" l="1"/>
  <c r="L1114" i="31"/>
  <c r="K1115" i="31" l="1"/>
  <c r="L1115" i="31"/>
  <c r="K1116" i="31" l="1"/>
  <c r="L1116" i="31"/>
  <c r="K1117" i="31" l="1"/>
  <c r="L1117" i="31"/>
  <c r="K1118" i="31" l="1"/>
  <c r="L1118" i="31"/>
  <c r="K1119" i="31" l="1"/>
  <c r="L1119" i="31"/>
  <c r="K1120" i="31" l="1"/>
  <c r="L1120" i="31"/>
  <c r="K1121" i="31" l="1"/>
  <c r="L1121" i="31"/>
  <c r="K1122" i="31" l="1"/>
  <c r="L1122" i="31"/>
  <c r="K1123" i="31" l="1"/>
  <c r="L1123" i="31"/>
  <c r="K1124" i="31" l="1"/>
  <c r="L1124" i="31"/>
  <c r="K1125" i="31" l="1"/>
  <c r="L1125" i="31"/>
  <c r="K1126" i="31" l="1"/>
  <c r="L1126" i="31"/>
  <c r="K1127" i="31" l="1"/>
  <c r="L1127" i="31"/>
  <c r="K1128" i="31" l="1"/>
  <c r="L1128" i="31"/>
  <c r="K1129" i="31" l="1"/>
  <c r="L1129" i="31"/>
  <c r="K1130" i="31" l="1"/>
  <c r="L1130" i="31"/>
  <c r="K1131" i="31" l="1"/>
  <c r="L1131" i="31"/>
  <c r="K1132" i="31" l="1"/>
  <c r="L1132" i="31"/>
  <c r="K1133" i="31" l="1"/>
  <c r="L1133" i="31"/>
  <c r="K1134" i="31" l="1"/>
  <c r="L1134" i="31"/>
  <c r="K1135" i="31" l="1"/>
  <c r="L1135" i="31"/>
  <c r="K1136" i="31" l="1"/>
  <c r="L1136" i="31"/>
  <c r="K1137" i="31" l="1"/>
  <c r="L1137" i="31"/>
  <c r="K1138" i="31" l="1"/>
  <c r="L1138" i="31"/>
  <c r="K1139" i="31" l="1"/>
  <c r="L1139" i="31"/>
  <c r="K1140" i="31" l="1"/>
  <c r="L1140" i="31"/>
  <c r="K1141" i="31" l="1"/>
  <c r="L1141" i="31"/>
  <c r="K1142" i="31" l="1"/>
  <c r="L1142" i="31"/>
  <c r="K1143" i="31" l="1"/>
  <c r="L1143" i="31"/>
  <c r="K1144" i="31" l="1"/>
  <c r="L1144" i="31"/>
  <c r="K1145" i="31" l="1"/>
  <c r="L1145" i="31"/>
  <c r="K1146" i="31" l="1"/>
  <c r="L1146" i="31"/>
  <c r="K1147" i="31" l="1"/>
  <c r="L1147" i="31"/>
  <c r="K1148" i="31" l="1"/>
  <c r="L1148" i="31"/>
  <c r="K1149" i="31" l="1"/>
  <c r="L1149" i="31"/>
  <c r="K1150" i="31" l="1"/>
  <c r="L1150" i="31"/>
  <c r="K1151" i="31" l="1"/>
  <c r="L1151" i="31"/>
  <c r="K1152" i="31" l="1"/>
  <c r="L1152" i="31"/>
  <c r="K1153" i="31" l="1"/>
  <c r="L1153" i="31"/>
  <c r="K1154" i="31" l="1"/>
  <c r="L1154" i="31"/>
  <c r="K1155" i="31" l="1"/>
  <c r="L1155" i="31"/>
  <c r="K1156" i="31" l="1"/>
  <c r="L1156" i="31"/>
  <c r="K1157" i="31" l="1"/>
  <c r="L1157" i="31"/>
  <c r="K1158" i="31" l="1"/>
  <c r="L1158" i="31"/>
  <c r="K1159" i="31" l="1"/>
  <c r="L1159" i="31"/>
  <c r="K1160" i="31" l="1"/>
  <c r="L1160" i="31"/>
  <c r="K1161" i="31" l="1"/>
  <c r="L1161" i="31"/>
  <c r="K1162" i="31" l="1"/>
  <c r="L1162" i="31"/>
  <c r="K1163" i="31" l="1"/>
  <c r="L1163" i="31"/>
  <c r="K1164" i="31" l="1"/>
  <c r="L1164" i="31"/>
  <c r="K1165" i="31" l="1"/>
  <c r="L1165" i="31"/>
  <c r="K1166" i="31" l="1"/>
  <c r="L1166" i="31"/>
  <c r="K1167" i="31" l="1"/>
  <c r="L1167" i="31"/>
  <c r="K1168" i="31" l="1"/>
  <c r="L1168" i="31"/>
  <c r="K1169" i="31" l="1"/>
  <c r="L1169" i="31"/>
  <c r="K1170" i="31" l="1"/>
  <c r="L1170" i="31"/>
  <c r="K1171" i="31" l="1"/>
  <c r="L1171" i="31"/>
  <c r="K1172" i="31" l="1"/>
  <c r="L1172" i="31"/>
  <c r="K1173" i="31" l="1"/>
  <c r="L1173" i="31"/>
  <c r="K1174" i="31" l="1"/>
  <c r="L1174" i="31"/>
  <c r="K1175" i="31" l="1"/>
  <c r="L1175" i="31"/>
  <c r="K1176" i="31" l="1"/>
  <c r="L1176" i="31"/>
  <c r="K1177" i="31" l="1"/>
  <c r="L1177" i="31"/>
  <c r="K1178" i="31" l="1"/>
  <c r="L1178" i="31"/>
  <c r="K1179" i="31" l="1"/>
  <c r="L1179" i="31"/>
  <c r="K1180" i="31" l="1"/>
  <c r="L1180" i="31"/>
  <c r="K1181" i="31" l="1"/>
  <c r="L1181" i="31"/>
  <c r="K1182" i="31" l="1"/>
  <c r="L1182" i="31"/>
  <c r="K1183" i="31" l="1"/>
  <c r="L1183" i="31"/>
  <c r="K1184" i="31" l="1"/>
  <c r="L1184" i="31"/>
  <c r="K1185" i="31" l="1"/>
  <c r="L1185" i="31"/>
  <c r="K1186" i="31" l="1"/>
  <c r="L1186" i="31"/>
  <c r="K1187" i="31" l="1"/>
  <c r="L1187" i="31"/>
  <c r="K1188" i="31" l="1"/>
  <c r="L1188" i="31"/>
  <c r="K1189" i="31" l="1"/>
  <c r="L1189" i="31"/>
  <c r="K1190" i="31" l="1"/>
  <c r="L1190" i="31"/>
  <c r="K1191" i="31" l="1"/>
  <c r="L1191" i="31"/>
  <c r="K1192" i="31" l="1"/>
  <c r="L1192" i="31"/>
  <c r="K1193" i="31" l="1"/>
  <c r="L1193" i="31"/>
  <c r="K1194" i="31" l="1"/>
  <c r="L1194" i="31"/>
  <c r="K1195" i="31" l="1"/>
  <c r="L1195" i="31"/>
  <c r="K1196" i="31" l="1"/>
  <c r="L1196" i="31"/>
  <c r="K1197" i="31" l="1"/>
  <c r="L1197" i="31"/>
  <c r="K1198" i="31" l="1"/>
  <c r="L1198" i="31"/>
  <c r="K1199" i="31" l="1"/>
  <c r="L1199" i="31"/>
  <c r="K1200" i="31" l="1"/>
  <c r="L1200" i="31"/>
  <c r="K1201" i="31" l="1"/>
  <c r="L1201" i="31"/>
  <c r="K1202" i="31" l="1"/>
  <c r="L1202" i="31"/>
  <c r="K1203" i="31" l="1"/>
  <c r="L1203" i="31"/>
  <c r="K1204" i="31" l="1"/>
  <c r="L1204" i="31"/>
  <c r="K1205" i="31" l="1"/>
  <c r="L1205" i="31"/>
  <c r="K1206" i="31" l="1"/>
  <c r="L1206" i="31"/>
  <c r="K1207" i="31" l="1"/>
  <c r="L1207" i="31"/>
  <c r="K1208" i="31" l="1"/>
  <c r="L1208" i="31"/>
  <c r="K1209" i="31" l="1"/>
  <c r="L1209" i="31"/>
  <c r="K1210" i="31" l="1"/>
  <c r="L1210" i="31"/>
  <c r="K1211" i="31" l="1"/>
  <c r="L1211" i="31"/>
  <c r="K1212" i="31" l="1"/>
  <c r="L1212" i="31"/>
  <c r="K1213" i="31" l="1"/>
  <c r="L1213" i="31"/>
  <c r="K1214" i="31" l="1"/>
  <c r="L1214" i="31"/>
  <c r="K1215" i="31" l="1"/>
  <c r="L1215" i="31"/>
  <c r="K1216" i="31" l="1"/>
  <c r="L1216" i="31"/>
  <c r="K1217" i="31" l="1"/>
  <c r="L1217" i="31"/>
  <c r="K1218" i="31" l="1"/>
  <c r="L1218" i="31"/>
  <c r="K1219" i="31" l="1"/>
  <c r="L1219" i="31"/>
  <c r="K1220" i="31" l="1"/>
  <c r="L1220" i="31"/>
  <c r="K1221" i="31" l="1"/>
  <c r="L1221" i="31"/>
  <c r="K1222" i="31" l="1"/>
  <c r="L1222" i="31"/>
  <c r="K1223" i="31" l="1"/>
  <c r="L1223" i="31"/>
  <c r="K1224" i="31" l="1"/>
  <c r="L1224" i="31"/>
  <c r="K1225" i="31" l="1"/>
  <c r="L1225" i="31"/>
  <c r="K1226" i="31" l="1"/>
  <c r="L1226" i="31"/>
  <c r="K1227" i="31" l="1"/>
  <c r="L1227" i="31"/>
  <c r="K1228" i="31" l="1"/>
  <c r="L1228" i="31"/>
  <c r="K1229" i="31" l="1"/>
  <c r="L1229" i="31"/>
  <c r="K1230" i="31" l="1"/>
  <c r="L1230" i="31"/>
  <c r="K1231" i="31" l="1"/>
  <c r="L1231" i="31"/>
  <c r="K1232" i="31" l="1"/>
  <c r="L1232" i="31"/>
  <c r="K1233" i="31" l="1"/>
  <c r="L1233" i="31"/>
  <c r="K1234" i="31" l="1"/>
  <c r="L1234" i="31"/>
  <c r="K1235" i="31" l="1"/>
  <c r="L1235" i="31"/>
  <c r="K1236" i="31" l="1"/>
  <c r="L1236" i="31"/>
  <c r="K1237" i="31" l="1"/>
  <c r="L1237" i="31"/>
  <c r="K1238" i="31" l="1"/>
  <c r="L1238" i="31"/>
  <c r="K1239" i="31" l="1"/>
  <c r="L1239" i="31"/>
  <c r="K1240" i="31" l="1"/>
  <c r="L1240" i="31"/>
  <c r="K1241" i="31" l="1"/>
  <c r="L1241" i="31"/>
  <c r="K1242" i="31" l="1"/>
  <c r="L1242" i="31"/>
  <c r="K1243" i="31" l="1"/>
  <c r="L1243" i="31"/>
  <c r="K1244" i="31" l="1"/>
  <c r="L1244" i="31"/>
  <c r="K1245" i="31" l="1"/>
  <c r="L1245" i="31"/>
  <c r="K1246" i="31" l="1"/>
  <c r="L1246" i="31"/>
  <c r="K1247" i="31" l="1"/>
  <c r="L1247" i="31"/>
  <c r="K1248" i="31" l="1"/>
  <c r="L1248" i="31"/>
  <c r="K1249" i="31" l="1"/>
  <c r="L1249" i="31"/>
  <c r="K1250" i="31" l="1"/>
  <c r="L1250" i="31"/>
  <c r="K1251" i="31" l="1"/>
  <c r="L1251" i="31"/>
  <c r="K1252" i="31" l="1"/>
  <c r="L1252" i="31"/>
  <c r="K1253" i="31" l="1"/>
  <c r="L1253" i="31"/>
  <c r="K1254" i="31" l="1"/>
  <c r="L1254" i="31"/>
  <c r="K1255" i="31" l="1"/>
  <c r="L1255" i="31"/>
  <c r="K1256" i="31" l="1"/>
  <c r="L1256" i="31"/>
  <c r="K1257" i="31" l="1"/>
  <c r="L1257" i="31"/>
  <c r="K1258" i="31" l="1"/>
  <c r="L1258" i="31"/>
  <c r="K1259" i="31" l="1"/>
  <c r="L1259" i="31"/>
  <c r="K1260" i="31" l="1"/>
  <c r="L1260" i="31"/>
  <c r="K1261" i="31" l="1"/>
  <c r="L1261" i="31"/>
  <c r="K1262" i="31" l="1"/>
  <c r="L1262" i="31"/>
  <c r="K1263" i="31" l="1"/>
  <c r="L1263" i="31"/>
  <c r="K1264" i="31" l="1"/>
  <c r="L1264" i="31"/>
  <c r="K1265" i="31" l="1"/>
  <c r="L1265" i="31"/>
  <c r="K1266" i="31" l="1"/>
  <c r="L1266" i="31"/>
  <c r="K1267" i="31" l="1"/>
  <c r="L1267" i="31"/>
  <c r="K1268" i="31" l="1"/>
  <c r="L1268" i="31"/>
  <c r="K1269" i="31" l="1"/>
  <c r="L1269" i="31"/>
  <c r="K1270" i="31" l="1"/>
  <c r="L1270" i="31"/>
  <c r="K1271" i="31" l="1"/>
  <c r="L1271" i="31"/>
  <c r="K1272" i="31" l="1"/>
  <c r="L1272" i="31"/>
  <c r="K1273" i="31" l="1"/>
  <c r="L1273" i="31"/>
  <c r="K1274" i="31" l="1"/>
  <c r="L1274" i="31"/>
  <c r="K1275" i="31" l="1"/>
  <c r="L1275" i="31"/>
  <c r="K1276" i="31" l="1"/>
  <c r="L1276" i="31"/>
  <c r="K1277" i="31" l="1"/>
  <c r="L1277" i="31"/>
  <c r="K1278" i="31" l="1"/>
  <c r="L1278" i="31"/>
  <c r="K1279" i="31" l="1"/>
  <c r="L1279" i="31"/>
  <c r="K1280" i="31" l="1"/>
  <c r="L1280" i="31"/>
  <c r="K1281" i="31" l="1"/>
  <c r="L1281" i="31"/>
  <c r="K1282" i="31" l="1"/>
  <c r="L1282" i="31"/>
  <c r="K1283" i="31" l="1"/>
  <c r="L1283" i="31"/>
  <c r="K1284" i="31" l="1"/>
  <c r="L1284" i="31"/>
  <c r="K1285" i="31" l="1"/>
  <c r="L1285" i="31"/>
  <c r="K1286" i="31" l="1"/>
  <c r="L1286" i="31"/>
  <c r="K1287" i="31" l="1"/>
  <c r="L1287" i="31"/>
  <c r="K1288" i="31" l="1"/>
  <c r="L1288" i="31"/>
  <c r="K1289" i="31" l="1"/>
  <c r="L1289" i="31"/>
  <c r="K1290" i="31" l="1"/>
  <c r="L1290" i="31"/>
  <c r="K1291" i="31" l="1"/>
  <c r="L1291" i="31"/>
  <c r="K1292" i="31" l="1"/>
  <c r="L1292" i="31"/>
  <c r="K1293" i="31" l="1"/>
  <c r="L1293" i="31"/>
  <c r="K1294" i="31" l="1"/>
  <c r="L1294" i="31"/>
  <c r="K1295" i="31" l="1"/>
  <c r="L1295" i="31"/>
  <c r="K1296" i="31" l="1"/>
  <c r="L1296" i="31"/>
  <c r="K1297" i="31" l="1"/>
  <c r="L1297" i="31"/>
  <c r="K1298" i="31" l="1"/>
  <c r="L1298" i="31"/>
  <c r="K1299" i="31" l="1"/>
  <c r="L1299" i="31"/>
  <c r="K1300" i="31" l="1"/>
  <c r="L1300" i="31"/>
  <c r="K1301" i="31" l="1"/>
  <c r="L1301" i="31"/>
  <c r="K1302" i="31" l="1"/>
  <c r="L1302" i="31"/>
  <c r="K1303" i="31" l="1"/>
  <c r="L1303" i="31"/>
  <c r="K1304" i="31" l="1"/>
  <c r="L1304" i="31"/>
  <c r="K1305" i="31" l="1"/>
  <c r="L1305" i="31"/>
  <c r="K1306" i="31" l="1"/>
  <c r="L1306" i="31"/>
  <c r="K1307" i="31" l="1"/>
  <c r="L1307" i="31"/>
  <c r="K1308" i="31" l="1"/>
  <c r="L1308" i="31"/>
  <c r="K1309" i="31" l="1"/>
  <c r="L1309" i="31"/>
  <c r="K1310" i="31" l="1"/>
  <c r="L1310" i="31"/>
  <c r="K1311" i="31" l="1"/>
  <c r="L1311" i="31"/>
  <c r="K1312" i="31" l="1"/>
  <c r="L1312" i="31"/>
  <c r="K1313" i="31" l="1"/>
  <c r="L1313" i="31"/>
  <c r="K1314" i="31" l="1"/>
  <c r="L1314" i="31"/>
  <c r="K1315" i="31" l="1"/>
  <c r="L1315" i="31"/>
  <c r="K1316" i="31" l="1"/>
  <c r="L1316" i="31"/>
  <c r="K1317" i="31" l="1"/>
  <c r="L1317" i="31"/>
  <c r="K1318" i="31" l="1"/>
  <c r="L1318" i="31"/>
  <c r="K1319" i="31" l="1"/>
  <c r="L1319" i="31"/>
  <c r="K1320" i="31" l="1"/>
  <c r="L1320" i="31"/>
  <c r="K1321" i="31" l="1"/>
  <c r="L1321" i="31"/>
  <c r="K1322" i="31" l="1"/>
  <c r="L1322" i="31"/>
  <c r="K1323" i="31" l="1"/>
  <c r="L1323" i="31"/>
  <c r="K1324" i="31" l="1"/>
  <c r="L1324" i="31"/>
  <c r="K1325" i="31" l="1"/>
  <c r="L1325" i="31"/>
  <c r="K1326" i="31" l="1"/>
  <c r="L1326" i="31"/>
  <c r="K1327" i="31" l="1"/>
  <c r="L1327" i="31"/>
  <c r="K1328" i="31" l="1"/>
  <c r="L1328" i="31"/>
  <c r="K1329" i="31" l="1"/>
  <c r="L1329" i="31"/>
  <c r="K1330" i="31" l="1"/>
  <c r="L1330" i="31"/>
  <c r="K1331" i="31" l="1"/>
  <c r="L1331" i="31"/>
  <c r="K1332" i="31" l="1"/>
  <c r="L1332" i="31"/>
  <c r="K1333" i="31" l="1"/>
  <c r="L1333" i="31"/>
  <c r="K1334" i="31" l="1"/>
  <c r="L1334" i="31"/>
  <c r="K1335" i="31" l="1"/>
  <c r="L1335" i="31"/>
  <c r="K1336" i="31" l="1"/>
  <c r="L1336" i="31"/>
  <c r="K1337" i="31" l="1"/>
  <c r="L1337" i="31"/>
  <c r="K1338" i="31" l="1"/>
  <c r="L1338" i="31"/>
  <c r="K1339" i="31" l="1"/>
  <c r="L1339" i="31"/>
  <c r="K1340" i="31" l="1"/>
  <c r="L1340" i="31"/>
  <c r="K1341" i="31" l="1"/>
  <c r="L1341" i="31"/>
  <c r="K1342" i="31" l="1"/>
  <c r="L1342" i="31"/>
  <c r="K1343" i="31" l="1"/>
  <c r="L1343" i="31"/>
  <c r="K1344" i="31" l="1"/>
  <c r="L1344" i="31"/>
  <c r="K1345" i="31" l="1"/>
  <c r="L1345" i="31"/>
  <c r="K1346" i="31" l="1"/>
  <c r="L1346" i="31"/>
  <c r="K1347" i="31" l="1"/>
  <c r="L1347" i="31"/>
  <c r="K1348" i="31" l="1"/>
  <c r="L1348" i="31"/>
  <c r="K1349" i="31" l="1"/>
  <c r="L1349" i="31"/>
  <c r="K1350" i="31" l="1"/>
  <c r="L1350" i="31"/>
  <c r="K1351" i="31" l="1"/>
  <c r="L1351" i="31"/>
  <c r="K1352" i="31" l="1"/>
  <c r="L1352" i="31"/>
  <c r="K1353" i="31" l="1"/>
  <c r="L1353" i="31"/>
  <c r="K1354" i="31" l="1"/>
  <c r="L1354" i="31"/>
  <c r="K1355" i="31" l="1"/>
  <c r="L1355" i="31"/>
  <c r="K1356" i="31" l="1"/>
  <c r="L1356" i="31"/>
  <c r="K1357" i="31" l="1"/>
  <c r="L1357" i="31"/>
  <c r="K1358" i="31" l="1"/>
  <c r="L1358" i="31"/>
  <c r="K1359" i="31" l="1"/>
  <c r="L1359" i="31"/>
  <c r="K1360" i="31" l="1"/>
  <c r="L1360" i="31"/>
  <c r="K1361" i="31" l="1"/>
  <c r="L1361" i="31"/>
  <c r="K1362" i="31" l="1"/>
  <c r="L1362" i="31"/>
  <c r="K1363" i="31" l="1"/>
  <c r="L1363" i="31"/>
  <c r="K1364" i="31" l="1"/>
  <c r="L1364" i="31"/>
  <c r="K1365" i="31" l="1"/>
  <c r="L1365" i="31"/>
  <c r="K1366" i="31" l="1"/>
  <c r="L1366" i="31"/>
  <c r="K1367" i="31" l="1"/>
  <c r="L1367" i="31"/>
  <c r="K1368" i="31" l="1"/>
  <c r="L1368" i="31"/>
  <c r="K1369" i="31" l="1"/>
  <c r="L1369" i="31"/>
  <c r="K1370" i="31" l="1"/>
  <c r="L1370" i="31"/>
  <c r="K1371" i="31" l="1"/>
  <c r="L1371" i="31"/>
  <c r="K1372" i="31" l="1"/>
  <c r="L1372" i="31"/>
  <c r="K1373" i="31" l="1"/>
  <c r="L1373" i="31"/>
  <c r="K1374" i="31" l="1"/>
  <c r="L1374" i="31"/>
  <c r="K1375" i="31" l="1"/>
  <c r="L1375" i="31"/>
  <c r="K1376" i="31" l="1"/>
  <c r="L1376" i="31"/>
  <c r="K1377" i="31" l="1"/>
  <c r="L1377" i="31"/>
  <c r="K1378" i="31" l="1"/>
  <c r="L1378" i="31"/>
  <c r="K1379" i="31" l="1"/>
  <c r="L1379" i="31"/>
  <c r="K1380" i="31" l="1"/>
  <c r="L1380" i="31"/>
  <c r="K1381" i="31" l="1"/>
  <c r="L1381" i="31"/>
  <c r="K1382" i="31" l="1"/>
  <c r="L1382" i="31"/>
  <c r="K1383" i="31" l="1"/>
  <c r="L1383" i="31"/>
  <c r="K1384" i="31" l="1"/>
  <c r="L1384" i="31"/>
  <c r="K1385" i="31" l="1"/>
  <c r="L1385" i="31"/>
  <c r="K1386" i="31" l="1"/>
  <c r="L1386" i="31"/>
  <c r="K1387" i="31" l="1"/>
  <c r="L1387" i="31"/>
  <c r="K1388" i="31" l="1"/>
  <c r="L1388" i="31"/>
  <c r="K1389" i="31" l="1"/>
  <c r="L1389" i="31"/>
  <c r="K1390" i="31" l="1"/>
  <c r="L1390" i="31"/>
  <c r="K1391" i="31" l="1"/>
  <c r="L1391" i="31"/>
  <c r="K1392" i="31" l="1"/>
  <c r="L1392" i="31"/>
  <c r="K1393" i="31" l="1"/>
  <c r="L1393" i="31"/>
  <c r="K1394" i="31" l="1"/>
  <c r="L1394" i="31"/>
  <c r="K1395" i="31" l="1"/>
  <c r="L1395" i="31"/>
  <c r="K1396" i="31" l="1"/>
  <c r="L1396" i="31"/>
  <c r="K1397" i="31" l="1"/>
  <c r="L1397" i="31"/>
  <c r="K1398" i="31" l="1"/>
  <c r="L1398" i="31"/>
  <c r="K1399" i="31" l="1"/>
  <c r="L1399" i="31"/>
  <c r="K1400" i="31" l="1"/>
  <c r="L1400" i="31"/>
  <c r="K1401" i="31" l="1"/>
  <c r="L1401" i="31"/>
  <c r="K1402" i="31" l="1"/>
  <c r="L1402" i="31"/>
  <c r="K1403" i="31" l="1"/>
  <c r="L1403" i="31"/>
  <c r="K1404" i="31" l="1"/>
  <c r="L1404" i="31"/>
  <c r="K1405" i="31" l="1"/>
  <c r="L1405" i="31"/>
  <c r="K1406" i="31" l="1"/>
  <c r="L1406" i="31"/>
  <c r="K1407" i="31" l="1"/>
  <c r="L1407" i="31"/>
  <c r="K1408" i="31" l="1"/>
  <c r="L1408" i="31"/>
  <c r="K1409" i="31" l="1"/>
  <c r="L1409" i="31"/>
  <c r="K1410" i="31" l="1"/>
  <c r="L1410" i="31"/>
  <c r="K1411" i="31" l="1"/>
  <c r="L1411" i="31"/>
  <c r="K1412" i="31" l="1"/>
  <c r="L1412" i="31"/>
  <c r="K1413" i="31" l="1"/>
  <c r="L1413" i="31"/>
  <c r="K1414" i="31" l="1"/>
  <c r="L1414" i="31"/>
  <c r="K1415" i="31" l="1"/>
  <c r="L1415" i="31"/>
  <c r="K1416" i="31" l="1"/>
  <c r="L1416" i="31"/>
  <c r="K1417" i="31" l="1"/>
  <c r="L1417" i="31"/>
  <c r="K1418" i="31" l="1"/>
  <c r="L1418" i="31"/>
  <c r="K1419" i="31" l="1"/>
  <c r="L1419" i="31"/>
  <c r="K1420" i="31" l="1"/>
  <c r="L1420" i="31"/>
  <c r="K1421" i="31" l="1"/>
  <c r="L1421" i="31"/>
  <c r="K1422" i="31" l="1"/>
  <c r="L1422" i="31"/>
  <c r="K1423" i="31" l="1"/>
  <c r="L1423" i="31"/>
  <c r="K1424" i="31" l="1"/>
  <c r="L1424" i="31"/>
  <c r="K1425" i="31" l="1"/>
  <c r="L1425" i="31"/>
  <c r="K1426" i="31" l="1"/>
  <c r="L1426" i="31"/>
  <c r="K1427" i="31" l="1"/>
  <c r="L1427" i="31"/>
  <c r="K1428" i="31" l="1"/>
  <c r="L1428" i="31"/>
  <c r="K1429" i="31" l="1"/>
  <c r="L1429" i="31"/>
  <c r="K1430" i="31" l="1"/>
  <c r="L1430" i="31"/>
  <c r="K1431" i="31" l="1"/>
  <c r="L1431" i="31"/>
  <c r="K1432" i="31" l="1"/>
  <c r="L1432" i="31"/>
  <c r="K1433" i="31" l="1"/>
  <c r="L1433" i="31"/>
  <c r="K1434" i="31" l="1"/>
  <c r="L1434" i="31"/>
  <c r="K1435" i="31" l="1"/>
  <c r="L1435" i="31"/>
  <c r="K1436" i="31" l="1"/>
  <c r="L1436" i="31"/>
  <c r="K1437" i="31" l="1"/>
  <c r="L1437" i="31"/>
  <c r="K1438" i="31" l="1"/>
  <c r="L1438" i="31"/>
  <c r="K1439" i="31" l="1"/>
  <c r="L1439" i="31"/>
  <c r="K1440" i="31" l="1"/>
  <c r="L1440" i="31"/>
  <c r="K1441" i="31" l="1"/>
  <c r="L1441" i="31"/>
  <c r="K1442" i="31" l="1"/>
  <c r="L1442" i="31"/>
  <c r="K1443" i="31" l="1"/>
  <c r="L1443" i="31"/>
  <c r="K1444" i="31" l="1"/>
  <c r="L1444" i="31"/>
  <c r="K1445" i="31" l="1"/>
  <c r="L1445" i="31"/>
  <c r="K1446" i="31" l="1"/>
  <c r="L1446" i="31"/>
  <c r="K1447" i="31" l="1"/>
  <c r="L1447" i="31"/>
  <c r="K1448" i="31" l="1"/>
  <c r="L1448" i="31"/>
  <c r="K1449" i="31" l="1"/>
  <c r="L1449" i="31"/>
  <c r="K1450" i="31" l="1"/>
  <c r="L1450" i="31"/>
  <c r="K1451" i="31" l="1"/>
  <c r="L1451" i="31"/>
  <c r="K1452" i="31" l="1"/>
  <c r="L1452" i="31"/>
  <c r="K1453" i="31" l="1"/>
  <c r="L1453" i="31"/>
  <c r="K1454" i="31" l="1"/>
  <c r="L1454" i="31"/>
  <c r="K1455" i="31" l="1"/>
  <c r="L1455" i="31"/>
  <c r="K1456" i="31" l="1"/>
  <c r="L1456" i="31"/>
  <c r="K1457" i="31" l="1"/>
  <c r="L1457" i="31"/>
  <c r="K1458" i="31" l="1"/>
  <c r="L1458" i="31"/>
  <c r="K1459" i="31" l="1"/>
  <c r="L1459" i="31"/>
  <c r="K1460" i="31" l="1"/>
  <c r="L1460" i="31"/>
  <c r="K1461" i="31" l="1"/>
  <c r="L1461" i="31"/>
  <c r="K1462" i="31" l="1"/>
  <c r="L1462" i="31"/>
  <c r="K1463" i="31" l="1"/>
  <c r="L1463" i="31"/>
  <c r="K1464" i="31" l="1"/>
  <c r="L1464" i="31"/>
  <c r="K1465" i="31" l="1"/>
  <c r="L1465" i="31"/>
  <c r="K1466" i="31" l="1"/>
  <c r="L1466" i="31"/>
  <c r="K1467" i="31" l="1"/>
  <c r="L1467" i="31"/>
  <c r="K1468" i="31" l="1"/>
  <c r="L1468" i="31"/>
  <c r="K1469" i="31" l="1"/>
  <c r="L1469" i="31"/>
  <c r="K1470" i="31" l="1"/>
  <c r="L1470" i="31"/>
  <c r="K1471" i="31" l="1"/>
  <c r="L1471" i="31"/>
  <c r="K1472" i="31" l="1"/>
  <c r="L1472" i="31"/>
  <c r="K1473" i="31" l="1"/>
  <c r="L1473" i="31"/>
  <c r="K1474" i="31" l="1"/>
  <c r="L1474" i="31"/>
  <c r="K1475" i="31" l="1"/>
  <c r="L1475" i="31"/>
  <c r="K1476" i="31" l="1"/>
  <c r="L1476" i="31"/>
  <c r="K1477" i="31" l="1"/>
  <c r="L1477" i="31"/>
  <c r="K1478" i="31" l="1"/>
  <c r="L1478" i="31"/>
  <c r="K1479" i="31" l="1"/>
  <c r="L1479" i="31"/>
  <c r="K1480" i="31" l="1"/>
  <c r="L1480" i="31"/>
  <c r="K1481" i="31" l="1"/>
  <c r="L1481" i="31"/>
  <c r="K1482" i="31" l="1"/>
  <c r="L1482" i="31"/>
  <c r="K1483" i="31" l="1"/>
  <c r="L1483" i="31"/>
  <c r="K1484" i="31" l="1"/>
  <c r="L1484" i="31"/>
  <c r="K1485" i="31" l="1"/>
  <c r="L1485" i="31"/>
  <c r="K1486" i="31" l="1"/>
  <c r="L1486" i="31"/>
  <c r="K1487" i="31" l="1"/>
  <c r="L1487" i="31"/>
  <c r="K1488" i="31" l="1"/>
  <c r="L1488" i="31"/>
  <c r="K1489" i="31" l="1"/>
  <c r="L1489" i="31"/>
  <c r="K1490" i="31" l="1"/>
  <c r="L1490" i="31"/>
  <c r="K1491" i="31" l="1"/>
  <c r="L1491" i="31"/>
  <c r="K1492" i="31" l="1"/>
  <c r="L1492" i="31"/>
  <c r="K1493" i="31" l="1"/>
  <c r="L1493" i="31"/>
  <c r="K1494" i="31" l="1"/>
  <c r="L1494" i="31"/>
  <c r="K1495" i="31" l="1"/>
  <c r="L1495" i="31"/>
  <c r="K1496" i="31" l="1"/>
  <c r="L1496" i="31"/>
  <c r="K1497" i="31" l="1"/>
  <c r="L1497" i="31"/>
  <c r="K1498" i="31" l="1"/>
  <c r="L1498" i="31"/>
  <c r="K1499" i="31" l="1"/>
  <c r="L1499" i="31"/>
  <c r="K1500" i="31" l="1"/>
  <c r="L1500" i="31"/>
  <c r="K1501" i="31" l="1"/>
  <c r="L1501" i="31"/>
  <c r="K1502" i="31" l="1"/>
  <c r="L1502" i="31"/>
  <c r="K1503" i="31" l="1"/>
  <c r="L1503" i="31"/>
  <c r="K1504" i="31" l="1"/>
  <c r="L1504" i="31"/>
  <c r="K1505" i="31" l="1"/>
  <c r="L1505" i="31"/>
  <c r="K1506" i="31" l="1"/>
  <c r="L1506" i="31"/>
  <c r="K1507" i="31" l="1"/>
  <c r="L1507" i="31"/>
  <c r="K1508" i="31" l="1"/>
  <c r="L1508" i="31"/>
  <c r="K1509" i="31" l="1"/>
  <c r="L1509" i="31"/>
  <c r="K1510" i="31" l="1"/>
  <c r="L1510" i="31"/>
  <c r="K1511" i="31" l="1"/>
  <c r="L1511" i="31"/>
  <c r="K1512" i="31" l="1"/>
  <c r="L1512" i="31"/>
  <c r="K1513" i="31" l="1"/>
  <c r="L1513" i="31"/>
  <c r="K1514" i="31" l="1"/>
  <c r="L1514" i="31"/>
  <c r="K1515" i="31" l="1"/>
  <c r="L1515" i="31"/>
  <c r="K1516" i="31" l="1"/>
  <c r="L1516" i="31"/>
  <c r="K1517" i="31" l="1"/>
  <c r="L1517" i="31"/>
  <c r="K1518" i="31" l="1"/>
  <c r="L1518" i="31"/>
  <c r="K1519" i="31" l="1"/>
  <c r="L1519" i="31"/>
  <c r="K1520" i="31" l="1"/>
  <c r="L1520" i="31"/>
  <c r="K1521" i="31" l="1"/>
  <c r="L1521" i="31"/>
  <c r="K1522" i="31" l="1"/>
  <c r="L1522" i="31"/>
  <c r="K1523" i="31" l="1"/>
  <c r="L1523" i="31"/>
  <c r="K1524" i="31" l="1"/>
  <c r="L1524" i="31"/>
  <c r="K1525" i="31" l="1"/>
  <c r="L1525" i="31"/>
  <c r="K1526" i="31" l="1"/>
  <c r="L1526" i="31"/>
  <c r="K1527" i="31" l="1"/>
  <c r="L1527" i="31"/>
  <c r="K1528" i="31" l="1"/>
  <c r="L1528" i="31"/>
  <c r="K1529" i="31" l="1"/>
  <c r="L1529" i="31"/>
  <c r="K1530" i="31" l="1"/>
  <c r="L1530" i="31"/>
  <c r="K1531" i="31" l="1"/>
  <c r="L1531" i="31"/>
</calcChain>
</file>

<file path=xl/sharedStrings.xml><?xml version="1.0" encoding="utf-8"?>
<sst xmlns="http://schemas.openxmlformats.org/spreadsheetml/2006/main" count="244" uniqueCount="76">
  <si>
    <t>Date</t>
  </si>
  <si>
    <t>Date Range</t>
  </si>
  <si>
    <t>Rainfall (mm)</t>
  </si>
  <si>
    <t>Presidents' Day</t>
  </si>
  <si>
    <t>Memorial Day</t>
  </si>
  <si>
    <t>Labor Day</t>
  </si>
  <si>
    <t>Columbus Day</t>
  </si>
  <si>
    <t>Thanksgiving</t>
  </si>
  <si>
    <t>Easter</t>
  </si>
  <si>
    <t>Good Friday</t>
  </si>
  <si>
    <t>New Year's Day</t>
  </si>
  <si>
    <t>Independence Day</t>
  </si>
  <si>
    <t>Veterans Day</t>
  </si>
  <si>
    <t>Black Friday</t>
  </si>
  <si>
    <t>From</t>
  </si>
  <si>
    <t>To</t>
  </si>
  <si>
    <t>Data Set</t>
  </si>
  <si>
    <t>Calendar Start Day:</t>
  </si>
  <si>
    <t>Sunday</t>
  </si>
  <si>
    <t>Calendar Start Day</t>
  </si>
  <si>
    <t>-</t>
  </si>
  <si>
    <t>Description</t>
  </si>
  <si>
    <t>Christmas</t>
  </si>
  <si>
    <t>M.L.King Jr. Day</t>
  </si>
  <si>
    <t>Boxing Day</t>
  </si>
  <si>
    <t>Holidays and Other Special Dates</t>
  </si>
  <si>
    <t>You can delete dates below that don't apply to you, and add your own.</t>
  </si>
  <si>
    <t>Notes</t>
  </si>
  <si>
    <t>Value for Blank Cell:</t>
  </si>
  <si>
    <t>Dates listed in the table below are used to highlight dates in the Report worksheet.</t>
  </si>
  <si>
    <t>Highlight Holidays?</t>
  </si>
  <si>
    <t>Average:</t>
  </si>
  <si>
    <t>Value for Blank Data:</t>
  </si>
  <si>
    <t>Avg</t>
  </si>
  <si>
    <t>Median:</t>
  </si>
  <si>
    <t>◄ Insert new columns here</t>
  </si>
  <si>
    <t>Weekly Average</t>
  </si>
  <si>
    <t>Calendar Chart</t>
  </si>
  <si>
    <t>yes</t>
  </si>
  <si>
    <t>Max:</t>
  </si>
  <si>
    <t>Min:</t>
  </si>
  <si>
    <t>Summary Stats:</t>
  </si>
  <si>
    <t>Avg:</t>
  </si>
  <si>
    <t>The conditional formatting is applied</t>
  </si>
  <si>
    <t>to the Max/Min/Median/Avg values in</t>
  </si>
  <si>
    <t>the header, but this does not mean that</t>
  </si>
  <si>
    <t>the formatting rule is defined using these</t>
  </si>
  <si>
    <t>numbers. To edit conditional formatting</t>
  </si>
  <si>
    <t>rules, go to Home &gt; Conditional Formatting &gt;</t>
  </si>
  <si>
    <t>Manage Rules, and select "This Worksheet"</t>
  </si>
  <si>
    <t>this worksheet.</t>
  </si>
  <si>
    <t>from the drop-down to modify the rules for</t>
  </si>
  <si>
    <t>Line Chart</t>
  </si>
  <si>
    <t>Sample</t>
  </si>
  <si>
    <t>Sample 2</t>
  </si>
  <si>
    <t>Max</t>
  </si>
  <si>
    <t>Med</t>
  </si>
  <si>
    <t>Min</t>
  </si>
  <si>
    <t>Start</t>
  </si>
  <si>
    <t>Data</t>
  </si>
  <si>
    <t>Sample 4</t>
  </si>
  <si>
    <t>Blank Cell</t>
  </si>
  <si>
    <t>Unhide rows 5-8 to choose options</t>
  </si>
  <si>
    <t>for missing or blank data.</t>
  </si>
  <si>
    <t>Missing Date or Error</t>
  </si>
  <si>
    <t>Missing Date or Error:</t>
  </si>
  <si>
    <t>Sample 3</t>
  </si>
  <si>
    <t>◄ 90th Percentile</t>
  </si>
  <si>
    <t>◄ 10th Percentile</t>
  </si>
  <si>
    <t>◄ Median (50th Percentile)</t>
  </si>
  <si>
    <r>
      <rPr>
        <b/>
        <sz val="10"/>
        <color theme="4"/>
        <rFont val="Arial"/>
        <family val="2"/>
      </rPr>
      <t>Note</t>
    </r>
    <r>
      <rPr>
        <sz val="10"/>
        <color theme="4"/>
        <rFont val="Arial"/>
        <family val="2"/>
      </rPr>
      <t>: The values you choose for missing data affect averages.</t>
    </r>
  </si>
  <si>
    <t>This worksheet allows you to show up to 4 independent heat maps side-by-side on a single page.</t>
  </si>
  <si>
    <t>To edit the conditional formatting for one of</t>
  </si>
  <si>
    <t>the data sets, select a cell within the</t>
  </si>
  <si>
    <t>calendar and go to Home &gt; Conditional</t>
  </si>
  <si>
    <t>Formatting &gt; Manage Rules.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</si>
</sst>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"/>
    <numFmt numFmtId="165" formatCode="ddd"/>
    <numFmt numFmtId="166" formatCode="[$-409]mmm"/>
    <numFmt numFmtId="167" formatCode="&quot; &quot;"/>
  </numFmts>
  <fonts count="32" x14ac:knownFonts="1">
    <font>
      <sz val="10"/>
      <name val="Arial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8"/>
      <name val="Arial"/>
      <family val="2"/>
      <scheme val="minor"/>
    </font>
    <font>
      <b/>
      <sz val="12"/>
      <color theme="0"/>
      <name val="Arial"/>
      <family val="2"/>
      <scheme val="minor"/>
    </font>
    <font>
      <sz val="16"/>
      <name val="Arial"/>
      <family val="2"/>
    </font>
    <font>
      <u/>
      <sz val="10"/>
      <color indexed="12"/>
      <name val="Arial"/>
      <family val="2"/>
    </font>
    <font>
      <b/>
      <sz val="8"/>
      <color theme="4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1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sz val="9"/>
      <name val="Arial"/>
      <family val="2"/>
    </font>
    <font>
      <sz val="9"/>
      <color theme="0" tint="-0.249977111117893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color theme="4" tint="-0.499984740745262"/>
      <name val="Arial"/>
      <family val="2"/>
      <scheme val="minor"/>
    </font>
    <font>
      <sz val="9"/>
      <name val="Arial"/>
      <family val="2"/>
      <scheme val="minor"/>
    </font>
    <font>
      <b/>
      <sz val="11"/>
      <name val="Arial"/>
      <family val="2"/>
    </font>
    <font>
      <u/>
      <sz val="10"/>
      <color indexed="12"/>
      <name val="Tahoma"/>
      <family val="2"/>
    </font>
    <font>
      <b/>
      <sz val="16"/>
      <name val="Arial"/>
      <family val="2"/>
    </font>
    <font>
      <sz val="10"/>
      <color theme="4"/>
      <name val="Arial"/>
      <family val="2"/>
    </font>
    <font>
      <sz val="8"/>
      <color theme="1"/>
      <name val="Arial"/>
      <family val="2"/>
      <scheme val="minor"/>
    </font>
    <font>
      <b/>
      <sz val="9"/>
      <name val="Arial"/>
      <family val="2"/>
    </font>
    <font>
      <sz val="10"/>
      <color theme="0" tint="-0.249977111117893"/>
      <name val="Arial"/>
      <family val="2"/>
    </font>
    <font>
      <sz val="7"/>
      <name val="Arial"/>
      <family val="2"/>
    </font>
    <font>
      <sz val="8"/>
      <color theme="0"/>
      <name val="Arial"/>
      <family val="2"/>
      <scheme val="minor"/>
    </font>
    <font>
      <sz val="9"/>
      <color theme="1" tint="0.499984740745262"/>
      <name val="Arial"/>
      <family val="2"/>
    </font>
    <font>
      <b/>
      <sz val="10"/>
      <color theme="4"/>
      <name val="Arial"/>
      <family val="2"/>
    </font>
    <font>
      <sz val="9"/>
      <color theme="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79998168889431442"/>
        <bgColor indexed="65"/>
      </patternFill>
    </fill>
  </fills>
  <borders count="17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ashDot">
        <color theme="1" tint="0.499984740745262"/>
      </left>
      <right style="dashDot">
        <color theme="1" tint="0.499984740745262"/>
      </right>
      <top style="dashDot">
        <color theme="1" tint="0.499984740745262"/>
      </top>
      <bottom style="dashDot">
        <color theme="1" tint="0.49998474074526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0" tint="-0.34998626667073579"/>
      </top>
      <bottom style="thin">
        <color theme="0" tint="-0.24994659260841701"/>
      </bottom>
      <diagonal/>
    </border>
  </borders>
  <cellStyleXfs count="10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2" fillId="4" borderId="0" applyNumberFormat="0" applyBorder="0" applyAlignment="0" applyProtection="0"/>
    <xf numFmtId="0" fontId="4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2" fillId="7" borderId="0" applyNumberFormat="0" applyBorder="0" applyAlignment="0" applyProtection="0"/>
    <xf numFmtId="0" fontId="12" fillId="8" borderId="0" applyNumberFormat="0" applyBorder="0" applyAlignment="0" applyProtection="0"/>
    <xf numFmtId="0" fontId="1" fillId="9" borderId="0" applyNumberFormat="0" applyBorder="0" applyAlignment="0" applyProtection="0"/>
  </cellStyleXfs>
  <cellXfs count="133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/>
    <xf numFmtId="0" fontId="4" fillId="0" borderId="0" xfId="0" applyFont="1"/>
    <xf numFmtId="0" fontId="0" fillId="2" borderId="0" xfId="0" applyFill="1"/>
    <xf numFmtId="0" fontId="9" fillId="0" borderId="0" xfId="0" applyFont="1" applyAlignment="1">
      <alignment vertical="center"/>
    </xf>
    <xf numFmtId="0" fontId="0" fillId="0" borderId="0" xfId="0"/>
    <xf numFmtId="0" fontId="5" fillId="0" borderId="0" xfId="0" applyNumberFormat="1" applyFont="1" applyFill="1" applyBorder="1" applyAlignment="1">
      <alignment horizontal="left" vertical="center" shrinkToFit="1"/>
    </xf>
    <xf numFmtId="0" fontId="12" fillId="4" borderId="0" xfId="2"/>
    <xf numFmtId="14" fontId="0" fillId="0" borderId="0" xfId="0" applyNumberFormat="1"/>
    <xf numFmtId="0" fontId="12" fillId="4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/>
    <xf numFmtId="0" fontId="4" fillId="0" borderId="0" xfId="0" applyFont="1" applyAlignment="1">
      <alignment horizontal="right"/>
    </xf>
    <xf numFmtId="0" fontId="4" fillId="2" borderId="0" xfId="0" applyFont="1" applyFill="1"/>
    <xf numFmtId="0" fontId="8" fillId="0" borderId="0" xfId="1" applyAlignment="1" applyProtection="1">
      <alignment vertical="center"/>
    </xf>
    <xf numFmtId="14" fontId="14" fillId="3" borderId="0" xfId="0" applyNumberFormat="1" applyFont="1" applyFill="1" applyBorder="1" applyAlignment="1">
      <alignment horizontal="center" vertical="center"/>
    </xf>
    <xf numFmtId="164" fontId="17" fillId="2" borderId="0" xfId="0" applyNumberFormat="1" applyFont="1" applyFill="1" applyBorder="1" applyAlignment="1">
      <alignment horizontal="center" vertical="center"/>
    </xf>
    <xf numFmtId="0" fontId="19" fillId="0" borderId="0" xfId="0" applyNumberFormat="1" applyFont="1" applyFill="1" applyBorder="1" applyAlignment="1">
      <alignment horizontal="right" vertical="center" shrinkToFit="1"/>
    </xf>
    <xf numFmtId="0" fontId="0" fillId="0" borderId="0" xfId="0" applyNumberFormat="1" applyAlignment="1">
      <alignment horizontal="center" vertical="center"/>
    </xf>
    <xf numFmtId="0" fontId="12" fillId="4" borderId="0" xfId="2" applyNumberFormat="1" applyAlignment="1">
      <alignment horizontal="center" vertical="center"/>
    </xf>
    <xf numFmtId="0" fontId="18" fillId="0" borderId="1" xfId="0" applyNumberFormat="1" applyFont="1" applyFill="1" applyBorder="1" applyAlignment="1">
      <alignment horizontal="center" vertical="center" shrinkToFit="1"/>
    </xf>
    <xf numFmtId="0" fontId="22" fillId="0" borderId="0" xfId="0" applyFont="1"/>
    <xf numFmtId="0" fontId="16" fillId="0" borderId="0" xfId="0" applyFont="1" applyAlignment="1">
      <alignment vertical="center"/>
    </xf>
    <xf numFmtId="166" fontId="16" fillId="0" borderId="0" xfId="0" applyNumberFormat="1" applyFont="1" applyAlignment="1">
      <alignment vertical="center"/>
    </xf>
    <xf numFmtId="0" fontId="23" fillId="0" borderId="0" xfId="0" applyFont="1"/>
    <xf numFmtId="0" fontId="23" fillId="0" borderId="0" xfId="0" applyNumberFormat="1" applyFont="1"/>
    <xf numFmtId="0" fontId="0" fillId="0" borderId="0" xfId="0" applyAlignment="1">
      <alignment horizontal="right"/>
    </xf>
    <xf numFmtId="165" fontId="24" fillId="7" borderId="0" xfId="7" applyNumberFormat="1" applyFont="1" applyBorder="1" applyAlignment="1">
      <alignment horizontal="center" vertical="center"/>
    </xf>
    <xf numFmtId="0" fontId="4" fillId="0" borderId="0" xfId="0" applyFont="1" applyFill="1" applyAlignment="1">
      <alignment horizontal="left"/>
    </xf>
    <xf numFmtId="0" fontId="15" fillId="0" borderId="0" xfId="0" applyFont="1" applyFill="1" applyAlignment="1">
      <alignment horizontal="center"/>
    </xf>
    <xf numFmtId="0" fontId="4" fillId="0" borderId="0" xfId="0" applyFont="1" applyFill="1" applyBorder="1" applyAlignment="1">
      <alignment horizontal="right"/>
    </xf>
    <xf numFmtId="0" fontId="0" fillId="0" borderId="6" xfId="0" applyBorder="1" applyAlignment="1">
      <alignment horizontal="center" shrinkToFit="1"/>
    </xf>
    <xf numFmtId="0" fontId="26" fillId="0" borderId="0" xfId="0" applyNumberFormat="1" applyFont="1" applyAlignment="1">
      <alignment horizontal="center"/>
    </xf>
    <xf numFmtId="164" fontId="27" fillId="2" borderId="0" xfId="0" applyNumberFormat="1" applyFont="1" applyFill="1" applyBorder="1" applyAlignment="1">
      <alignment horizontal="center" vertical="center"/>
    </xf>
    <xf numFmtId="165" fontId="28" fillId="4" borderId="0" xfId="2" applyNumberFormat="1" applyFont="1" applyBorder="1" applyAlignment="1">
      <alignment horizontal="center" vertical="center"/>
    </xf>
    <xf numFmtId="1" fontId="19" fillId="0" borderId="0" xfId="0" applyNumberFormat="1" applyFont="1" applyFill="1" applyBorder="1" applyAlignment="1">
      <alignment horizontal="right" vertical="center" shrinkToFit="1"/>
    </xf>
    <xf numFmtId="165" fontId="13" fillId="5" borderId="0" xfId="0" applyNumberFormat="1" applyFont="1" applyFill="1" applyBorder="1" applyAlignment="1">
      <alignment horizontal="left" vertical="center" wrapText="1"/>
    </xf>
    <xf numFmtId="0" fontId="0" fillId="0" borderId="6" xfId="0" applyNumberFormat="1" applyBorder="1" applyAlignment="1">
      <alignment horizontal="center" shrinkToFit="1"/>
    </xf>
    <xf numFmtId="0" fontId="4" fillId="0" borderId="0" xfId="0" applyFont="1" applyAlignment="1">
      <alignment horizontal="right" vertical="center"/>
    </xf>
    <xf numFmtId="0" fontId="0" fillId="0" borderId="6" xfId="0" applyNumberFormat="1" applyBorder="1" applyAlignment="1">
      <alignment horizontal="center" vertical="center" shrinkToFit="1"/>
    </xf>
    <xf numFmtId="0" fontId="17" fillId="0" borderId="0" xfId="0" applyFont="1"/>
    <xf numFmtId="0" fontId="0" fillId="0" borderId="0" xfId="0" applyAlignment="1">
      <alignment horizontal="left" vertical="center"/>
    </xf>
    <xf numFmtId="0" fontId="29" fillId="0" borderId="0" xfId="0" applyFont="1"/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left" indent="1"/>
    </xf>
    <xf numFmtId="14" fontId="0" fillId="0" borderId="0" xfId="0" applyNumberFormat="1" applyAlignment="1"/>
    <xf numFmtId="0" fontId="0" fillId="0" borderId="0" xfId="0" applyAlignment="1">
      <alignment horizontal="left" indent="1"/>
    </xf>
    <xf numFmtId="0" fontId="4" fillId="0" borderId="0" xfId="0" applyFont="1" applyAlignment="1">
      <alignment horizontal="left" vertical="center"/>
    </xf>
    <xf numFmtId="14" fontId="0" fillId="0" borderId="0" xfId="0" applyNumberFormat="1" applyBorder="1" applyAlignment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0" fontId="4" fillId="0" borderId="0" xfId="0" applyFont="1" applyBorder="1" applyAlignment="1">
      <alignment horizontal="left" indent="1"/>
    </xf>
    <xf numFmtId="0" fontId="4" fillId="0" borderId="0" xfId="0" applyFont="1" applyAlignment="1">
      <alignment horizontal="left" indent="1"/>
    </xf>
    <xf numFmtId="165" fontId="28" fillId="5" borderId="0" xfId="7" applyNumberFormat="1" applyFont="1" applyFill="1" applyBorder="1" applyAlignment="1">
      <alignment horizontal="center" vertical="center"/>
    </xf>
    <xf numFmtId="165" fontId="6" fillId="5" borderId="0" xfId="0" applyNumberFormat="1" applyFont="1" applyFill="1" applyBorder="1" applyAlignment="1">
      <alignment horizontal="center" vertical="center"/>
    </xf>
    <xf numFmtId="14" fontId="17" fillId="0" borderId="0" xfId="0" applyNumberFormat="1" applyFont="1"/>
    <xf numFmtId="0" fontId="12" fillId="8" borderId="0" xfId="8"/>
    <xf numFmtId="0" fontId="19" fillId="0" borderId="0" xfId="0" applyFont="1" applyFill="1" applyBorder="1" applyAlignment="1">
      <alignment horizontal="right" vertical="center" shrinkToFit="1"/>
    </xf>
    <xf numFmtId="0" fontId="0" fillId="0" borderId="0" xfId="0"/>
    <xf numFmtId="0" fontId="4" fillId="0" borderId="0" xfId="0" applyFont="1" applyFill="1"/>
    <xf numFmtId="0" fontId="23" fillId="2" borderId="0" xfId="0" applyFont="1" applyFill="1"/>
    <xf numFmtId="0" fontId="16" fillId="0" borderId="0" xfId="0" applyFont="1" applyAlignment="1">
      <alignment horizontal="right"/>
    </xf>
    <xf numFmtId="0" fontId="23" fillId="0" borderId="0" xfId="0" applyFont="1"/>
    <xf numFmtId="0" fontId="0" fillId="0" borderId="10" xfId="0" applyNumberFormat="1" applyBorder="1" applyAlignment="1">
      <alignment horizontal="center" vertical="center" shrinkToFit="1"/>
    </xf>
    <xf numFmtId="0" fontId="4" fillId="0" borderId="0" xfId="0" applyFont="1" applyAlignment="1">
      <alignment horizontal="left"/>
    </xf>
    <xf numFmtId="0" fontId="4" fillId="0" borderId="0" xfId="0" applyFont="1" applyFill="1" applyBorder="1" applyAlignment="1">
      <alignment horizontal="left"/>
    </xf>
    <xf numFmtId="0" fontId="12" fillId="4" borderId="0" xfId="2" applyAlignment="1">
      <alignment horizontal="center"/>
    </xf>
    <xf numFmtId="165" fontId="13" fillId="5" borderId="0" xfId="0" applyNumberFormat="1" applyFont="1" applyFill="1" applyBorder="1" applyAlignment="1">
      <alignment horizontal="left" vertical="center"/>
    </xf>
    <xf numFmtId="167" fontId="0" fillId="0" borderId="0" xfId="0" applyNumberFormat="1"/>
    <xf numFmtId="167" fontId="0" fillId="0" borderId="0" xfId="0" applyNumberFormat="1" applyAlignment="1">
      <alignment shrinkToFit="1"/>
    </xf>
    <xf numFmtId="167" fontId="18" fillId="0" borderId="0" xfId="0" applyNumberFormat="1" applyFont="1" applyFill="1" applyBorder="1" applyAlignment="1">
      <alignment horizontal="center" vertical="center" shrinkToFit="1"/>
    </xf>
    <xf numFmtId="167" fontId="17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right" vertical="center"/>
    </xf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0" fillId="2" borderId="0" xfId="0" applyNumberFormat="1" applyFill="1" applyAlignment="1">
      <alignment vertical="center"/>
    </xf>
    <xf numFmtId="0" fontId="0" fillId="2" borderId="11" xfId="0" applyNumberFormat="1" applyFill="1" applyBorder="1" applyAlignment="1">
      <alignment vertical="center"/>
    </xf>
    <xf numFmtId="0" fontId="24" fillId="9" borderId="0" xfId="9" applyFont="1" applyAlignment="1">
      <alignment horizontal="right"/>
    </xf>
    <xf numFmtId="0" fontId="4" fillId="0" borderId="0" xfId="0" applyFont="1" applyAlignment="1">
      <alignment vertical="center"/>
    </xf>
    <xf numFmtId="165" fontId="13" fillId="5" borderId="0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Alignment="1">
      <alignment vertical="center"/>
    </xf>
    <xf numFmtId="0" fontId="0" fillId="0" borderId="6" xfId="0" applyBorder="1" applyAlignment="1">
      <alignment horizontal="center" vertical="center" shrinkToFit="1"/>
    </xf>
    <xf numFmtId="0" fontId="4" fillId="0" borderId="0" xfId="0" applyFont="1" applyFill="1" applyAlignment="1">
      <alignment horizontal="right"/>
    </xf>
    <xf numFmtId="0" fontId="0" fillId="2" borderId="0" xfId="0" applyNumberFormat="1" applyFill="1" applyAlignment="1"/>
    <xf numFmtId="0" fontId="0" fillId="0" borderId="0" xfId="0" applyFill="1"/>
    <xf numFmtId="167" fontId="0" fillId="2" borderId="6" xfId="0" applyNumberFormat="1" applyFill="1" applyBorder="1"/>
    <xf numFmtId="167" fontId="19" fillId="0" borderId="0" xfId="0" applyNumberFormat="1" applyFont="1" applyFill="1" applyBorder="1" applyAlignment="1">
      <alignment horizontal="left" vertical="center" shrinkToFit="1"/>
    </xf>
    <xf numFmtId="165" fontId="28" fillId="4" borderId="15" xfId="2" applyNumberFormat="1" applyFont="1" applyBorder="1" applyAlignment="1">
      <alignment horizontal="center" vertical="center"/>
    </xf>
    <xf numFmtId="0" fontId="4" fillId="0" borderId="0" xfId="0" applyFont="1" applyAlignment="1">
      <alignment wrapText="1"/>
    </xf>
    <xf numFmtId="9" fontId="4" fillId="0" borderId="0" xfId="0" applyNumberFormat="1" applyFont="1" applyFill="1" applyAlignment="1">
      <alignment horizontal="right"/>
    </xf>
    <xf numFmtId="0" fontId="23" fillId="0" borderId="0" xfId="0" applyFont="1" applyFill="1" applyBorder="1"/>
    <xf numFmtId="0" fontId="17" fillId="0" borderId="0" xfId="0" applyNumberFormat="1" applyFont="1"/>
    <xf numFmtId="0" fontId="14" fillId="0" borderId="0" xfId="0" applyNumberFormat="1" applyFont="1" applyAlignment="1">
      <alignment horizontal="right"/>
    </xf>
    <xf numFmtId="0" fontId="14" fillId="0" borderId="0" xfId="0" applyFont="1"/>
    <xf numFmtId="0" fontId="31" fillId="0" borderId="0" xfId="0" applyFont="1"/>
    <xf numFmtId="0" fontId="14" fillId="0" borderId="0" xfId="0" applyFont="1" applyAlignment="1">
      <alignment horizontal="left"/>
    </xf>
    <xf numFmtId="0" fontId="31" fillId="0" borderId="0" xfId="0" applyFont="1" applyFill="1" applyBorder="1"/>
    <xf numFmtId="0" fontId="16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0" fillId="3" borderId="2" xfId="0" applyNumberFormat="1" applyFont="1" applyFill="1" applyBorder="1" applyAlignment="1">
      <alignment horizontal="center" vertical="center"/>
    </xf>
    <xf numFmtId="0" fontId="20" fillId="3" borderId="4" xfId="0" applyNumberFormat="1" applyFont="1" applyFill="1" applyBorder="1" applyAlignment="1">
      <alignment horizontal="center" vertical="center"/>
    </xf>
    <xf numFmtId="0" fontId="20" fillId="3" borderId="3" xfId="0" applyNumberFormat="1" applyFont="1" applyFill="1" applyBorder="1" applyAlignment="1">
      <alignment horizontal="center" vertical="center"/>
    </xf>
    <xf numFmtId="0" fontId="0" fillId="2" borderId="12" xfId="0" applyNumberFormat="1" applyFill="1" applyBorder="1" applyAlignment="1">
      <alignment horizontal="left" vertical="center"/>
    </xf>
    <xf numFmtId="0" fontId="0" fillId="2" borderId="13" xfId="0" applyNumberFormat="1" applyFill="1" applyBorder="1" applyAlignment="1">
      <alignment horizontal="left" vertical="center"/>
    </xf>
    <xf numFmtId="0" fontId="0" fillId="2" borderId="14" xfId="0" applyNumberFormat="1" applyFill="1" applyBorder="1" applyAlignment="1">
      <alignment horizontal="left" vertical="center"/>
    </xf>
    <xf numFmtId="14" fontId="10" fillId="3" borderId="2" xfId="0" applyNumberFormat="1" applyFont="1" applyFill="1" applyBorder="1" applyAlignment="1">
      <alignment horizontal="center" vertical="center"/>
    </xf>
    <xf numFmtId="14" fontId="10" fillId="3" borderId="4" xfId="0" applyNumberFormat="1" applyFont="1" applyFill="1" applyBorder="1" applyAlignment="1">
      <alignment horizontal="center" vertical="center"/>
    </xf>
    <xf numFmtId="14" fontId="10" fillId="3" borderId="3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left" wrapText="1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23" fillId="0" borderId="0" xfId="0" applyFont="1" applyAlignment="1">
      <alignment horizontal="right" vertical="top" wrapText="1"/>
    </xf>
    <xf numFmtId="14" fontId="25" fillId="3" borderId="2" xfId="0" applyNumberFormat="1" applyFont="1" applyFill="1" applyBorder="1" applyAlignment="1">
      <alignment horizontal="center" vertical="center"/>
    </xf>
    <xf numFmtId="14" fontId="25" fillId="3" borderId="4" xfId="0" applyNumberFormat="1" applyFont="1" applyFill="1" applyBorder="1" applyAlignment="1">
      <alignment horizontal="center" vertical="center"/>
    </xf>
    <xf numFmtId="14" fontId="25" fillId="3" borderId="3" xfId="0" applyNumberFormat="1" applyFont="1" applyFill="1" applyBorder="1" applyAlignment="1">
      <alignment horizontal="center" vertical="center"/>
    </xf>
    <xf numFmtId="14" fontId="25" fillId="2" borderId="2" xfId="0" applyNumberFormat="1" applyFont="1" applyFill="1" applyBorder="1" applyAlignment="1">
      <alignment horizontal="center" vertical="center"/>
    </xf>
    <xf numFmtId="14" fontId="25" fillId="2" borderId="4" xfId="0" applyNumberFormat="1" applyFont="1" applyFill="1" applyBorder="1" applyAlignment="1">
      <alignment horizontal="center" vertical="center"/>
    </xf>
    <xf numFmtId="14" fontId="25" fillId="2" borderId="3" xfId="0" applyNumberFormat="1" applyFont="1" applyFill="1" applyBorder="1" applyAlignment="1">
      <alignment horizontal="center" vertical="center"/>
    </xf>
    <xf numFmtId="0" fontId="25" fillId="3" borderId="2" xfId="0" applyNumberFormat="1" applyFont="1" applyFill="1" applyBorder="1" applyAlignment="1">
      <alignment horizontal="center" vertical="center"/>
    </xf>
    <xf numFmtId="0" fontId="25" fillId="3" borderId="4" xfId="0" applyNumberFormat="1" applyFont="1" applyFill="1" applyBorder="1" applyAlignment="1">
      <alignment horizontal="center" vertical="center"/>
    </xf>
    <xf numFmtId="0" fontId="25" fillId="3" borderId="3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7" xfId="0" applyNumberFormat="1" applyBorder="1" applyAlignment="1">
      <alignment horizontal="center" vertical="center" shrinkToFit="1"/>
    </xf>
    <xf numFmtId="0" fontId="0" fillId="0" borderId="8" xfId="0" applyNumberFormat="1" applyBorder="1" applyAlignment="1">
      <alignment horizontal="center" vertical="center" shrinkToFit="1"/>
    </xf>
    <xf numFmtId="0" fontId="0" fillId="0" borderId="9" xfId="0" applyNumberFormat="1" applyBorder="1" applyAlignment="1">
      <alignment horizontal="center" vertical="center" shrinkToFit="1"/>
    </xf>
    <xf numFmtId="0" fontId="0" fillId="2" borderId="0" xfId="0" applyNumberFormat="1" applyFill="1" applyAlignment="1">
      <alignment horizontal="center"/>
    </xf>
    <xf numFmtId="14" fontId="14" fillId="3" borderId="16" xfId="0" applyNumberFormat="1" applyFont="1" applyFill="1" applyBorder="1" applyAlignment="1">
      <alignment horizontal="center"/>
    </xf>
    <xf numFmtId="14" fontId="14" fillId="3" borderId="8" xfId="0" applyNumberFormat="1" applyFont="1" applyFill="1" applyBorder="1" applyAlignment="1">
      <alignment horizontal="center"/>
    </xf>
    <xf numFmtId="0" fontId="31" fillId="0" borderId="0" xfId="0" applyFont="1" applyAlignment="1">
      <alignment horizontal="left" vertical="top" wrapText="1"/>
    </xf>
  </cellXfs>
  <cellStyles count="10">
    <cellStyle name="20% - Accent1" xfId="9" builtinId="30"/>
    <cellStyle name="40% - Accent1" xfId="7" builtinId="31"/>
    <cellStyle name="60% - Accent1" xfId="8" builtinId="32"/>
    <cellStyle name="Accent1" xfId="2" builtinId="29"/>
    <cellStyle name="Hyperlink" xfId="1" builtinId="8" customBuiltin="1"/>
    <cellStyle name="Hyperlink 2" xfId="4"/>
    <cellStyle name="Hyperlink 3" xfId="5"/>
    <cellStyle name="Normal" xfId="0" builtinId="0"/>
    <cellStyle name="Normal 2" xfId="3"/>
    <cellStyle name="Normal 3" xfId="6"/>
  </cellStyles>
  <dxfs count="58">
    <dxf>
      <border>
        <left style="dashDot">
          <color theme="1" tint="0.499984740745262"/>
        </left>
        <right style="dashDot">
          <color theme="1" tint="0.499984740745262"/>
        </right>
        <top style="dashDot">
          <color theme="1" tint="0.499984740745262"/>
        </top>
        <bottom style="dashDot">
          <color theme="1" tint="0.499984740745262"/>
        </bottom>
        <vertical/>
        <horizontal/>
      </border>
    </dxf>
    <dxf>
      <border>
        <left style="thin">
          <color theme="4"/>
        </left>
        <vertical/>
        <horizontal/>
      </border>
    </dxf>
    <dxf>
      <border>
        <bottom style="thin">
          <color theme="4"/>
        </bottom>
        <vertical/>
        <horizontal/>
      </border>
    </dxf>
    <dxf>
      <border>
        <right style="thin">
          <color theme="4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left style="thin">
          <color theme="4"/>
        </left>
        <vertical/>
        <horizontal/>
      </border>
    </dxf>
    <dxf>
      <border>
        <bottom style="thin">
          <color theme="4"/>
        </bottom>
        <vertical/>
        <horizontal/>
      </border>
    </dxf>
    <dxf>
      <border>
        <right style="thin">
          <color theme="4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left style="thin">
          <color theme="4"/>
        </left>
        <vertical/>
        <horizontal/>
      </border>
    </dxf>
    <dxf>
      <border>
        <bottom style="thin">
          <color theme="4"/>
        </bottom>
        <vertical/>
        <horizontal/>
      </border>
    </dxf>
    <dxf>
      <border>
        <right style="thin">
          <color theme="4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left style="thin">
          <color theme="4"/>
        </left>
        <vertical/>
        <horizontal/>
      </border>
    </dxf>
    <dxf>
      <border>
        <bottom style="thin">
          <color theme="4"/>
        </bottom>
        <vertical/>
        <horizontal/>
      </border>
    </dxf>
    <dxf>
      <border>
        <right style="thin">
          <color theme="4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font>
        <color theme="0"/>
      </font>
      <fill>
        <patternFill>
          <bgColor rgb="FFFF0000"/>
        </patternFill>
      </fill>
    </dxf>
    <dxf>
      <border>
        <left style="thin">
          <color theme="4"/>
        </left>
        <vertical/>
        <horizontal/>
      </border>
    </dxf>
    <dxf>
      <border>
        <bottom style="thin">
          <color theme="4"/>
        </bottom>
        <vertical/>
        <horizontal/>
      </border>
    </dxf>
    <dxf>
      <border>
        <right style="thin">
          <color theme="4"/>
        </right>
        <vertical/>
        <horizontal/>
      </border>
    </dxf>
    <dxf>
      <fill>
        <patternFill>
          <bgColor theme="4" tint="0.59996337778862885"/>
        </patternFill>
      </fill>
    </dxf>
    <dxf>
      <border>
        <left style="thin">
          <color theme="4"/>
        </left>
        <vertical/>
        <horizontal/>
      </border>
    </dxf>
    <dxf>
      <border>
        <bottom style="thin">
          <color theme="4"/>
        </bottom>
        <vertical/>
        <horizontal/>
      </border>
    </dxf>
    <dxf>
      <border>
        <right style="thin">
          <color theme="4"/>
        </right>
        <vertical/>
        <horizontal/>
      </border>
    </dxf>
    <dxf>
      <border>
        <left style="dashDot">
          <color theme="1" tint="0.499984740745262"/>
        </left>
        <right style="dashDot">
          <color theme="1" tint="0.499984740745262"/>
        </right>
        <top style="dashDot">
          <color theme="1" tint="0.499984740745262"/>
        </top>
        <bottom style="dashDot">
          <color theme="1" tint="0.499984740745262"/>
        </bottom>
        <vertical/>
        <horizontal/>
      </border>
    </dxf>
    <dxf>
      <border>
        <left style="thin">
          <color theme="4"/>
        </left>
        <vertical/>
        <horizontal/>
      </border>
    </dxf>
    <dxf>
      <border>
        <bottom style="thin">
          <color theme="4"/>
        </bottom>
        <vertical/>
        <horizontal/>
      </border>
    </dxf>
    <dxf>
      <border>
        <right style="thin">
          <color theme="4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left style="thin">
          <color theme="4"/>
        </left>
        <vertical/>
        <horizontal/>
      </border>
    </dxf>
    <dxf>
      <border>
        <bottom style="thin">
          <color theme="4"/>
        </bottom>
        <vertical/>
        <horizontal/>
      </border>
    </dxf>
    <dxf>
      <border>
        <right style="thin">
          <color theme="4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left style="thin">
          <color theme="4"/>
        </left>
        <vertical/>
        <horizontal/>
      </border>
    </dxf>
    <dxf>
      <border>
        <bottom style="thin">
          <color theme="4"/>
        </bottom>
        <vertical/>
        <horizontal/>
      </border>
    </dxf>
    <dxf>
      <border>
        <right style="thin">
          <color theme="4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left style="thin">
          <color theme="4"/>
        </left>
        <vertical/>
        <horizontal/>
      </border>
    </dxf>
    <dxf>
      <border>
        <bottom style="thin">
          <color theme="4"/>
        </bottom>
        <vertical/>
        <horizontal/>
      </border>
    </dxf>
    <dxf>
      <border>
        <right style="thin">
          <color theme="4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B2B2B2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FBA7A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0685751145513585"/>
          <c:y val="0"/>
        </c:manualLayout>
      </c:layout>
      <c:overlay val="0"/>
      <c:txPr>
        <a:bodyPr/>
        <a:lstStyle/>
        <a:p>
          <a:pPr>
            <a:defRPr sz="1000" b="0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83123700446535"/>
          <c:y val="0.16045548654244307"/>
          <c:w val="0.79758273750263975"/>
          <c:h val="0.54864195346368216"/>
        </c:manualLayout>
      </c:layout>
      <c:lineChart>
        <c:grouping val="standard"/>
        <c:varyColors val="0"/>
        <c:ser>
          <c:idx val="0"/>
          <c:order val="0"/>
          <c:tx>
            <c:strRef>
              <c:f>'1-Year'!$S$13</c:f>
              <c:strCache>
                <c:ptCount val="1"/>
                <c:pt idx="0">
                  <c:v>Weekly Average</c:v>
                </c:pt>
              </c:strCache>
            </c:strRef>
          </c:tx>
          <c:marker>
            <c:symbol val="none"/>
          </c:marker>
          <c:cat>
            <c:numRef>
              <c:f>'1-Year'!$C$14:$C$66</c:f>
              <c:numCache>
                <c:formatCode>d</c:formatCode>
                <c:ptCount val="53"/>
                <c:pt idx="0">
                  <c:v>41273</c:v>
                </c:pt>
                <c:pt idx="1">
                  <c:v>41280</c:v>
                </c:pt>
                <c:pt idx="2">
                  <c:v>41287</c:v>
                </c:pt>
                <c:pt idx="3">
                  <c:v>41294</c:v>
                </c:pt>
                <c:pt idx="4">
                  <c:v>41301</c:v>
                </c:pt>
                <c:pt idx="5">
                  <c:v>41308</c:v>
                </c:pt>
                <c:pt idx="6">
                  <c:v>41315</c:v>
                </c:pt>
                <c:pt idx="7">
                  <c:v>41322</c:v>
                </c:pt>
                <c:pt idx="8">
                  <c:v>41329</c:v>
                </c:pt>
                <c:pt idx="9">
                  <c:v>41336</c:v>
                </c:pt>
                <c:pt idx="10">
                  <c:v>41343</c:v>
                </c:pt>
                <c:pt idx="11">
                  <c:v>41350</c:v>
                </c:pt>
                <c:pt idx="12">
                  <c:v>41357</c:v>
                </c:pt>
                <c:pt idx="13">
                  <c:v>41364</c:v>
                </c:pt>
                <c:pt idx="14">
                  <c:v>41371</c:v>
                </c:pt>
                <c:pt idx="15">
                  <c:v>41378</c:v>
                </c:pt>
                <c:pt idx="16">
                  <c:v>41385</c:v>
                </c:pt>
                <c:pt idx="17">
                  <c:v>41392</c:v>
                </c:pt>
                <c:pt idx="18">
                  <c:v>41399</c:v>
                </c:pt>
                <c:pt idx="19">
                  <c:v>41406</c:v>
                </c:pt>
                <c:pt idx="20">
                  <c:v>41413</c:v>
                </c:pt>
                <c:pt idx="21">
                  <c:v>41420</c:v>
                </c:pt>
                <c:pt idx="22">
                  <c:v>41427</c:v>
                </c:pt>
                <c:pt idx="23">
                  <c:v>41434</c:v>
                </c:pt>
                <c:pt idx="24">
                  <c:v>41441</c:v>
                </c:pt>
                <c:pt idx="25">
                  <c:v>41448</c:v>
                </c:pt>
                <c:pt idx="26">
                  <c:v>41455</c:v>
                </c:pt>
                <c:pt idx="27">
                  <c:v>41462</c:v>
                </c:pt>
                <c:pt idx="28">
                  <c:v>41469</c:v>
                </c:pt>
                <c:pt idx="29">
                  <c:v>41476</c:v>
                </c:pt>
                <c:pt idx="30">
                  <c:v>41483</c:v>
                </c:pt>
                <c:pt idx="31">
                  <c:v>41490</c:v>
                </c:pt>
                <c:pt idx="32">
                  <c:v>41497</c:v>
                </c:pt>
                <c:pt idx="33">
                  <c:v>41504</c:v>
                </c:pt>
                <c:pt idx="34">
                  <c:v>41511</c:v>
                </c:pt>
                <c:pt idx="35">
                  <c:v>41518</c:v>
                </c:pt>
                <c:pt idx="36">
                  <c:v>41525</c:v>
                </c:pt>
                <c:pt idx="37">
                  <c:v>41532</c:v>
                </c:pt>
                <c:pt idx="38">
                  <c:v>41539</c:v>
                </c:pt>
                <c:pt idx="39">
                  <c:v>41546</c:v>
                </c:pt>
                <c:pt idx="40">
                  <c:v>41553</c:v>
                </c:pt>
                <c:pt idx="41">
                  <c:v>41560</c:v>
                </c:pt>
                <c:pt idx="42">
                  <c:v>41567</c:v>
                </c:pt>
                <c:pt idx="43">
                  <c:v>41574</c:v>
                </c:pt>
                <c:pt idx="44">
                  <c:v>41581</c:v>
                </c:pt>
                <c:pt idx="45">
                  <c:v>41588</c:v>
                </c:pt>
                <c:pt idx="46">
                  <c:v>41595</c:v>
                </c:pt>
                <c:pt idx="47">
                  <c:v>41602</c:v>
                </c:pt>
                <c:pt idx="48">
                  <c:v>41609</c:v>
                </c:pt>
                <c:pt idx="49">
                  <c:v>41616</c:v>
                </c:pt>
                <c:pt idx="50">
                  <c:v>41623</c:v>
                </c:pt>
                <c:pt idx="51">
                  <c:v>41630</c:v>
                </c:pt>
                <c:pt idx="52">
                  <c:v>41637</c:v>
                </c:pt>
              </c:numCache>
            </c:numRef>
          </c:cat>
          <c:val>
            <c:numRef>
              <c:f>'1-Year'!$T$14:$T$66</c:f>
              <c:numCache>
                <c:formatCode>General</c:formatCode>
                <c:ptCount val="53"/>
                <c:pt idx="0">
                  <c:v>101.4</c:v>
                </c:pt>
                <c:pt idx="1">
                  <c:v>117.85714285714286</c:v>
                </c:pt>
                <c:pt idx="2">
                  <c:v>117</c:v>
                </c:pt>
                <c:pt idx="3">
                  <c:v>138.71428571428572</c:v>
                </c:pt>
                <c:pt idx="4">
                  <c:v>158</c:v>
                </c:pt>
                <c:pt idx="5">
                  <c:v>236.57142857142858</c:v>
                </c:pt>
                <c:pt idx="6">
                  <c:v>227.57142857142858</c:v>
                </c:pt>
                <c:pt idx="7">
                  <c:v>218.57142857142858</c:v>
                </c:pt>
                <c:pt idx="8">
                  <c:v>225.57142857142858</c:v>
                </c:pt>
                <c:pt idx="9">
                  <c:v>235.57142857142858</c:v>
                </c:pt>
                <c:pt idx="10">
                  <c:v>178.71428571428572</c:v>
                </c:pt>
                <c:pt idx="11">
                  <c:v>165.14285714285714</c:v>
                </c:pt>
                <c:pt idx="12">
                  <c:v>119.57142857142857</c:v>
                </c:pt>
                <c:pt idx="13">
                  <c:v>120</c:v>
                </c:pt>
                <c:pt idx="14">
                  <c:v>126.28571428571429</c:v>
                </c:pt>
                <c:pt idx="15">
                  <c:v>154.14285714285714</c:v>
                </c:pt>
                <c:pt idx="16">
                  <c:v>159.14285714285714</c:v>
                </c:pt>
                <c:pt idx="17">
                  <c:v>207.28571428571428</c:v>
                </c:pt>
                <c:pt idx="18">
                  <c:v>197.85714285714286</c:v>
                </c:pt>
                <c:pt idx="19">
                  <c:v>236.14285714285714</c:v>
                </c:pt>
                <c:pt idx="20">
                  <c:v>254.71428571428572</c:v>
                </c:pt>
                <c:pt idx="21">
                  <c:v>225.57142857142858</c:v>
                </c:pt>
                <c:pt idx="22">
                  <c:v>204.71428571428572</c:v>
                </c:pt>
                <c:pt idx="23">
                  <c:v>157.57142857142858</c:v>
                </c:pt>
                <c:pt idx="24">
                  <c:v>160.71428571428572</c:v>
                </c:pt>
                <c:pt idx="25">
                  <c:v>152.85714285714286</c:v>
                </c:pt>
                <c:pt idx="26">
                  <c:v>137.28571428571428</c:v>
                </c:pt>
                <c:pt idx="27">
                  <c:v>113.85714285714286</c:v>
                </c:pt>
                <c:pt idx="28">
                  <c:v>133</c:v>
                </c:pt>
                <c:pt idx="29">
                  <c:v>155.57142857142858</c:v>
                </c:pt>
                <c:pt idx="30">
                  <c:v>175.71428571428572</c:v>
                </c:pt>
                <c:pt idx="31">
                  <c:v>187.57142857142858</c:v>
                </c:pt>
                <c:pt idx="32">
                  <c:v>247.71428571428572</c:v>
                </c:pt>
                <c:pt idx="33">
                  <c:v>266.42857142857144</c:v>
                </c:pt>
                <c:pt idx="34">
                  <c:v>236.28571428571428</c:v>
                </c:pt>
                <c:pt idx="35">
                  <c:v>212</c:v>
                </c:pt>
                <c:pt idx="36">
                  <c:v>173.85714285714286</c:v>
                </c:pt>
                <c:pt idx="37">
                  <c:v>140.14285714285714</c:v>
                </c:pt>
                <c:pt idx="38">
                  <c:v>103.42857142857143</c:v>
                </c:pt>
                <c:pt idx="39">
                  <c:v>106.57142857142857</c:v>
                </c:pt>
                <c:pt idx="40">
                  <c:v>103.71428571428571</c:v>
                </c:pt>
                <c:pt idx="41">
                  <c:v>152.14285714285714</c:v>
                </c:pt>
                <c:pt idx="42">
                  <c:v>177.85714285714286</c:v>
                </c:pt>
                <c:pt idx="43">
                  <c:v>192.42857142857142</c:v>
                </c:pt>
                <c:pt idx="44">
                  <c:v>235.28571428571428</c:v>
                </c:pt>
                <c:pt idx="45">
                  <c:v>226.42857142857142</c:v>
                </c:pt>
                <c:pt idx="46">
                  <c:v>212.14285714285714</c:v>
                </c:pt>
                <c:pt idx="47">
                  <c:v>225.71428571428572</c:v>
                </c:pt>
                <c:pt idx="48">
                  <c:v>190.42857142857142</c:v>
                </c:pt>
                <c:pt idx="49">
                  <c:v>191.57142857142858</c:v>
                </c:pt>
                <c:pt idx="50">
                  <c:v>157.28571428571428</c:v>
                </c:pt>
                <c:pt idx="51">
                  <c:v>121.28571428571429</c:v>
                </c:pt>
                <c:pt idx="52">
                  <c:v>132.85714285714286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53-451E-A416-E1172BBB0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80224"/>
        <c:axId val="12981760"/>
      </c:lineChart>
      <c:dateAx>
        <c:axId val="129802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2981760"/>
        <c:crosses val="autoZero"/>
        <c:auto val="0"/>
        <c:lblOffset val="100"/>
        <c:baseTimeUnit val="days"/>
      </c:dateAx>
      <c:valAx>
        <c:axId val="129817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298022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/>
            </a:pPr>
            <a:r>
              <a:rPr lang="en-US" b="0"/>
              <a:t>Daily</a:t>
            </a:r>
            <a:r>
              <a:rPr lang="en-US" b="0" baseline="0"/>
              <a:t> with</a:t>
            </a:r>
            <a:r>
              <a:rPr lang="en-US" b="0"/>
              <a:t> 7-Day Moving Average</a:t>
            </a:r>
          </a:p>
        </c:rich>
      </c:tx>
      <c:layout>
        <c:manualLayout>
          <c:xMode val="edge"/>
          <c:yMode val="edge"/>
          <c:x val="0.17163972924437076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953999171156238"/>
          <c:y val="0.16045545777366066"/>
          <c:w val="0.81946238082707523"/>
          <c:h val="0.535199236459078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'1-Year'!$T$13</c:f>
              <c:strCache>
                <c:ptCount val="1"/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trendline>
            <c:spPr>
              <a:ln w="25400">
                <a:solidFill>
                  <a:schemeClr val="accent5"/>
                </a:solidFill>
              </a:ln>
            </c:spPr>
            <c:trendlineType val="movingAvg"/>
            <c:period val="7"/>
            <c:dispRSqr val="0"/>
            <c:dispEq val="0"/>
          </c:trendline>
          <c:cat>
            <c:numRef>
              <c:f>'1-Year'!$K$71:$K$1535</c:f>
              <c:numCache>
                <c:formatCode>m/d/yyyy</c:formatCode>
                <c:ptCount val="1465"/>
                <c:pt idx="0">
                  <c:v>41275</c:v>
                </c:pt>
                <c:pt idx="1">
                  <c:v>41276</c:v>
                </c:pt>
                <c:pt idx="2">
                  <c:v>41277</c:v>
                </c:pt>
                <c:pt idx="3">
                  <c:v>41278</c:v>
                </c:pt>
                <c:pt idx="4">
                  <c:v>41279</c:v>
                </c:pt>
                <c:pt idx="5">
                  <c:v>41280</c:v>
                </c:pt>
                <c:pt idx="6">
                  <c:v>41281</c:v>
                </c:pt>
                <c:pt idx="7">
                  <c:v>41282</c:v>
                </c:pt>
                <c:pt idx="8">
                  <c:v>41283</c:v>
                </c:pt>
                <c:pt idx="9">
                  <c:v>41284</c:v>
                </c:pt>
                <c:pt idx="10">
                  <c:v>41285</c:v>
                </c:pt>
                <c:pt idx="11">
                  <c:v>41286</c:v>
                </c:pt>
                <c:pt idx="12">
                  <c:v>41287</c:v>
                </c:pt>
                <c:pt idx="13">
                  <c:v>41288</c:v>
                </c:pt>
                <c:pt idx="14">
                  <c:v>41289</c:v>
                </c:pt>
                <c:pt idx="15">
                  <c:v>41290</c:v>
                </c:pt>
                <c:pt idx="16">
                  <c:v>41291</c:v>
                </c:pt>
                <c:pt idx="17">
                  <c:v>41292</c:v>
                </c:pt>
                <c:pt idx="18">
                  <c:v>41293</c:v>
                </c:pt>
                <c:pt idx="19">
                  <c:v>41294</c:v>
                </c:pt>
                <c:pt idx="20">
                  <c:v>41295</c:v>
                </c:pt>
                <c:pt idx="21">
                  <c:v>41296</c:v>
                </c:pt>
                <c:pt idx="22">
                  <c:v>41297</c:v>
                </c:pt>
                <c:pt idx="23">
                  <c:v>41298</c:v>
                </c:pt>
                <c:pt idx="24">
                  <c:v>41299</c:v>
                </c:pt>
                <c:pt idx="25">
                  <c:v>41300</c:v>
                </c:pt>
                <c:pt idx="26">
                  <c:v>41301</c:v>
                </c:pt>
                <c:pt idx="27">
                  <c:v>41302</c:v>
                </c:pt>
                <c:pt idx="28">
                  <c:v>41303</c:v>
                </c:pt>
                <c:pt idx="29">
                  <c:v>41304</c:v>
                </c:pt>
                <c:pt idx="30">
                  <c:v>41305</c:v>
                </c:pt>
                <c:pt idx="31">
                  <c:v>41306</c:v>
                </c:pt>
                <c:pt idx="32">
                  <c:v>41307</c:v>
                </c:pt>
                <c:pt idx="33">
                  <c:v>41308</c:v>
                </c:pt>
                <c:pt idx="34">
                  <c:v>41309</c:v>
                </c:pt>
                <c:pt idx="35">
                  <c:v>41310</c:v>
                </c:pt>
                <c:pt idx="36">
                  <c:v>41311</c:v>
                </c:pt>
                <c:pt idx="37">
                  <c:v>41312</c:v>
                </c:pt>
                <c:pt idx="38">
                  <c:v>41313</c:v>
                </c:pt>
                <c:pt idx="39">
                  <c:v>41314</c:v>
                </c:pt>
                <c:pt idx="40">
                  <c:v>41315</c:v>
                </c:pt>
                <c:pt idx="41">
                  <c:v>41316</c:v>
                </c:pt>
                <c:pt idx="42">
                  <c:v>41317</c:v>
                </c:pt>
                <c:pt idx="43">
                  <c:v>41318</c:v>
                </c:pt>
                <c:pt idx="44">
                  <c:v>41319</c:v>
                </c:pt>
                <c:pt idx="45">
                  <c:v>41320</c:v>
                </c:pt>
                <c:pt idx="46">
                  <c:v>41321</c:v>
                </c:pt>
                <c:pt idx="47">
                  <c:v>41322</c:v>
                </c:pt>
                <c:pt idx="48">
                  <c:v>41323</c:v>
                </c:pt>
                <c:pt idx="49">
                  <c:v>41324</c:v>
                </c:pt>
                <c:pt idx="50">
                  <c:v>41325</c:v>
                </c:pt>
                <c:pt idx="51">
                  <c:v>41326</c:v>
                </c:pt>
                <c:pt idx="52">
                  <c:v>41327</c:v>
                </c:pt>
                <c:pt idx="53">
                  <c:v>41328</c:v>
                </c:pt>
                <c:pt idx="54">
                  <c:v>41329</c:v>
                </c:pt>
                <c:pt idx="55">
                  <c:v>41330</c:v>
                </c:pt>
                <c:pt idx="56">
                  <c:v>41331</c:v>
                </c:pt>
                <c:pt idx="57">
                  <c:v>41332</c:v>
                </c:pt>
                <c:pt idx="58">
                  <c:v>41333</c:v>
                </c:pt>
                <c:pt idx="59">
                  <c:v>41334</c:v>
                </c:pt>
                <c:pt idx="60">
                  <c:v>41335</c:v>
                </c:pt>
                <c:pt idx="61">
                  <c:v>41336</c:v>
                </c:pt>
                <c:pt idx="62">
                  <c:v>41337</c:v>
                </c:pt>
                <c:pt idx="63">
                  <c:v>41338</c:v>
                </c:pt>
                <c:pt idx="64">
                  <c:v>41339</c:v>
                </c:pt>
                <c:pt idx="65">
                  <c:v>41340</c:v>
                </c:pt>
                <c:pt idx="66">
                  <c:v>41341</c:v>
                </c:pt>
                <c:pt idx="67">
                  <c:v>41342</c:v>
                </c:pt>
                <c:pt idx="68">
                  <c:v>41343</c:v>
                </c:pt>
                <c:pt idx="69">
                  <c:v>41344</c:v>
                </c:pt>
                <c:pt idx="70">
                  <c:v>41345</c:v>
                </c:pt>
                <c:pt idx="71">
                  <c:v>41346</c:v>
                </c:pt>
                <c:pt idx="72">
                  <c:v>41347</c:v>
                </c:pt>
                <c:pt idx="73">
                  <c:v>41348</c:v>
                </c:pt>
                <c:pt idx="74">
                  <c:v>41349</c:v>
                </c:pt>
                <c:pt idx="75">
                  <c:v>41350</c:v>
                </c:pt>
                <c:pt idx="76">
                  <c:v>41351</c:v>
                </c:pt>
                <c:pt idx="77">
                  <c:v>41352</c:v>
                </c:pt>
                <c:pt idx="78">
                  <c:v>41353</c:v>
                </c:pt>
                <c:pt idx="79">
                  <c:v>41354</c:v>
                </c:pt>
                <c:pt idx="80">
                  <c:v>41355</c:v>
                </c:pt>
                <c:pt idx="81">
                  <c:v>41356</c:v>
                </c:pt>
                <c:pt idx="82">
                  <c:v>41357</c:v>
                </c:pt>
                <c:pt idx="83">
                  <c:v>41358</c:v>
                </c:pt>
                <c:pt idx="84">
                  <c:v>41359</c:v>
                </c:pt>
                <c:pt idx="85">
                  <c:v>41360</c:v>
                </c:pt>
                <c:pt idx="86">
                  <c:v>41361</c:v>
                </c:pt>
                <c:pt idx="87">
                  <c:v>41362</c:v>
                </c:pt>
                <c:pt idx="88">
                  <c:v>41363</c:v>
                </c:pt>
                <c:pt idx="89">
                  <c:v>41364</c:v>
                </c:pt>
                <c:pt idx="90">
                  <c:v>41365</c:v>
                </c:pt>
                <c:pt idx="91">
                  <c:v>41366</c:v>
                </c:pt>
                <c:pt idx="92">
                  <c:v>41367</c:v>
                </c:pt>
                <c:pt idx="93">
                  <c:v>41368</c:v>
                </c:pt>
                <c:pt idx="94">
                  <c:v>41369</c:v>
                </c:pt>
                <c:pt idx="95">
                  <c:v>41370</c:v>
                </c:pt>
                <c:pt idx="96">
                  <c:v>41371</c:v>
                </c:pt>
                <c:pt idx="97">
                  <c:v>41372</c:v>
                </c:pt>
                <c:pt idx="98">
                  <c:v>41373</c:v>
                </c:pt>
                <c:pt idx="99">
                  <c:v>41374</c:v>
                </c:pt>
                <c:pt idx="100">
                  <c:v>41375</c:v>
                </c:pt>
                <c:pt idx="101">
                  <c:v>41376</c:v>
                </c:pt>
                <c:pt idx="102">
                  <c:v>41377</c:v>
                </c:pt>
                <c:pt idx="103">
                  <c:v>41378</c:v>
                </c:pt>
                <c:pt idx="104">
                  <c:v>41379</c:v>
                </c:pt>
                <c:pt idx="105">
                  <c:v>41380</c:v>
                </c:pt>
                <c:pt idx="106">
                  <c:v>41381</c:v>
                </c:pt>
                <c:pt idx="107">
                  <c:v>41382</c:v>
                </c:pt>
                <c:pt idx="108">
                  <c:v>41383</c:v>
                </c:pt>
                <c:pt idx="109">
                  <c:v>41384</c:v>
                </c:pt>
                <c:pt idx="110">
                  <c:v>41385</c:v>
                </c:pt>
                <c:pt idx="111">
                  <c:v>41386</c:v>
                </c:pt>
                <c:pt idx="112">
                  <c:v>41387</c:v>
                </c:pt>
                <c:pt idx="113">
                  <c:v>41388</c:v>
                </c:pt>
                <c:pt idx="114">
                  <c:v>41389</c:v>
                </c:pt>
                <c:pt idx="115">
                  <c:v>41390</c:v>
                </c:pt>
                <c:pt idx="116">
                  <c:v>41391</c:v>
                </c:pt>
                <c:pt idx="117">
                  <c:v>41392</c:v>
                </c:pt>
                <c:pt idx="118">
                  <c:v>41393</c:v>
                </c:pt>
                <c:pt idx="119">
                  <c:v>41394</c:v>
                </c:pt>
                <c:pt idx="120">
                  <c:v>41395</c:v>
                </c:pt>
                <c:pt idx="121">
                  <c:v>41396</c:v>
                </c:pt>
                <c:pt idx="122">
                  <c:v>41397</c:v>
                </c:pt>
                <c:pt idx="123">
                  <c:v>41398</c:v>
                </c:pt>
                <c:pt idx="124">
                  <c:v>41399</c:v>
                </c:pt>
                <c:pt idx="125">
                  <c:v>41400</c:v>
                </c:pt>
                <c:pt idx="126">
                  <c:v>41401</c:v>
                </c:pt>
                <c:pt idx="127">
                  <c:v>41402</c:v>
                </c:pt>
                <c:pt idx="128">
                  <c:v>41403</c:v>
                </c:pt>
                <c:pt idx="129">
                  <c:v>41404</c:v>
                </c:pt>
                <c:pt idx="130">
                  <c:v>41405</c:v>
                </c:pt>
                <c:pt idx="131">
                  <c:v>41406</c:v>
                </c:pt>
                <c:pt idx="132">
                  <c:v>41407</c:v>
                </c:pt>
                <c:pt idx="133">
                  <c:v>41408</c:v>
                </c:pt>
                <c:pt idx="134">
                  <c:v>41409</c:v>
                </c:pt>
                <c:pt idx="135">
                  <c:v>41410</c:v>
                </c:pt>
                <c:pt idx="136">
                  <c:v>41411</c:v>
                </c:pt>
                <c:pt idx="137">
                  <c:v>41412</c:v>
                </c:pt>
                <c:pt idx="138">
                  <c:v>41413</c:v>
                </c:pt>
                <c:pt idx="139">
                  <c:v>41414</c:v>
                </c:pt>
                <c:pt idx="140">
                  <c:v>41415</c:v>
                </c:pt>
                <c:pt idx="141">
                  <c:v>41416</c:v>
                </c:pt>
                <c:pt idx="142">
                  <c:v>41417</c:v>
                </c:pt>
                <c:pt idx="143">
                  <c:v>41418</c:v>
                </c:pt>
                <c:pt idx="144">
                  <c:v>41419</c:v>
                </c:pt>
                <c:pt idx="145">
                  <c:v>41420</c:v>
                </c:pt>
                <c:pt idx="146">
                  <c:v>41421</c:v>
                </c:pt>
                <c:pt idx="147">
                  <c:v>41422</c:v>
                </c:pt>
                <c:pt idx="148">
                  <c:v>41423</c:v>
                </c:pt>
                <c:pt idx="149">
                  <c:v>41424</c:v>
                </c:pt>
                <c:pt idx="150">
                  <c:v>41425</c:v>
                </c:pt>
                <c:pt idx="151">
                  <c:v>41426</c:v>
                </c:pt>
                <c:pt idx="152">
                  <c:v>41427</c:v>
                </c:pt>
                <c:pt idx="153">
                  <c:v>41428</c:v>
                </c:pt>
                <c:pt idx="154">
                  <c:v>41429</c:v>
                </c:pt>
                <c:pt idx="155">
                  <c:v>41430</c:v>
                </c:pt>
                <c:pt idx="156">
                  <c:v>41431</c:v>
                </c:pt>
                <c:pt idx="157">
                  <c:v>41432</c:v>
                </c:pt>
                <c:pt idx="158">
                  <c:v>41433</c:v>
                </c:pt>
                <c:pt idx="159">
                  <c:v>41434</c:v>
                </c:pt>
                <c:pt idx="160">
                  <c:v>41435</c:v>
                </c:pt>
                <c:pt idx="161">
                  <c:v>41436</c:v>
                </c:pt>
                <c:pt idx="162">
                  <c:v>41437</c:v>
                </c:pt>
                <c:pt idx="163">
                  <c:v>41438</c:v>
                </c:pt>
                <c:pt idx="164">
                  <c:v>41439</c:v>
                </c:pt>
                <c:pt idx="165">
                  <c:v>41440</c:v>
                </c:pt>
                <c:pt idx="166">
                  <c:v>41441</c:v>
                </c:pt>
                <c:pt idx="167">
                  <c:v>41442</c:v>
                </c:pt>
                <c:pt idx="168">
                  <c:v>41443</c:v>
                </c:pt>
                <c:pt idx="169">
                  <c:v>41444</c:v>
                </c:pt>
                <c:pt idx="170">
                  <c:v>41445</c:v>
                </c:pt>
                <c:pt idx="171">
                  <c:v>41446</c:v>
                </c:pt>
                <c:pt idx="172">
                  <c:v>41447</c:v>
                </c:pt>
                <c:pt idx="173">
                  <c:v>41448</c:v>
                </c:pt>
                <c:pt idx="174">
                  <c:v>41449</c:v>
                </c:pt>
                <c:pt idx="175">
                  <c:v>41450</c:v>
                </c:pt>
                <c:pt idx="176">
                  <c:v>41451</c:v>
                </c:pt>
                <c:pt idx="177">
                  <c:v>41452</c:v>
                </c:pt>
                <c:pt idx="178">
                  <c:v>41453</c:v>
                </c:pt>
                <c:pt idx="179">
                  <c:v>41454</c:v>
                </c:pt>
                <c:pt idx="180">
                  <c:v>41455</c:v>
                </c:pt>
                <c:pt idx="181">
                  <c:v>41456</c:v>
                </c:pt>
                <c:pt idx="182">
                  <c:v>41457</c:v>
                </c:pt>
                <c:pt idx="183">
                  <c:v>41458</c:v>
                </c:pt>
                <c:pt idx="184">
                  <c:v>41459</c:v>
                </c:pt>
                <c:pt idx="185">
                  <c:v>41460</c:v>
                </c:pt>
                <c:pt idx="186">
                  <c:v>41461</c:v>
                </c:pt>
                <c:pt idx="187">
                  <c:v>41462</c:v>
                </c:pt>
                <c:pt idx="188">
                  <c:v>41463</c:v>
                </c:pt>
                <c:pt idx="189">
                  <c:v>41464</c:v>
                </c:pt>
                <c:pt idx="190">
                  <c:v>41465</c:v>
                </c:pt>
                <c:pt idx="191">
                  <c:v>41466</c:v>
                </c:pt>
                <c:pt idx="192">
                  <c:v>41467</c:v>
                </c:pt>
                <c:pt idx="193">
                  <c:v>41468</c:v>
                </c:pt>
                <c:pt idx="194">
                  <c:v>41469</c:v>
                </c:pt>
                <c:pt idx="195">
                  <c:v>41470</c:v>
                </c:pt>
                <c:pt idx="196">
                  <c:v>41471</c:v>
                </c:pt>
                <c:pt idx="197">
                  <c:v>41472</c:v>
                </c:pt>
                <c:pt idx="198">
                  <c:v>41473</c:v>
                </c:pt>
                <c:pt idx="199">
                  <c:v>41474</c:v>
                </c:pt>
                <c:pt idx="200">
                  <c:v>41475</c:v>
                </c:pt>
                <c:pt idx="201">
                  <c:v>41476</c:v>
                </c:pt>
                <c:pt idx="202">
                  <c:v>41477</c:v>
                </c:pt>
                <c:pt idx="203">
                  <c:v>41478</c:v>
                </c:pt>
                <c:pt idx="204">
                  <c:v>41479</c:v>
                </c:pt>
                <c:pt idx="205">
                  <c:v>41480</c:v>
                </c:pt>
                <c:pt idx="206">
                  <c:v>41481</c:v>
                </c:pt>
                <c:pt idx="207">
                  <c:v>41482</c:v>
                </c:pt>
                <c:pt idx="208">
                  <c:v>41483</c:v>
                </c:pt>
                <c:pt idx="209">
                  <c:v>41484</c:v>
                </c:pt>
                <c:pt idx="210">
                  <c:v>41485</c:v>
                </c:pt>
                <c:pt idx="211">
                  <c:v>41486</c:v>
                </c:pt>
                <c:pt idx="212">
                  <c:v>41487</c:v>
                </c:pt>
                <c:pt idx="213">
                  <c:v>41488</c:v>
                </c:pt>
                <c:pt idx="214">
                  <c:v>41489</c:v>
                </c:pt>
                <c:pt idx="215">
                  <c:v>41490</c:v>
                </c:pt>
                <c:pt idx="216">
                  <c:v>41491</c:v>
                </c:pt>
                <c:pt idx="217">
                  <c:v>41492</c:v>
                </c:pt>
                <c:pt idx="218">
                  <c:v>41493</c:v>
                </c:pt>
                <c:pt idx="219">
                  <c:v>41494</c:v>
                </c:pt>
                <c:pt idx="220">
                  <c:v>41495</c:v>
                </c:pt>
                <c:pt idx="221">
                  <c:v>41496</c:v>
                </c:pt>
                <c:pt idx="222">
                  <c:v>41497</c:v>
                </c:pt>
                <c:pt idx="223">
                  <c:v>41498</c:v>
                </c:pt>
                <c:pt idx="224">
                  <c:v>41499</c:v>
                </c:pt>
                <c:pt idx="225">
                  <c:v>41500</c:v>
                </c:pt>
                <c:pt idx="226">
                  <c:v>41501</c:v>
                </c:pt>
                <c:pt idx="227">
                  <c:v>41502</c:v>
                </c:pt>
                <c:pt idx="228">
                  <c:v>41503</c:v>
                </c:pt>
                <c:pt idx="229">
                  <c:v>41504</c:v>
                </c:pt>
                <c:pt idx="230">
                  <c:v>41505</c:v>
                </c:pt>
                <c:pt idx="231">
                  <c:v>41506</c:v>
                </c:pt>
                <c:pt idx="232">
                  <c:v>41507</c:v>
                </c:pt>
                <c:pt idx="233">
                  <c:v>41508</c:v>
                </c:pt>
                <c:pt idx="234">
                  <c:v>41509</c:v>
                </c:pt>
                <c:pt idx="235">
                  <c:v>41510</c:v>
                </c:pt>
                <c:pt idx="236">
                  <c:v>41511</c:v>
                </c:pt>
                <c:pt idx="237">
                  <c:v>41512</c:v>
                </c:pt>
                <c:pt idx="238">
                  <c:v>41513</c:v>
                </c:pt>
                <c:pt idx="239">
                  <c:v>41514</c:v>
                </c:pt>
                <c:pt idx="240">
                  <c:v>41515</c:v>
                </c:pt>
                <c:pt idx="241">
                  <c:v>41516</c:v>
                </c:pt>
                <c:pt idx="242">
                  <c:v>41517</c:v>
                </c:pt>
                <c:pt idx="243">
                  <c:v>41518</c:v>
                </c:pt>
                <c:pt idx="244">
                  <c:v>41519</c:v>
                </c:pt>
                <c:pt idx="245">
                  <c:v>41520</c:v>
                </c:pt>
                <c:pt idx="246">
                  <c:v>41521</c:v>
                </c:pt>
                <c:pt idx="247">
                  <c:v>41522</c:v>
                </c:pt>
                <c:pt idx="248">
                  <c:v>41523</c:v>
                </c:pt>
                <c:pt idx="249">
                  <c:v>41524</c:v>
                </c:pt>
                <c:pt idx="250">
                  <c:v>41525</c:v>
                </c:pt>
                <c:pt idx="251">
                  <c:v>41526</c:v>
                </c:pt>
                <c:pt idx="252">
                  <c:v>41527</c:v>
                </c:pt>
                <c:pt idx="253">
                  <c:v>41528</c:v>
                </c:pt>
                <c:pt idx="254">
                  <c:v>41529</c:v>
                </c:pt>
                <c:pt idx="255">
                  <c:v>41530</c:v>
                </c:pt>
                <c:pt idx="256">
                  <c:v>41531</c:v>
                </c:pt>
                <c:pt idx="257">
                  <c:v>41532</c:v>
                </c:pt>
                <c:pt idx="258">
                  <c:v>41533</c:v>
                </c:pt>
                <c:pt idx="259">
                  <c:v>41534</c:v>
                </c:pt>
                <c:pt idx="260">
                  <c:v>41535</c:v>
                </c:pt>
                <c:pt idx="261">
                  <c:v>41536</c:v>
                </c:pt>
                <c:pt idx="262">
                  <c:v>41537</c:v>
                </c:pt>
                <c:pt idx="263">
                  <c:v>41538</c:v>
                </c:pt>
                <c:pt idx="264">
                  <c:v>41539</c:v>
                </c:pt>
                <c:pt idx="265">
                  <c:v>41540</c:v>
                </c:pt>
                <c:pt idx="266">
                  <c:v>41541</c:v>
                </c:pt>
                <c:pt idx="267">
                  <c:v>41542</c:v>
                </c:pt>
                <c:pt idx="268">
                  <c:v>41543</c:v>
                </c:pt>
                <c:pt idx="269">
                  <c:v>41544</c:v>
                </c:pt>
                <c:pt idx="270">
                  <c:v>41545</c:v>
                </c:pt>
                <c:pt idx="271">
                  <c:v>41546</c:v>
                </c:pt>
                <c:pt idx="272">
                  <c:v>41547</c:v>
                </c:pt>
                <c:pt idx="273">
                  <c:v>41548</c:v>
                </c:pt>
                <c:pt idx="274">
                  <c:v>41549</c:v>
                </c:pt>
                <c:pt idx="275">
                  <c:v>41550</c:v>
                </c:pt>
                <c:pt idx="276">
                  <c:v>41551</c:v>
                </c:pt>
                <c:pt idx="277">
                  <c:v>41552</c:v>
                </c:pt>
                <c:pt idx="278">
                  <c:v>41553</c:v>
                </c:pt>
                <c:pt idx="279">
                  <c:v>41554</c:v>
                </c:pt>
                <c:pt idx="280">
                  <c:v>41555</c:v>
                </c:pt>
                <c:pt idx="281">
                  <c:v>41556</c:v>
                </c:pt>
                <c:pt idx="282">
                  <c:v>41557</c:v>
                </c:pt>
                <c:pt idx="283">
                  <c:v>41558</c:v>
                </c:pt>
                <c:pt idx="284">
                  <c:v>41559</c:v>
                </c:pt>
                <c:pt idx="285">
                  <c:v>41560</c:v>
                </c:pt>
                <c:pt idx="286">
                  <c:v>41561</c:v>
                </c:pt>
                <c:pt idx="287">
                  <c:v>41562</c:v>
                </c:pt>
                <c:pt idx="288">
                  <c:v>41563</c:v>
                </c:pt>
                <c:pt idx="289">
                  <c:v>41564</c:v>
                </c:pt>
                <c:pt idx="290">
                  <c:v>41565</c:v>
                </c:pt>
                <c:pt idx="291">
                  <c:v>41566</c:v>
                </c:pt>
                <c:pt idx="292">
                  <c:v>41567</c:v>
                </c:pt>
                <c:pt idx="293">
                  <c:v>41568</c:v>
                </c:pt>
                <c:pt idx="294">
                  <c:v>41569</c:v>
                </c:pt>
                <c:pt idx="295">
                  <c:v>41570</c:v>
                </c:pt>
                <c:pt idx="296">
                  <c:v>41571</c:v>
                </c:pt>
                <c:pt idx="297">
                  <c:v>41572</c:v>
                </c:pt>
                <c:pt idx="298">
                  <c:v>41573</c:v>
                </c:pt>
                <c:pt idx="299">
                  <c:v>41574</c:v>
                </c:pt>
                <c:pt idx="300">
                  <c:v>41575</c:v>
                </c:pt>
                <c:pt idx="301">
                  <c:v>41576</c:v>
                </c:pt>
                <c:pt idx="302">
                  <c:v>41577</c:v>
                </c:pt>
                <c:pt idx="303">
                  <c:v>41578</c:v>
                </c:pt>
                <c:pt idx="304">
                  <c:v>41579</c:v>
                </c:pt>
                <c:pt idx="305">
                  <c:v>41580</c:v>
                </c:pt>
                <c:pt idx="306">
                  <c:v>41581</c:v>
                </c:pt>
                <c:pt idx="307">
                  <c:v>41582</c:v>
                </c:pt>
                <c:pt idx="308">
                  <c:v>41583</c:v>
                </c:pt>
                <c:pt idx="309">
                  <c:v>41584</c:v>
                </c:pt>
                <c:pt idx="310">
                  <c:v>41585</c:v>
                </c:pt>
                <c:pt idx="311">
                  <c:v>41586</c:v>
                </c:pt>
                <c:pt idx="312">
                  <c:v>41587</c:v>
                </c:pt>
                <c:pt idx="313">
                  <c:v>41588</c:v>
                </c:pt>
                <c:pt idx="314">
                  <c:v>41589</c:v>
                </c:pt>
                <c:pt idx="315">
                  <c:v>41590</c:v>
                </c:pt>
                <c:pt idx="316">
                  <c:v>41591</c:v>
                </c:pt>
                <c:pt idx="317">
                  <c:v>41592</c:v>
                </c:pt>
                <c:pt idx="318">
                  <c:v>41593</c:v>
                </c:pt>
                <c:pt idx="319">
                  <c:v>41594</c:v>
                </c:pt>
                <c:pt idx="320">
                  <c:v>41595</c:v>
                </c:pt>
                <c:pt idx="321">
                  <c:v>41596</c:v>
                </c:pt>
                <c:pt idx="322">
                  <c:v>41597</c:v>
                </c:pt>
                <c:pt idx="323">
                  <c:v>41598</c:v>
                </c:pt>
                <c:pt idx="324">
                  <c:v>41599</c:v>
                </c:pt>
                <c:pt idx="325">
                  <c:v>41600</c:v>
                </c:pt>
                <c:pt idx="326">
                  <c:v>41601</c:v>
                </c:pt>
                <c:pt idx="327">
                  <c:v>41602</c:v>
                </c:pt>
                <c:pt idx="328">
                  <c:v>41603</c:v>
                </c:pt>
                <c:pt idx="329">
                  <c:v>41604</c:v>
                </c:pt>
                <c:pt idx="330">
                  <c:v>41605</c:v>
                </c:pt>
                <c:pt idx="331">
                  <c:v>41606</c:v>
                </c:pt>
                <c:pt idx="332">
                  <c:v>41607</c:v>
                </c:pt>
                <c:pt idx="333">
                  <c:v>41608</c:v>
                </c:pt>
                <c:pt idx="334">
                  <c:v>41609</c:v>
                </c:pt>
                <c:pt idx="335">
                  <c:v>41610</c:v>
                </c:pt>
                <c:pt idx="336">
                  <c:v>41611</c:v>
                </c:pt>
                <c:pt idx="337">
                  <c:v>41612</c:v>
                </c:pt>
                <c:pt idx="338">
                  <c:v>41613</c:v>
                </c:pt>
                <c:pt idx="339">
                  <c:v>41614</c:v>
                </c:pt>
                <c:pt idx="340">
                  <c:v>41615</c:v>
                </c:pt>
                <c:pt idx="341">
                  <c:v>41616</c:v>
                </c:pt>
                <c:pt idx="342">
                  <c:v>41617</c:v>
                </c:pt>
                <c:pt idx="343">
                  <c:v>41618</c:v>
                </c:pt>
                <c:pt idx="344">
                  <c:v>41619</c:v>
                </c:pt>
                <c:pt idx="345">
                  <c:v>41620</c:v>
                </c:pt>
                <c:pt idx="346">
                  <c:v>41621</c:v>
                </c:pt>
                <c:pt idx="347">
                  <c:v>41622</c:v>
                </c:pt>
                <c:pt idx="348">
                  <c:v>41623</c:v>
                </c:pt>
                <c:pt idx="349">
                  <c:v>41624</c:v>
                </c:pt>
                <c:pt idx="350">
                  <c:v>41625</c:v>
                </c:pt>
                <c:pt idx="351">
                  <c:v>41626</c:v>
                </c:pt>
                <c:pt idx="352">
                  <c:v>41627</c:v>
                </c:pt>
                <c:pt idx="353">
                  <c:v>41628</c:v>
                </c:pt>
                <c:pt idx="354">
                  <c:v>41629</c:v>
                </c:pt>
                <c:pt idx="355">
                  <c:v>41630</c:v>
                </c:pt>
                <c:pt idx="356">
                  <c:v>41631</c:v>
                </c:pt>
                <c:pt idx="357">
                  <c:v>41632</c:v>
                </c:pt>
                <c:pt idx="358">
                  <c:v>41633</c:v>
                </c:pt>
                <c:pt idx="359">
                  <c:v>41634</c:v>
                </c:pt>
                <c:pt idx="360">
                  <c:v>41635</c:v>
                </c:pt>
                <c:pt idx="361">
                  <c:v>41636</c:v>
                </c:pt>
                <c:pt idx="362">
                  <c:v>41637</c:v>
                </c:pt>
                <c:pt idx="363">
                  <c:v>41638</c:v>
                </c:pt>
                <c:pt idx="364">
                  <c:v>41639</c:v>
                </c:pt>
                <c:pt idx="365">
                  <c:v>41640</c:v>
                </c:pt>
                <c:pt idx="366">
                  <c:v>41641</c:v>
                </c:pt>
                <c:pt idx="367">
                  <c:v>41642</c:v>
                </c:pt>
                <c:pt idx="368">
                  <c:v>41643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</c:numCache>
            </c:numRef>
          </c:cat>
          <c:val>
            <c:numRef>
              <c:f>'1-Year'!$L$71:$L$1531</c:f>
              <c:numCache>
                <c:formatCode>General</c:formatCode>
                <c:ptCount val="1461"/>
                <c:pt idx="0">
                  <c:v>126</c:v>
                </c:pt>
                <c:pt idx="1">
                  <c:v>141</c:v>
                </c:pt>
                <c:pt idx="2">
                  <c:v>86</c:v>
                </c:pt>
                <c:pt idx="3">
                  <c:v>109</c:v>
                </c:pt>
                <c:pt idx="4">
                  <c:v>45</c:v>
                </c:pt>
                <c:pt idx="5">
                  <c:v>11</c:v>
                </c:pt>
                <c:pt idx="6">
                  <c:v>143</c:v>
                </c:pt>
                <c:pt idx="7">
                  <c:v>182</c:v>
                </c:pt>
                <c:pt idx="8">
                  <c:v>202</c:v>
                </c:pt>
                <c:pt idx="9">
                  <c:v>78</c:v>
                </c:pt>
                <c:pt idx="10">
                  <c:v>157</c:v>
                </c:pt>
                <c:pt idx="11">
                  <c:v>52</c:v>
                </c:pt>
                <c:pt idx="12">
                  <c:v>12</c:v>
                </c:pt>
                <c:pt idx="13">
                  <c:v>158</c:v>
                </c:pt>
                <c:pt idx="14">
                  <c:v>124</c:v>
                </c:pt>
                <c:pt idx="15">
                  <c:v>181</c:v>
                </c:pt>
                <c:pt idx="16">
                  <c:v>99</c:v>
                </c:pt>
                <c:pt idx="17">
                  <c:v>191</c:v>
                </c:pt>
                <c:pt idx="18">
                  <c:v>54</c:v>
                </c:pt>
                <c:pt idx="19">
                  <c:v>22</c:v>
                </c:pt>
                <c:pt idx="20">
                  <c:v>208</c:v>
                </c:pt>
                <c:pt idx="21">
                  <c:v>132</c:v>
                </c:pt>
                <c:pt idx="22">
                  <c:v>279</c:v>
                </c:pt>
                <c:pt idx="23">
                  <c:v>143</c:v>
                </c:pt>
                <c:pt idx="24">
                  <c:v>115</c:v>
                </c:pt>
                <c:pt idx="25">
                  <c:v>72</c:v>
                </c:pt>
                <c:pt idx="26">
                  <c:v>19</c:v>
                </c:pt>
                <c:pt idx="27">
                  <c:v>271</c:v>
                </c:pt>
                <c:pt idx="28">
                  <c:v>259</c:v>
                </c:pt>
                <c:pt idx="29">
                  <c:v>200</c:v>
                </c:pt>
                <c:pt idx="30">
                  <c:v>169</c:v>
                </c:pt>
                <c:pt idx="31">
                  <c:v>134</c:v>
                </c:pt>
                <c:pt idx="32">
                  <c:v>54</c:v>
                </c:pt>
                <c:pt idx="33">
                  <c:v>40</c:v>
                </c:pt>
                <c:pt idx="34">
                  <c:v>428</c:v>
                </c:pt>
                <c:pt idx="35">
                  <c:v>393</c:v>
                </c:pt>
                <c:pt idx="36">
                  <c:v>237</c:v>
                </c:pt>
                <c:pt idx="37">
                  <c:v>288</c:v>
                </c:pt>
                <c:pt idx="38">
                  <c:v>209</c:v>
                </c:pt>
                <c:pt idx="39">
                  <c:v>61</c:v>
                </c:pt>
                <c:pt idx="40">
                  <c:v>30</c:v>
                </c:pt>
                <c:pt idx="41">
                  <c:v>392</c:v>
                </c:pt>
                <c:pt idx="42">
                  <c:v>316</c:v>
                </c:pt>
                <c:pt idx="43">
                  <c:v>325</c:v>
                </c:pt>
                <c:pt idx="44">
                  <c:v>265</c:v>
                </c:pt>
                <c:pt idx="45">
                  <c:v>191</c:v>
                </c:pt>
                <c:pt idx="46">
                  <c:v>74</c:v>
                </c:pt>
                <c:pt idx="47">
                  <c:v>37</c:v>
                </c:pt>
                <c:pt idx="48">
                  <c:v>314</c:v>
                </c:pt>
                <c:pt idx="49">
                  <c:v>306</c:v>
                </c:pt>
                <c:pt idx="50">
                  <c:v>361</c:v>
                </c:pt>
                <c:pt idx="51">
                  <c:v>237</c:v>
                </c:pt>
                <c:pt idx="52">
                  <c:v>185</c:v>
                </c:pt>
                <c:pt idx="53">
                  <c:v>90</c:v>
                </c:pt>
                <c:pt idx="54">
                  <c:v>36</c:v>
                </c:pt>
                <c:pt idx="55">
                  <c:v>319</c:v>
                </c:pt>
                <c:pt idx="56">
                  <c:v>292</c:v>
                </c:pt>
                <c:pt idx="57">
                  <c:v>374</c:v>
                </c:pt>
                <c:pt idx="58">
                  <c:v>309</c:v>
                </c:pt>
                <c:pt idx="59">
                  <c:v>187</c:v>
                </c:pt>
                <c:pt idx="60">
                  <c:v>62</c:v>
                </c:pt>
                <c:pt idx="61">
                  <c:v>33</c:v>
                </c:pt>
                <c:pt idx="62">
                  <c:v>427</c:v>
                </c:pt>
                <c:pt idx="63">
                  <c:v>380</c:v>
                </c:pt>
                <c:pt idx="64">
                  <c:v>264</c:v>
                </c:pt>
                <c:pt idx="65">
                  <c:v>227</c:v>
                </c:pt>
                <c:pt idx="66">
                  <c:v>257</c:v>
                </c:pt>
                <c:pt idx="67">
                  <c:v>61</c:v>
                </c:pt>
                <c:pt idx="68">
                  <c:v>37</c:v>
                </c:pt>
                <c:pt idx="69">
                  <c:v>310</c:v>
                </c:pt>
                <c:pt idx="70">
                  <c:v>253</c:v>
                </c:pt>
                <c:pt idx="71">
                  <c:v>188</c:v>
                </c:pt>
                <c:pt idx="72">
                  <c:v>215</c:v>
                </c:pt>
                <c:pt idx="73">
                  <c:v>204</c:v>
                </c:pt>
                <c:pt idx="74">
                  <c:v>44</c:v>
                </c:pt>
                <c:pt idx="75">
                  <c:v>24</c:v>
                </c:pt>
                <c:pt idx="76">
                  <c:v>326</c:v>
                </c:pt>
                <c:pt idx="77">
                  <c:v>243</c:v>
                </c:pt>
                <c:pt idx="78">
                  <c:v>146</c:v>
                </c:pt>
                <c:pt idx="79">
                  <c:v>151</c:v>
                </c:pt>
                <c:pt idx="80">
                  <c:v>211</c:v>
                </c:pt>
                <c:pt idx="81">
                  <c:v>55</c:v>
                </c:pt>
                <c:pt idx="82">
                  <c:v>22</c:v>
                </c:pt>
                <c:pt idx="83">
                  <c:v>287</c:v>
                </c:pt>
                <c:pt idx="84">
                  <c:v>156</c:v>
                </c:pt>
                <c:pt idx="85">
                  <c:v>138</c:v>
                </c:pt>
                <c:pt idx="86">
                  <c:v>126</c:v>
                </c:pt>
                <c:pt idx="87">
                  <c:v>84</c:v>
                </c:pt>
                <c:pt idx="88">
                  <c:v>24</c:v>
                </c:pt>
                <c:pt idx="89">
                  <c:v>15</c:v>
                </c:pt>
                <c:pt idx="90">
                  <c:v>174</c:v>
                </c:pt>
                <c:pt idx="91">
                  <c:v>186</c:v>
                </c:pt>
                <c:pt idx="92">
                  <c:v>154</c:v>
                </c:pt>
                <c:pt idx="93">
                  <c:v>144</c:v>
                </c:pt>
                <c:pt idx="94">
                  <c:v>133</c:v>
                </c:pt>
                <c:pt idx="95">
                  <c:v>34</c:v>
                </c:pt>
                <c:pt idx="96">
                  <c:v>26</c:v>
                </c:pt>
                <c:pt idx="97">
                  <c:v>136</c:v>
                </c:pt>
                <c:pt idx="98">
                  <c:v>184</c:v>
                </c:pt>
                <c:pt idx="99">
                  <c:v>167</c:v>
                </c:pt>
                <c:pt idx="100">
                  <c:v>174</c:v>
                </c:pt>
                <c:pt idx="101">
                  <c:v>145</c:v>
                </c:pt>
                <c:pt idx="102">
                  <c:v>52</c:v>
                </c:pt>
                <c:pt idx="103">
                  <c:v>25</c:v>
                </c:pt>
                <c:pt idx="104">
                  <c:v>228</c:v>
                </c:pt>
                <c:pt idx="105">
                  <c:v>189</c:v>
                </c:pt>
                <c:pt idx="106">
                  <c:v>237</c:v>
                </c:pt>
                <c:pt idx="107">
                  <c:v>223</c:v>
                </c:pt>
                <c:pt idx="108">
                  <c:v>116</c:v>
                </c:pt>
                <c:pt idx="109">
                  <c:v>61</c:v>
                </c:pt>
                <c:pt idx="110">
                  <c:v>31</c:v>
                </c:pt>
                <c:pt idx="111">
                  <c:v>334</c:v>
                </c:pt>
                <c:pt idx="112">
                  <c:v>171</c:v>
                </c:pt>
                <c:pt idx="113">
                  <c:v>159</c:v>
                </c:pt>
                <c:pt idx="114">
                  <c:v>215</c:v>
                </c:pt>
                <c:pt idx="115">
                  <c:v>158</c:v>
                </c:pt>
                <c:pt idx="116">
                  <c:v>46</c:v>
                </c:pt>
                <c:pt idx="117">
                  <c:v>22</c:v>
                </c:pt>
                <c:pt idx="118">
                  <c:v>257</c:v>
                </c:pt>
                <c:pt idx="119">
                  <c:v>297</c:v>
                </c:pt>
                <c:pt idx="120">
                  <c:v>323</c:v>
                </c:pt>
                <c:pt idx="121">
                  <c:v>226</c:v>
                </c:pt>
                <c:pt idx="122">
                  <c:v>242</c:v>
                </c:pt>
                <c:pt idx="123">
                  <c:v>84</c:v>
                </c:pt>
                <c:pt idx="124">
                  <c:v>39</c:v>
                </c:pt>
                <c:pt idx="125">
                  <c:v>247</c:v>
                </c:pt>
                <c:pt idx="126">
                  <c:v>317</c:v>
                </c:pt>
                <c:pt idx="127">
                  <c:v>220</c:v>
                </c:pt>
                <c:pt idx="128">
                  <c:v>279</c:v>
                </c:pt>
                <c:pt idx="129">
                  <c:v>200</c:v>
                </c:pt>
                <c:pt idx="130">
                  <c:v>83</c:v>
                </c:pt>
                <c:pt idx="131">
                  <c:v>37</c:v>
                </c:pt>
                <c:pt idx="132">
                  <c:v>373</c:v>
                </c:pt>
                <c:pt idx="133">
                  <c:v>343</c:v>
                </c:pt>
                <c:pt idx="134">
                  <c:v>242</c:v>
                </c:pt>
                <c:pt idx="135">
                  <c:v>272</c:v>
                </c:pt>
                <c:pt idx="136">
                  <c:v>289</c:v>
                </c:pt>
                <c:pt idx="137">
                  <c:v>97</c:v>
                </c:pt>
                <c:pt idx="138">
                  <c:v>48</c:v>
                </c:pt>
                <c:pt idx="139">
                  <c:v>415</c:v>
                </c:pt>
                <c:pt idx="140">
                  <c:v>448</c:v>
                </c:pt>
                <c:pt idx="141">
                  <c:v>268</c:v>
                </c:pt>
                <c:pt idx="142">
                  <c:v>307</c:v>
                </c:pt>
                <c:pt idx="143">
                  <c:v>231</c:v>
                </c:pt>
                <c:pt idx="144">
                  <c:v>66</c:v>
                </c:pt>
                <c:pt idx="145">
                  <c:v>31</c:v>
                </c:pt>
                <c:pt idx="146">
                  <c:v>392</c:v>
                </c:pt>
                <c:pt idx="147">
                  <c:v>298</c:v>
                </c:pt>
                <c:pt idx="148">
                  <c:v>232</c:v>
                </c:pt>
                <c:pt idx="149">
                  <c:v>295</c:v>
                </c:pt>
                <c:pt idx="150">
                  <c:v>265</c:v>
                </c:pt>
                <c:pt idx="151">
                  <c:v>66</c:v>
                </c:pt>
                <c:pt idx="152">
                  <c:v>28</c:v>
                </c:pt>
                <c:pt idx="153">
                  <c:v>310</c:v>
                </c:pt>
                <c:pt idx="154">
                  <c:v>308</c:v>
                </c:pt>
                <c:pt idx="155">
                  <c:v>285</c:v>
                </c:pt>
                <c:pt idx="156">
                  <c:v>188</c:v>
                </c:pt>
                <c:pt idx="157">
                  <c:v>245</c:v>
                </c:pt>
                <c:pt idx="158">
                  <c:v>69</c:v>
                </c:pt>
                <c:pt idx="159">
                  <c:v>41</c:v>
                </c:pt>
                <c:pt idx="160">
                  <c:v>227</c:v>
                </c:pt>
                <c:pt idx="161">
                  <c:v>216</c:v>
                </c:pt>
                <c:pt idx="162">
                  <c:v>171</c:v>
                </c:pt>
                <c:pt idx="163">
                  <c:v>153</c:v>
                </c:pt>
                <c:pt idx="164">
                  <c:v>236</c:v>
                </c:pt>
                <c:pt idx="165">
                  <c:v>59</c:v>
                </c:pt>
                <c:pt idx="166">
                  <c:v>32</c:v>
                </c:pt>
                <c:pt idx="167">
                  <c:v>378</c:v>
                </c:pt>
                <c:pt idx="168">
                  <c:v>246</c:v>
                </c:pt>
                <c:pt idx="169">
                  <c:v>171</c:v>
                </c:pt>
                <c:pt idx="170">
                  <c:v>151</c:v>
                </c:pt>
                <c:pt idx="171">
                  <c:v>108</c:v>
                </c:pt>
                <c:pt idx="172">
                  <c:v>39</c:v>
                </c:pt>
                <c:pt idx="173">
                  <c:v>33</c:v>
                </c:pt>
                <c:pt idx="174">
                  <c:v>275</c:v>
                </c:pt>
                <c:pt idx="175">
                  <c:v>203</c:v>
                </c:pt>
                <c:pt idx="176">
                  <c:v>154</c:v>
                </c:pt>
                <c:pt idx="177">
                  <c:v>219</c:v>
                </c:pt>
                <c:pt idx="178">
                  <c:v>148</c:v>
                </c:pt>
                <c:pt idx="179">
                  <c:v>38</c:v>
                </c:pt>
                <c:pt idx="180">
                  <c:v>15</c:v>
                </c:pt>
                <c:pt idx="181">
                  <c:v>197</c:v>
                </c:pt>
                <c:pt idx="182">
                  <c:v>251</c:v>
                </c:pt>
                <c:pt idx="183">
                  <c:v>176</c:v>
                </c:pt>
                <c:pt idx="184">
                  <c:v>152</c:v>
                </c:pt>
                <c:pt idx="185">
                  <c:v>140</c:v>
                </c:pt>
                <c:pt idx="186">
                  <c:v>30</c:v>
                </c:pt>
                <c:pt idx="187">
                  <c:v>20</c:v>
                </c:pt>
                <c:pt idx="188">
                  <c:v>277</c:v>
                </c:pt>
                <c:pt idx="189">
                  <c:v>186</c:v>
                </c:pt>
                <c:pt idx="190">
                  <c:v>105</c:v>
                </c:pt>
                <c:pt idx="191">
                  <c:v>73</c:v>
                </c:pt>
                <c:pt idx="192">
                  <c:v>90</c:v>
                </c:pt>
                <c:pt idx="193">
                  <c:v>46</c:v>
                </c:pt>
                <c:pt idx="194">
                  <c:v>11</c:v>
                </c:pt>
                <c:pt idx="195">
                  <c:v>193</c:v>
                </c:pt>
                <c:pt idx="196">
                  <c:v>208</c:v>
                </c:pt>
                <c:pt idx="197">
                  <c:v>240</c:v>
                </c:pt>
                <c:pt idx="198">
                  <c:v>136</c:v>
                </c:pt>
                <c:pt idx="199">
                  <c:v>91</c:v>
                </c:pt>
                <c:pt idx="200">
                  <c:v>52</c:v>
                </c:pt>
                <c:pt idx="201">
                  <c:v>28</c:v>
                </c:pt>
                <c:pt idx="202">
                  <c:v>327</c:v>
                </c:pt>
                <c:pt idx="203">
                  <c:v>151</c:v>
                </c:pt>
                <c:pt idx="204">
                  <c:v>156</c:v>
                </c:pt>
                <c:pt idx="205">
                  <c:v>255</c:v>
                </c:pt>
                <c:pt idx="206">
                  <c:v>115</c:v>
                </c:pt>
                <c:pt idx="207">
                  <c:v>57</c:v>
                </c:pt>
                <c:pt idx="208">
                  <c:v>39</c:v>
                </c:pt>
                <c:pt idx="209">
                  <c:v>233</c:v>
                </c:pt>
                <c:pt idx="210">
                  <c:v>245</c:v>
                </c:pt>
                <c:pt idx="211">
                  <c:v>225</c:v>
                </c:pt>
                <c:pt idx="212">
                  <c:v>193</c:v>
                </c:pt>
                <c:pt idx="213">
                  <c:v>239</c:v>
                </c:pt>
                <c:pt idx="214">
                  <c:v>56</c:v>
                </c:pt>
                <c:pt idx="215">
                  <c:v>32</c:v>
                </c:pt>
                <c:pt idx="216">
                  <c:v>301</c:v>
                </c:pt>
                <c:pt idx="217">
                  <c:v>304</c:v>
                </c:pt>
                <c:pt idx="218">
                  <c:v>215</c:v>
                </c:pt>
                <c:pt idx="219">
                  <c:v>191</c:v>
                </c:pt>
                <c:pt idx="220">
                  <c:v>181</c:v>
                </c:pt>
                <c:pt idx="221">
                  <c:v>89</c:v>
                </c:pt>
                <c:pt idx="222">
                  <c:v>34</c:v>
                </c:pt>
                <c:pt idx="223">
                  <c:v>457</c:v>
                </c:pt>
                <c:pt idx="224">
                  <c:v>360</c:v>
                </c:pt>
                <c:pt idx="225">
                  <c:v>295</c:v>
                </c:pt>
                <c:pt idx="226">
                  <c:v>252</c:v>
                </c:pt>
                <c:pt idx="227">
                  <c:v>239</c:v>
                </c:pt>
                <c:pt idx="228">
                  <c:v>97</c:v>
                </c:pt>
                <c:pt idx="229">
                  <c:v>33</c:v>
                </c:pt>
                <c:pt idx="230">
                  <c:v>379</c:v>
                </c:pt>
                <c:pt idx="231">
                  <c:v>357</c:v>
                </c:pt>
                <c:pt idx="232">
                  <c:v>385</c:v>
                </c:pt>
                <c:pt idx="233">
                  <c:v>348</c:v>
                </c:pt>
                <c:pt idx="234">
                  <c:v>282</c:v>
                </c:pt>
                <c:pt idx="235">
                  <c:v>81</c:v>
                </c:pt>
                <c:pt idx="236">
                  <c:v>29</c:v>
                </c:pt>
                <c:pt idx="237">
                  <c:v>405</c:v>
                </c:pt>
                <c:pt idx="238">
                  <c:v>387</c:v>
                </c:pt>
                <c:pt idx="239">
                  <c:v>308</c:v>
                </c:pt>
                <c:pt idx="240">
                  <c:v>281</c:v>
                </c:pt>
                <c:pt idx="241">
                  <c:v>181</c:v>
                </c:pt>
                <c:pt idx="242">
                  <c:v>63</c:v>
                </c:pt>
                <c:pt idx="243">
                  <c:v>46</c:v>
                </c:pt>
                <c:pt idx="244">
                  <c:v>280</c:v>
                </c:pt>
                <c:pt idx="245">
                  <c:v>391</c:v>
                </c:pt>
                <c:pt idx="246">
                  <c:v>295</c:v>
                </c:pt>
                <c:pt idx="247">
                  <c:v>187</c:v>
                </c:pt>
                <c:pt idx="248">
                  <c:v>227</c:v>
                </c:pt>
                <c:pt idx="249">
                  <c:v>58</c:v>
                </c:pt>
                <c:pt idx="250">
                  <c:v>41</c:v>
                </c:pt>
                <c:pt idx="251">
                  <c:v>297</c:v>
                </c:pt>
                <c:pt idx="252">
                  <c:v>261</c:v>
                </c:pt>
                <c:pt idx="253">
                  <c:v>229</c:v>
                </c:pt>
                <c:pt idx="254">
                  <c:v>163</c:v>
                </c:pt>
                <c:pt idx="255">
                  <c:v>179</c:v>
                </c:pt>
                <c:pt idx="256">
                  <c:v>47</c:v>
                </c:pt>
                <c:pt idx="257">
                  <c:v>18</c:v>
                </c:pt>
                <c:pt idx="258">
                  <c:v>214</c:v>
                </c:pt>
                <c:pt idx="259">
                  <c:v>181</c:v>
                </c:pt>
                <c:pt idx="260">
                  <c:v>259</c:v>
                </c:pt>
                <c:pt idx="261">
                  <c:v>133</c:v>
                </c:pt>
                <c:pt idx="262">
                  <c:v>119</c:v>
                </c:pt>
                <c:pt idx="263">
                  <c:v>57</c:v>
                </c:pt>
                <c:pt idx="264">
                  <c:v>15</c:v>
                </c:pt>
                <c:pt idx="265">
                  <c:v>160</c:v>
                </c:pt>
                <c:pt idx="266">
                  <c:v>137</c:v>
                </c:pt>
                <c:pt idx="267">
                  <c:v>127</c:v>
                </c:pt>
                <c:pt idx="268">
                  <c:v>133</c:v>
                </c:pt>
                <c:pt idx="269">
                  <c:v>97</c:v>
                </c:pt>
                <c:pt idx="270">
                  <c:v>55</c:v>
                </c:pt>
                <c:pt idx="271">
                  <c:v>18</c:v>
                </c:pt>
                <c:pt idx="272">
                  <c:v>165</c:v>
                </c:pt>
                <c:pt idx="273">
                  <c:v>212</c:v>
                </c:pt>
                <c:pt idx="274">
                  <c:v>106</c:v>
                </c:pt>
                <c:pt idx="275">
                  <c:v>120</c:v>
                </c:pt>
                <c:pt idx="276">
                  <c:v>84</c:v>
                </c:pt>
                <c:pt idx="277">
                  <c:v>41</c:v>
                </c:pt>
                <c:pt idx="278">
                  <c:v>10</c:v>
                </c:pt>
                <c:pt idx="279">
                  <c:v>182</c:v>
                </c:pt>
                <c:pt idx="280">
                  <c:v>108</c:v>
                </c:pt>
                <c:pt idx="281">
                  <c:v>88</c:v>
                </c:pt>
                <c:pt idx="282">
                  <c:v>163</c:v>
                </c:pt>
                <c:pt idx="283">
                  <c:v>123</c:v>
                </c:pt>
                <c:pt idx="284">
                  <c:v>52</c:v>
                </c:pt>
                <c:pt idx="285">
                  <c:v>24</c:v>
                </c:pt>
                <c:pt idx="286">
                  <c:v>319</c:v>
                </c:pt>
                <c:pt idx="287">
                  <c:v>171</c:v>
                </c:pt>
                <c:pt idx="288">
                  <c:v>174</c:v>
                </c:pt>
                <c:pt idx="289">
                  <c:v>139</c:v>
                </c:pt>
                <c:pt idx="290">
                  <c:v>186</c:v>
                </c:pt>
                <c:pt idx="291">
                  <c:v>52</c:v>
                </c:pt>
                <c:pt idx="292">
                  <c:v>17</c:v>
                </c:pt>
                <c:pt idx="293">
                  <c:v>280</c:v>
                </c:pt>
                <c:pt idx="294">
                  <c:v>274</c:v>
                </c:pt>
                <c:pt idx="295">
                  <c:v>241</c:v>
                </c:pt>
                <c:pt idx="296">
                  <c:v>144</c:v>
                </c:pt>
                <c:pt idx="297">
                  <c:v>213</c:v>
                </c:pt>
                <c:pt idx="298">
                  <c:v>76</c:v>
                </c:pt>
                <c:pt idx="299">
                  <c:v>33</c:v>
                </c:pt>
                <c:pt idx="300">
                  <c:v>335</c:v>
                </c:pt>
                <c:pt idx="301">
                  <c:v>268</c:v>
                </c:pt>
                <c:pt idx="302">
                  <c:v>214</c:v>
                </c:pt>
                <c:pt idx="303">
                  <c:v>178</c:v>
                </c:pt>
                <c:pt idx="304">
                  <c:v>254</c:v>
                </c:pt>
                <c:pt idx="305">
                  <c:v>65</c:v>
                </c:pt>
                <c:pt idx="306">
                  <c:v>36</c:v>
                </c:pt>
                <c:pt idx="307">
                  <c:v>416</c:v>
                </c:pt>
                <c:pt idx="308">
                  <c:v>365</c:v>
                </c:pt>
                <c:pt idx="309">
                  <c:v>265</c:v>
                </c:pt>
                <c:pt idx="310">
                  <c:v>270</c:v>
                </c:pt>
                <c:pt idx="311">
                  <c:v>208</c:v>
                </c:pt>
                <c:pt idx="312">
                  <c:v>87</c:v>
                </c:pt>
                <c:pt idx="313">
                  <c:v>31</c:v>
                </c:pt>
                <c:pt idx="314">
                  <c:v>371</c:v>
                </c:pt>
                <c:pt idx="315">
                  <c:v>330</c:v>
                </c:pt>
                <c:pt idx="316">
                  <c:v>273</c:v>
                </c:pt>
                <c:pt idx="317">
                  <c:v>298</c:v>
                </c:pt>
                <c:pt idx="318">
                  <c:v>189</c:v>
                </c:pt>
                <c:pt idx="319">
                  <c:v>93</c:v>
                </c:pt>
                <c:pt idx="320">
                  <c:v>47</c:v>
                </c:pt>
                <c:pt idx="321">
                  <c:v>349</c:v>
                </c:pt>
                <c:pt idx="322">
                  <c:v>283</c:v>
                </c:pt>
                <c:pt idx="323">
                  <c:v>309</c:v>
                </c:pt>
                <c:pt idx="324">
                  <c:v>212</c:v>
                </c:pt>
                <c:pt idx="325">
                  <c:v>223</c:v>
                </c:pt>
                <c:pt idx="326">
                  <c:v>62</c:v>
                </c:pt>
                <c:pt idx="327">
                  <c:v>37</c:v>
                </c:pt>
                <c:pt idx="328">
                  <c:v>415</c:v>
                </c:pt>
                <c:pt idx="329">
                  <c:v>381</c:v>
                </c:pt>
                <c:pt idx="330">
                  <c:v>251</c:v>
                </c:pt>
                <c:pt idx="331">
                  <c:v>245</c:v>
                </c:pt>
                <c:pt idx="332">
                  <c:v>165</c:v>
                </c:pt>
                <c:pt idx="333">
                  <c:v>86</c:v>
                </c:pt>
                <c:pt idx="334">
                  <c:v>30</c:v>
                </c:pt>
                <c:pt idx="335">
                  <c:v>265</c:v>
                </c:pt>
                <c:pt idx="336">
                  <c:v>278</c:v>
                </c:pt>
                <c:pt idx="337">
                  <c:v>239</c:v>
                </c:pt>
                <c:pt idx="338">
                  <c:v>279</c:v>
                </c:pt>
                <c:pt idx="339">
                  <c:v>190</c:v>
                </c:pt>
                <c:pt idx="340">
                  <c:v>52</c:v>
                </c:pt>
                <c:pt idx="341">
                  <c:v>28</c:v>
                </c:pt>
                <c:pt idx="342">
                  <c:v>292</c:v>
                </c:pt>
                <c:pt idx="343">
                  <c:v>334</c:v>
                </c:pt>
                <c:pt idx="344">
                  <c:v>240</c:v>
                </c:pt>
                <c:pt idx="345">
                  <c:v>161</c:v>
                </c:pt>
                <c:pt idx="346">
                  <c:v>220</c:v>
                </c:pt>
                <c:pt idx="347">
                  <c:v>66</c:v>
                </c:pt>
                <c:pt idx="348">
                  <c:v>29</c:v>
                </c:pt>
                <c:pt idx="349">
                  <c:v>352</c:v>
                </c:pt>
                <c:pt idx="350">
                  <c:v>144</c:v>
                </c:pt>
                <c:pt idx="351">
                  <c:v>254</c:v>
                </c:pt>
                <c:pt idx="352">
                  <c:v>125</c:v>
                </c:pt>
                <c:pt idx="353">
                  <c:v>158</c:v>
                </c:pt>
                <c:pt idx="354">
                  <c:v>39</c:v>
                </c:pt>
                <c:pt idx="355">
                  <c:v>13</c:v>
                </c:pt>
                <c:pt idx="356">
                  <c:v>239</c:v>
                </c:pt>
                <c:pt idx="357">
                  <c:v>125</c:v>
                </c:pt>
                <c:pt idx="358">
                  <c:v>116</c:v>
                </c:pt>
                <c:pt idx="359">
                  <c:v>169</c:v>
                </c:pt>
                <c:pt idx="360">
                  <c:v>144</c:v>
                </c:pt>
                <c:pt idx="361">
                  <c:v>43</c:v>
                </c:pt>
                <c:pt idx="362">
                  <c:v>27</c:v>
                </c:pt>
                <c:pt idx="363">
                  <c:v>249</c:v>
                </c:pt>
                <c:pt idx="364">
                  <c:v>269</c:v>
                </c:pt>
                <c:pt idx="365">
                  <c:v>154</c:v>
                </c:pt>
                <c:pt idx="366">
                  <c:v>123</c:v>
                </c:pt>
                <c:pt idx="367">
                  <c:v>88</c:v>
                </c:pt>
                <c:pt idx="368">
                  <c:v>20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09-4B7D-BAF6-1F6DB2121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7515776"/>
        <c:axId val="117517312"/>
      </c:barChart>
      <c:dateAx>
        <c:axId val="117515776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17517312"/>
        <c:crosses val="autoZero"/>
        <c:auto val="0"/>
        <c:lblOffset val="100"/>
        <c:baseTimeUnit val="days"/>
      </c:dateAx>
      <c:valAx>
        <c:axId val="1175173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1751577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678339865051115"/>
          <c:y val="8.5897435897435898E-2"/>
          <c:w val="0.7932166013494889"/>
          <c:h val="0.82820512820512826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Multiple!$K$20:$Q$20</c:f>
              <c:strCache>
                <c:ptCount val="7"/>
                <c:pt idx="0">
                  <c:v>Su</c:v>
                </c:pt>
                <c:pt idx="1">
                  <c:v>M</c:v>
                </c:pt>
                <c:pt idx="2">
                  <c:v>Tu</c:v>
                </c:pt>
                <c:pt idx="3">
                  <c:v>W</c:v>
                </c:pt>
                <c:pt idx="4">
                  <c:v>Th</c:v>
                </c:pt>
                <c:pt idx="5">
                  <c:v>F</c:v>
                </c:pt>
                <c:pt idx="6">
                  <c:v>Sa</c:v>
                </c:pt>
              </c:strCache>
            </c:strRef>
          </c:cat>
          <c:val>
            <c:numRef>
              <c:f>Multiple!$K$18:$Q$18</c:f>
              <c:numCache>
                <c:formatCode>General</c:formatCode>
                <c:ptCount val="7"/>
                <c:pt idx="0">
                  <c:v>28.716981132075471</c:v>
                </c:pt>
                <c:pt idx="1">
                  <c:v>294.24528301886795</c:v>
                </c:pt>
                <c:pt idx="2">
                  <c:v>273.98113207547169</c:v>
                </c:pt>
                <c:pt idx="3">
                  <c:v>237.45283018867926</c:v>
                </c:pt>
                <c:pt idx="4">
                  <c:v>206.66037735849056</c:v>
                </c:pt>
                <c:pt idx="5">
                  <c:v>183.01886792452831</c:v>
                </c:pt>
                <c:pt idx="6">
                  <c:v>58.716981132075475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1-4280-BED7-311A7DBB9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253120"/>
        <c:axId val="145254656"/>
      </c:barChart>
      <c:catAx>
        <c:axId val="1452531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600"/>
            </a:pPr>
            <a:endParaRPr lang="en-US"/>
          </a:p>
        </c:txPr>
        <c:crossAx val="145254656"/>
        <c:crosses val="autoZero"/>
        <c:auto val="1"/>
        <c:lblAlgn val="ctr"/>
        <c:lblOffset val="100"/>
        <c:noMultiLvlLbl val="0"/>
      </c:catAx>
      <c:valAx>
        <c:axId val="1452546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45253120"/>
        <c:crosses val="autoZero"/>
        <c:crossBetween val="between"/>
      </c:valAx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678339865051115"/>
          <c:y val="8.5897435897435898E-2"/>
          <c:w val="0.7932166013494889"/>
          <c:h val="0.82820512820512826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Multiple!$AC$20:$AI$20</c:f>
              <c:strCache>
                <c:ptCount val="7"/>
                <c:pt idx="0">
                  <c:v>Su</c:v>
                </c:pt>
                <c:pt idx="1">
                  <c:v>M</c:v>
                </c:pt>
                <c:pt idx="2">
                  <c:v>Tu</c:v>
                </c:pt>
                <c:pt idx="3">
                  <c:v>W</c:v>
                </c:pt>
                <c:pt idx="4">
                  <c:v>Th</c:v>
                </c:pt>
                <c:pt idx="5">
                  <c:v>F</c:v>
                </c:pt>
                <c:pt idx="6">
                  <c:v>Sa</c:v>
                </c:pt>
              </c:strCache>
            </c:strRef>
          </c:cat>
          <c:val>
            <c:numRef>
              <c:f>Multiple!$AC$18:$AI$18</c:f>
              <c:numCache>
                <c:formatCode>General</c:formatCode>
                <c:ptCount val="7"/>
                <c:pt idx="0">
                  <c:v>28.716981132075471</c:v>
                </c:pt>
                <c:pt idx="1">
                  <c:v>294.24528301886795</c:v>
                </c:pt>
                <c:pt idx="2">
                  <c:v>273.98113207547169</c:v>
                </c:pt>
                <c:pt idx="3">
                  <c:v>237.45283018867926</c:v>
                </c:pt>
                <c:pt idx="4">
                  <c:v>206.66037735849056</c:v>
                </c:pt>
                <c:pt idx="5">
                  <c:v>183.01886792452831</c:v>
                </c:pt>
                <c:pt idx="6">
                  <c:v>58.716981132075475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7-4517-A8BF-6C385E4C1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639872"/>
        <c:axId val="169723776"/>
      </c:barChart>
      <c:catAx>
        <c:axId val="146639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600"/>
            </a:pPr>
            <a:endParaRPr lang="en-US"/>
          </a:p>
        </c:txPr>
        <c:crossAx val="169723776"/>
        <c:crosses val="autoZero"/>
        <c:auto val="1"/>
        <c:lblAlgn val="ctr"/>
        <c:lblOffset val="100"/>
        <c:noMultiLvlLbl val="0"/>
      </c:catAx>
      <c:valAx>
        <c:axId val="1697237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46639872"/>
        <c:crosses val="autoZero"/>
        <c:crossBetween val="between"/>
      </c:valAx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678339865051115"/>
          <c:y val="8.5897435897435898E-2"/>
          <c:w val="0.7932166013494889"/>
          <c:h val="0.82820512820512826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Multiple!$AU$20:$BA$20</c:f>
              <c:strCache>
                <c:ptCount val="7"/>
                <c:pt idx="0">
                  <c:v>Su</c:v>
                </c:pt>
                <c:pt idx="1">
                  <c:v>M</c:v>
                </c:pt>
                <c:pt idx="2">
                  <c:v>Tu</c:v>
                </c:pt>
                <c:pt idx="3">
                  <c:v>W</c:v>
                </c:pt>
                <c:pt idx="4">
                  <c:v>Th</c:v>
                </c:pt>
                <c:pt idx="5">
                  <c:v>F</c:v>
                </c:pt>
                <c:pt idx="6">
                  <c:v>Sa</c:v>
                </c:pt>
              </c:strCache>
            </c:strRef>
          </c:cat>
          <c:val>
            <c:numRef>
              <c:f>Multiple!$AU$18:$BA$18</c:f>
              <c:numCache>
                <c:formatCode>General</c:formatCode>
                <c:ptCount val="7"/>
                <c:pt idx="0">
                  <c:v>28.716981132075471</c:v>
                </c:pt>
                <c:pt idx="1">
                  <c:v>294.24528301886795</c:v>
                </c:pt>
                <c:pt idx="2">
                  <c:v>273.98113207547169</c:v>
                </c:pt>
                <c:pt idx="3">
                  <c:v>237.45283018867926</c:v>
                </c:pt>
                <c:pt idx="4">
                  <c:v>206.66037735849056</c:v>
                </c:pt>
                <c:pt idx="5">
                  <c:v>183.01886792452831</c:v>
                </c:pt>
                <c:pt idx="6">
                  <c:v>58.716981132075475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7-4A32-A0DD-F9D053E06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540416"/>
        <c:axId val="188541952"/>
      </c:barChart>
      <c:catAx>
        <c:axId val="1885404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600"/>
            </a:pPr>
            <a:endParaRPr lang="en-US"/>
          </a:p>
        </c:txPr>
        <c:crossAx val="188541952"/>
        <c:crosses val="autoZero"/>
        <c:auto val="1"/>
        <c:lblAlgn val="ctr"/>
        <c:lblOffset val="100"/>
        <c:noMultiLvlLbl val="0"/>
      </c:catAx>
      <c:valAx>
        <c:axId val="1885419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8540416"/>
        <c:crosses val="autoZero"/>
        <c:crossBetween val="between"/>
      </c:valAx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678339865051115"/>
          <c:y val="8.5897435897435898E-2"/>
          <c:w val="0.7932166013494889"/>
          <c:h val="0.82820512820512826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Multiple!$BM$20:$BS$20</c:f>
              <c:strCache>
                <c:ptCount val="7"/>
                <c:pt idx="0">
                  <c:v>Su</c:v>
                </c:pt>
                <c:pt idx="1">
                  <c:v>M</c:v>
                </c:pt>
                <c:pt idx="2">
                  <c:v>Tu</c:v>
                </c:pt>
                <c:pt idx="3">
                  <c:v>W</c:v>
                </c:pt>
                <c:pt idx="4">
                  <c:v>Th</c:v>
                </c:pt>
                <c:pt idx="5">
                  <c:v>F</c:v>
                </c:pt>
                <c:pt idx="6">
                  <c:v>Sa</c:v>
                </c:pt>
              </c:strCache>
            </c:strRef>
          </c:cat>
          <c:val>
            <c:numRef>
              <c:f>Multiple!$BM$18:$BS$18</c:f>
              <c:numCache>
                <c:formatCode>General</c:formatCode>
                <c:ptCount val="7"/>
                <c:pt idx="0">
                  <c:v>28.716981132075471</c:v>
                </c:pt>
                <c:pt idx="1">
                  <c:v>294.24528301886795</c:v>
                </c:pt>
                <c:pt idx="2">
                  <c:v>273.98113207547169</c:v>
                </c:pt>
                <c:pt idx="3">
                  <c:v>237.45283018867926</c:v>
                </c:pt>
                <c:pt idx="4">
                  <c:v>206.66037735849056</c:v>
                </c:pt>
                <c:pt idx="5">
                  <c:v>183.01886792452831</c:v>
                </c:pt>
                <c:pt idx="6">
                  <c:v>58.716981132075475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C-4DF2-8FC5-95C7F9771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39776"/>
        <c:axId val="202541696"/>
      </c:barChart>
      <c:catAx>
        <c:axId val="2025397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600"/>
            </a:pPr>
            <a:endParaRPr lang="en-US"/>
          </a:p>
        </c:txPr>
        <c:crossAx val="202541696"/>
        <c:crosses val="autoZero"/>
        <c:auto val="1"/>
        <c:lblAlgn val="ctr"/>
        <c:lblOffset val="100"/>
        <c:noMultiLvlLbl val="0"/>
      </c:catAx>
      <c:valAx>
        <c:axId val="2025416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02539776"/>
        <c:crosses val="autoZero"/>
        <c:crossBetween val="between"/>
      </c:valAx>
    </c:plotArea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350520</xdr:colOff>
      <xdr:row>1</xdr:row>
      <xdr:rowOff>0</xdr:rowOff>
    </xdr:from>
    <xdr:to>
      <xdr:col>20</xdr:col>
      <xdr:colOff>0</xdr:colOff>
      <xdr:row>9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30480</xdr:colOff>
      <xdr:row>1</xdr:row>
      <xdr:rowOff>30480</xdr:rowOff>
    </xdr:from>
    <xdr:to>
      <xdr:col>15</xdr:col>
      <xdr:colOff>327660</xdr:colOff>
      <xdr:row>8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16</xdr:row>
      <xdr:rowOff>0</xdr:rowOff>
    </xdr:from>
    <xdr:to>
      <xdr:col>35</xdr:col>
      <xdr:colOff>0</xdr:colOff>
      <xdr:row>17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0</xdr:colOff>
      <xdr:row>16</xdr:row>
      <xdr:rowOff>0</xdr:rowOff>
    </xdr:from>
    <xdr:to>
      <xdr:col>53</xdr:col>
      <xdr:colOff>38100</xdr:colOff>
      <xdr:row>17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54</xdr:col>
      <xdr:colOff>0</xdr:colOff>
      <xdr:row>16</xdr:row>
      <xdr:rowOff>0</xdr:rowOff>
    </xdr:from>
    <xdr:to>
      <xdr:col>71</xdr:col>
      <xdr:colOff>0</xdr:colOff>
      <xdr:row>17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Vertex42">
  <a:themeElements>
    <a:clrScheme name="Vertex42">
      <a:dk1>
        <a:sysClr val="windowText" lastClr="000000"/>
      </a:dk1>
      <a:lt1>
        <a:sysClr val="window" lastClr="FFFFFF"/>
      </a:lt1>
      <a:dk2>
        <a:srgbClr val="5E8BCE"/>
      </a:dk2>
      <a:lt2>
        <a:srgbClr val="EEECE2"/>
      </a:lt2>
      <a:accent1>
        <a:srgbClr val="3A5D9C"/>
      </a:accent1>
      <a:accent2>
        <a:srgbClr val="C04E4E"/>
      </a:accent2>
      <a:accent3>
        <a:srgbClr val="E68422"/>
      </a:accent3>
      <a:accent4>
        <a:srgbClr val="846648"/>
      </a:accent4>
      <a:accent5>
        <a:srgbClr val="26AA26"/>
      </a:accent5>
      <a:accent6>
        <a:srgbClr val="7860B4"/>
      </a:accent6>
      <a:hlink>
        <a:srgbClr val="4C92AE"/>
      </a:hlink>
      <a:folHlink>
        <a:srgbClr val="969696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Z64"/>
  <sheetViews>
    <sheetView showGridLines="0" tabSelected="1" topLeftCell="J1" zoomScaleNormal="100" workbookViewId="0">
      <selection activeCell="BO14" sqref="BO14"/>
    </sheetView>
  </sheetViews>
  <sheetFormatPr defaultColWidth="8.85546875" defaultRowHeight="12.75" x14ac:dyDescent="0.2"/>
  <cols>
    <col min="1" max="1" width="1.7109375" style="6" hidden="1" customWidth="1"/>
    <col min="2" max="8" width="2.140625" style="6" hidden="1" customWidth="1"/>
    <col min="9" max="9" width="1.7109375" style="6" hidden="1" customWidth="1"/>
    <col min="10" max="10" width="4.7109375" style="6" customWidth="1"/>
    <col min="11" max="17" width="2.7109375" style="6" customWidth="1"/>
    <col min="18" max="18" width="2.28515625" style="6" hidden="1" customWidth="1"/>
    <col min="19" max="19" width="1.7109375" style="6" hidden="1" customWidth="1"/>
    <col min="20" max="26" width="2.140625" style="6" hidden="1" customWidth="1"/>
    <col min="27" max="27" width="1.7109375" style="6" hidden="1" customWidth="1"/>
    <col min="28" max="28" width="5.28515625" style="6" customWidth="1"/>
    <col min="29" max="35" width="2.7109375" style="6" customWidth="1"/>
    <col min="36" max="36" width="2.28515625" style="6" hidden="1" customWidth="1"/>
    <col min="37" max="37" width="1.7109375" style="6" hidden="1" customWidth="1"/>
    <col min="38" max="44" width="2.140625" style="6" hidden="1" customWidth="1"/>
    <col min="45" max="45" width="1.7109375" style="6" hidden="1" customWidth="1"/>
    <col min="46" max="46" width="5.28515625" style="6" customWidth="1"/>
    <col min="47" max="53" width="2.7109375" style="6" customWidth="1"/>
    <col min="54" max="54" width="2.42578125" style="6" hidden="1" customWidth="1"/>
    <col min="55" max="55" width="1.7109375" style="6" hidden="1" customWidth="1"/>
    <col min="56" max="62" width="2.140625" style="6" hidden="1" customWidth="1"/>
    <col min="63" max="63" width="1.7109375" style="6" hidden="1" customWidth="1"/>
    <col min="64" max="64" width="5.28515625" style="6" customWidth="1"/>
    <col min="65" max="71" width="2.7109375" style="6" customWidth="1"/>
    <col min="72" max="72" width="2.28515625" style="6" customWidth="1"/>
    <col min="73" max="73" width="9.42578125" style="6" customWidth="1"/>
    <col min="74" max="74" width="4" style="6" customWidth="1"/>
    <col min="75" max="75" width="20.7109375" style="6" customWidth="1"/>
    <col min="76" max="76" width="10.28515625" style="6" customWidth="1"/>
    <col min="77" max="77" width="8.85546875" style="25"/>
    <col min="78" max="16384" width="8.85546875" style="6"/>
  </cols>
  <sheetData>
    <row r="1" spans="1:78" ht="20.25" x14ac:dyDescent="0.3">
      <c r="C1" s="2"/>
      <c r="D1" s="2"/>
      <c r="E1" s="2"/>
      <c r="F1" s="2"/>
      <c r="G1" s="2"/>
      <c r="H1" s="2"/>
      <c r="J1" s="22" t="s">
        <v>37</v>
      </c>
    </row>
    <row r="2" spans="1:78" ht="5.45" customHeight="1" x14ac:dyDescent="0.2">
      <c r="BX2" s="69"/>
    </row>
    <row r="3" spans="1:78" x14ac:dyDescent="0.2">
      <c r="J3" s="29"/>
      <c r="K3" s="100" t="s">
        <v>16</v>
      </c>
      <c r="L3" s="101"/>
      <c r="M3" s="101"/>
      <c r="N3" s="101"/>
      <c r="O3" s="101"/>
      <c r="P3" s="101"/>
      <c r="Q3" s="101"/>
      <c r="AC3" s="100" t="s">
        <v>14</v>
      </c>
      <c r="AD3" s="101"/>
      <c r="AE3" s="101"/>
      <c r="AF3" s="101"/>
      <c r="AG3" s="101"/>
      <c r="AH3" s="101"/>
      <c r="AI3" s="101"/>
      <c r="AU3" s="100" t="s">
        <v>15</v>
      </c>
      <c r="AV3" s="101"/>
      <c r="AW3" s="101"/>
      <c r="AX3" s="101"/>
      <c r="AY3" s="101"/>
      <c r="AZ3" s="101"/>
      <c r="BA3" s="101"/>
      <c r="BM3" s="100" t="s">
        <v>19</v>
      </c>
      <c r="BN3" s="101"/>
      <c r="BO3" s="101"/>
      <c r="BP3" s="101"/>
      <c r="BQ3" s="101"/>
      <c r="BR3" s="101"/>
      <c r="BS3" s="101"/>
      <c r="BW3" s="5"/>
    </row>
    <row r="4" spans="1:78" ht="15.6" customHeight="1" x14ac:dyDescent="0.2">
      <c r="A4" s="13"/>
      <c r="K4" s="102" t="s">
        <v>53</v>
      </c>
      <c r="L4" s="103"/>
      <c r="M4" s="103"/>
      <c r="N4" s="103"/>
      <c r="O4" s="103"/>
      <c r="P4" s="103"/>
      <c r="Q4" s="104"/>
      <c r="AC4" s="108">
        <v>40909</v>
      </c>
      <c r="AD4" s="109"/>
      <c r="AE4" s="109"/>
      <c r="AF4" s="109"/>
      <c r="AG4" s="109"/>
      <c r="AH4" s="109"/>
      <c r="AI4" s="110"/>
      <c r="AU4" s="108">
        <v>42369</v>
      </c>
      <c r="AV4" s="109"/>
      <c r="AW4" s="109"/>
      <c r="AX4" s="109"/>
      <c r="AY4" s="109"/>
      <c r="AZ4" s="109"/>
      <c r="BA4" s="110"/>
      <c r="BM4" s="112" t="s">
        <v>18</v>
      </c>
      <c r="BN4" s="113"/>
      <c r="BO4" s="113"/>
      <c r="BP4" s="113"/>
      <c r="BQ4" s="113"/>
      <c r="BR4" s="113"/>
      <c r="BS4" s="114"/>
      <c r="BW4" s="15"/>
    </row>
    <row r="5" spans="1:78" hidden="1" x14ac:dyDescent="0.2">
      <c r="A5" s="27"/>
      <c r="K5" s="30">
        <f>MATCH(K4,data_labels,0)</f>
        <v>2</v>
      </c>
      <c r="BM5" s="33">
        <f>MATCH(BM4,{"Sunday";"Monday";"Tuesday";"Wednesday";"Thursday";"Friday";"Saturday"},0)</f>
        <v>1</v>
      </c>
    </row>
    <row r="6" spans="1:78" ht="7.15" customHeight="1" x14ac:dyDescent="0.2">
      <c r="A6" s="13"/>
      <c r="BY6" s="6"/>
    </row>
    <row r="7" spans="1:78" s="59" customFormat="1" ht="16.149999999999999" customHeight="1" x14ac:dyDescent="0.2">
      <c r="A7" s="73"/>
      <c r="B7" s="4"/>
      <c r="C7" s="4"/>
      <c r="D7" s="4"/>
      <c r="E7" s="4"/>
      <c r="F7" s="4"/>
      <c r="G7" s="4"/>
      <c r="H7" s="4"/>
      <c r="I7" s="4"/>
      <c r="J7" s="76"/>
      <c r="K7" s="76" t="s">
        <v>41</v>
      </c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4" t="s">
        <v>39</v>
      </c>
      <c r="AC7" s="105">
        <f ca="1">MAX($K$12:$Q$64,$AC$12:$AI$64,$AU$12:$BA$64,$BM$12:$BS$64)</f>
        <v>497</v>
      </c>
      <c r="AD7" s="106"/>
      <c r="AE7" s="106"/>
      <c r="AF7" s="106"/>
      <c r="AG7" s="107"/>
      <c r="AH7" s="4"/>
      <c r="AI7" s="77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4" t="s">
        <v>40</v>
      </c>
      <c r="AU7" s="105">
        <f ca="1">MIN($K$12:$Q$64,$AC$12:$AI$64,$AU$12:$BA$64,$BM$12:$BS$64)</f>
        <v>10</v>
      </c>
      <c r="AV7" s="106"/>
      <c r="AW7" s="106"/>
      <c r="AX7" s="106"/>
      <c r="AY7" s="107"/>
      <c r="AZ7" s="4"/>
      <c r="BA7" s="77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4" t="s">
        <v>34</v>
      </c>
      <c r="BM7" s="105">
        <f ca="1">MEDIAN($K$12:$Q$64,$AC$12:$AI$64,$AU$12:$BA$64,$BM$12:$BS$64)</f>
        <v>181</v>
      </c>
      <c r="BN7" s="106"/>
      <c r="BO7" s="106"/>
      <c r="BP7" s="106"/>
      <c r="BQ7" s="107"/>
      <c r="BR7" s="4"/>
      <c r="BS7" s="77"/>
      <c r="BT7" s="74" t="s">
        <v>42</v>
      </c>
      <c r="BU7" s="78">
        <f ca="1">AVERAGE($K$12:$Q$64,$AC$12:$AI$64,$AU$12:$BA$64,$BM$12:$BS$64)</f>
        <v>180.90148448043186</v>
      </c>
    </row>
    <row r="8" spans="1:78" s="59" customFormat="1" ht="6.6" customHeight="1" x14ac:dyDescent="0.2">
      <c r="A8" s="13"/>
      <c r="BT8" s="27"/>
    </row>
    <row r="9" spans="1:78" ht="31.9" customHeight="1" x14ac:dyDescent="0.2">
      <c r="J9" s="62" t="s">
        <v>33</v>
      </c>
      <c r="K9" s="70">
        <f ca="1">IFERROR(AVERAGE(K12:K64),"")</f>
        <v>29.679245283018869</v>
      </c>
      <c r="L9" s="70">
        <f t="shared" ref="L9:Q9" ca="1" si="0">IFERROR(AVERAGE(L12:L64),"")</f>
        <v>291.39622641509436</v>
      </c>
      <c r="M9" s="70">
        <f t="shared" ca="1" si="0"/>
        <v>268.05660377358492</v>
      </c>
      <c r="N9" s="70">
        <f t="shared" ca="1" si="0"/>
        <v>231.26415094339623</v>
      </c>
      <c r="O9" s="70">
        <f t="shared" ca="1" si="0"/>
        <v>204.0754716981132</v>
      </c>
      <c r="P9" s="70">
        <f t="shared" ca="1" si="0"/>
        <v>180.81132075471697</v>
      </c>
      <c r="Q9" s="70">
        <f t="shared" ca="1" si="0"/>
        <v>59.301886792452834</v>
      </c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70">
        <f t="shared" ref="AC9:AI9" ca="1" si="1">IFERROR(AVERAGE(AC12:AC64),"")</f>
        <v>28.339622641509433</v>
      </c>
      <c r="AD9" s="70">
        <f t="shared" ca="1" si="1"/>
        <v>290.58490566037733</v>
      </c>
      <c r="AE9" s="70">
        <f t="shared" ca="1" si="1"/>
        <v>255.26415094339623</v>
      </c>
      <c r="AF9" s="70">
        <f t="shared" ca="1" si="1"/>
        <v>221.84905660377359</v>
      </c>
      <c r="AG9" s="70">
        <f t="shared" ca="1" si="1"/>
        <v>195.50943396226415</v>
      </c>
      <c r="AH9" s="70">
        <f t="shared" ca="1" si="1"/>
        <v>176.88679245283018</v>
      </c>
      <c r="AI9" s="70">
        <f t="shared" ca="1" si="1"/>
        <v>59.698113207547166</v>
      </c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70">
        <f t="shared" ref="AU9:BA9" ca="1" si="2">IFERROR(AVERAGE(AU12:AU64),"")</f>
        <v>28.716981132075471</v>
      </c>
      <c r="AV9" s="70">
        <f t="shared" ca="1" si="2"/>
        <v>294.24528301886795</v>
      </c>
      <c r="AW9" s="70">
        <f t="shared" ca="1" si="2"/>
        <v>273.98113207547169</v>
      </c>
      <c r="AX9" s="70">
        <f t="shared" ca="1" si="2"/>
        <v>237.45283018867926</v>
      </c>
      <c r="AY9" s="70">
        <f t="shared" ca="1" si="2"/>
        <v>206.66037735849056</v>
      </c>
      <c r="AZ9" s="70">
        <f t="shared" ca="1" si="2"/>
        <v>183.01886792452831</v>
      </c>
      <c r="BA9" s="70">
        <f t="shared" ca="1" si="2"/>
        <v>58.716981132075475</v>
      </c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70">
        <f t="shared" ref="BM9:BS9" ca="1" si="3">IFERROR(AVERAGE(BM12:BM64),"")</f>
        <v>29.09433962264151</v>
      </c>
      <c r="BN9" s="70">
        <f t="shared" ca="1" si="3"/>
        <v>308.66037735849056</v>
      </c>
      <c r="BO9" s="70">
        <f t="shared" ca="1" si="3"/>
        <v>267.24528301886795</v>
      </c>
      <c r="BP9" s="70">
        <f t="shared" ca="1" si="3"/>
        <v>238.37735849056602</v>
      </c>
      <c r="BQ9" s="70">
        <f t="shared" ca="1" si="3"/>
        <v>201.54716981132074</v>
      </c>
      <c r="BR9" s="70">
        <f t="shared" ca="1" si="3"/>
        <v>180.23076923076923</v>
      </c>
      <c r="BS9" s="70">
        <f t="shared" ca="1" si="3"/>
        <v>62.32692307692308</v>
      </c>
      <c r="BW9" s="111" t="s">
        <v>70</v>
      </c>
      <c r="BX9" s="111"/>
    </row>
    <row r="10" spans="1:78" ht="18" customHeight="1" x14ac:dyDescent="0.2">
      <c r="B10" s="99">
        <f>IF(MONTH(H13)=1,YEAR(H13),YEAR(B12)&amp;"-"&amp;YEAR(H60))</f>
        <v>2012</v>
      </c>
      <c r="C10" s="99"/>
      <c r="D10" s="99"/>
      <c r="E10" s="99"/>
      <c r="F10" s="99"/>
      <c r="G10" s="99"/>
      <c r="H10" s="99"/>
      <c r="K10" s="99">
        <f>B10</f>
        <v>2012</v>
      </c>
      <c r="L10" s="99"/>
      <c r="M10" s="99"/>
      <c r="N10" s="99"/>
      <c r="O10" s="99"/>
      <c r="P10" s="99"/>
      <c r="Q10" s="99"/>
      <c r="T10" s="99">
        <f>IF(MONTH(Z13)=1,YEAR(Z13),YEAR(T12)&amp;"-"&amp;YEAR(Z60))</f>
        <v>2013</v>
      </c>
      <c r="U10" s="99"/>
      <c r="V10" s="99"/>
      <c r="W10" s="99"/>
      <c r="X10" s="99"/>
      <c r="Y10" s="99"/>
      <c r="Z10" s="99"/>
      <c r="AC10" s="99">
        <f>T10</f>
        <v>2013</v>
      </c>
      <c r="AD10" s="99"/>
      <c r="AE10" s="99"/>
      <c r="AF10" s="99"/>
      <c r="AG10" s="99"/>
      <c r="AH10" s="99"/>
      <c r="AI10" s="99"/>
      <c r="AL10" s="99">
        <f>IF(MONTH(AR13)=1,YEAR(AR13),YEAR(AL12)&amp;"-"&amp;YEAR(AR60))</f>
        <v>2014</v>
      </c>
      <c r="AM10" s="99"/>
      <c r="AN10" s="99"/>
      <c r="AO10" s="99"/>
      <c r="AP10" s="99"/>
      <c r="AQ10" s="99"/>
      <c r="AR10" s="99"/>
      <c r="AU10" s="99">
        <f>AL10</f>
        <v>2014</v>
      </c>
      <c r="AV10" s="99"/>
      <c r="AW10" s="99"/>
      <c r="AX10" s="99"/>
      <c r="AY10" s="99"/>
      <c r="AZ10" s="99"/>
      <c r="BA10" s="99"/>
      <c r="BD10" s="99">
        <f>IF(MONTH(BJ13)=1,YEAR(BJ13),YEAR(BD12)&amp;"-"&amp;YEAR(BJ60))</f>
        <v>2015</v>
      </c>
      <c r="BE10" s="99"/>
      <c r="BF10" s="99"/>
      <c r="BG10" s="99"/>
      <c r="BH10" s="99"/>
      <c r="BI10" s="99"/>
      <c r="BJ10" s="99"/>
      <c r="BM10" s="99">
        <f>BD10</f>
        <v>2015</v>
      </c>
      <c r="BN10" s="99"/>
      <c r="BO10" s="99"/>
      <c r="BP10" s="99"/>
      <c r="BQ10" s="99"/>
      <c r="BR10" s="99"/>
      <c r="BS10" s="99"/>
      <c r="BW10" s="63"/>
      <c r="BX10" s="63"/>
    </row>
    <row r="11" spans="1:78" s="1" customFormat="1" x14ac:dyDescent="0.2">
      <c r="B11" s="28" t="str">
        <f>CHOOSE(WEEKDAY(B12,1),"Su","M","Tu","W","Th","F","Sa")</f>
        <v>Su</v>
      </c>
      <c r="C11" s="28" t="str">
        <f t="shared" ref="C11:H11" si="4">CHOOSE(WEEKDAY(C12,1),"Su","M","Tu","W","Th","F","Sa")</f>
        <v>M</v>
      </c>
      <c r="D11" s="28" t="str">
        <f t="shared" si="4"/>
        <v>Tu</v>
      </c>
      <c r="E11" s="28" t="str">
        <f t="shared" si="4"/>
        <v>W</v>
      </c>
      <c r="F11" s="28" t="str">
        <f t="shared" si="4"/>
        <v>Th</v>
      </c>
      <c r="G11" s="28" t="str">
        <f t="shared" si="4"/>
        <v>F</v>
      </c>
      <c r="H11" s="28" t="str">
        <f t="shared" si="4"/>
        <v>Sa</v>
      </c>
      <c r="J11" s="23"/>
      <c r="K11" s="35" t="str">
        <f>B11</f>
        <v>Su</v>
      </c>
      <c r="L11" s="35" t="str">
        <f t="shared" ref="L11:Q11" si="5">C11</f>
        <v>M</v>
      </c>
      <c r="M11" s="35" t="str">
        <f t="shared" si="5"/>
        <v>Tu</v>
      </c>
      <c r="N11" s="35" t="str">
        <f t="shared" si="5"/>
        <v>W</v>
      </c>
      <c r="O11" s="35" t="str">
        <f t="shared" si="5"/>
        <v>Th</v>
      </c>
      <c r="P11" s="35" t="str">
        <f t="shared" si="5"/>
        <v>F</v>
      </c>
      <c r="Q11" s="35" t="str">
        <f t="shared" si="5"/>
        <v>Sa</v>
      </c>
      <c r="R11" s="6"/>
      <c r="T11" s="28" t="str">
        <f>CHOOSE(WEEKDAY(T12,1),"Su","M","Tu","W","Th","F","Sa")</f>
        <v>Su</v>
      </c>
      <c r="U11" s="28" t="str">
        <f t="shared" ref="U11:Z11" si="6">CHOOSE(WEEKDAY(U12,1),"Su","M","Tu","W","Th","F","Sa")</f>
        <v>M</v>
      </c>
      <c r="V11" s="28" t="str">
        <f t="shared" si="6"/>
        <v>Tu</v>
      </c>
      <c r="W11" s="28" t="str">
        <f t="shared" si="6"/>
        <v>W</v>
      </c>
      <c r="X11" s="28" t="str">
        <f t="shared" si="6"/>
        <v>Th</v>
      </c>
      <c r="Y11" s="28" t="str">
        <f t="shared" si="6"/>
        <v>F</v>
      </c>
      <c r="Z11" s="28" t="str">
        <f t="shared" si="6"/>
        <v>Sa</v>
      </c>
      <c r="AB11" s="23"/>
      <c r="AC11" s="35" t="str">
        <f>T11</f>
        <v>Su</v>
      </c>
      <c r="AD11" s="35" t="str">
        <f t="shared" ref="AD11" si="7">U11</f>
        <v>M</v>
      </c>
      <c r="AE11" s="35" t="str">
        <f t="shared" ref="AE11" si="8">V11</f>
        <v>Tu</v>
      </c>
      <c r="AF11" s="35" t="str">
        <f t="shared" ref="AF11" si="9">W11</f>
        <v>W</v>
      </c>
      <c r="AG11" s="35" t="str">
        <f t="shared" ref="AG11" si="10">X11</f>
        <v>Th</v>
      </c>
      <c r="AH11" s="35" t="str">
        <f t="shared" ref="AH11" si="11">Y11</f>
        <v>F</v>
      </c>
      <c r="AI11" s="35" t="str">
        <f t="shared" ref="AI11" si="12">Z11</f>
        <v>Sa</v>
      </c>
      <c r="AJ11" s="6"/>
      <c r="AL11" s="28" t="str">
        <f>CHOOSE(WEEKDAY(AL12,1),"Su","M","Tu","W","Th","F","Sa")</f>
        <v>Su</v>
      </c>
      <c r="AM11" s="28" t="str">
        <f t="shared" ref="AM11:AR11" si="13">CHOOSE(WEEKDAY(AM12,1),"Su","M","Tu","W","Th","F","Sa")</f>
        <v>M</v>
      </c>
      <c r="AN11" s="28" t="str">
        <f t="shared" si="13"/>
        <v>Tu</v>
      </c>
      <c r="AO11" s="28" t="str">
        <f t="shared" si="13"/>
        <v>W</v>
      </c>
      <c r="AP11" s="28" t="str">
        <f t="shared" si="13"/>
        <v>Th</v>
      </c>
      <c r="AQ11" s="28" t="str">
        <f t="shared" si="13"/>
        <v>F</v>
      </c>
      <c r="AR11" s="28" t="str">
        <f t="shared" si="13"/>
        <v>Sa</v>
      </c>
      <c r="AT11" s="23"/>
      <c r="AU11" s="35" t="str">
        <f>AL11</f>
        <v>Su</v>
      </c>
      <c r="AV11" s="35" t="str">
        <f t="shared" ref="AV11" si="14">AM11</f>
        <v>M</v>
      </c>
      <c r="AW11" s="35" t="str">
        <f t="shared" ref="AW11" si="15">AN11</f>
        <v>Tu</v>
      </c>
      <c r="AX11" s="35" t="str">
        <f t="shared" ref="AX11" si="16">AO11</f>
        <v>W</v>
      </c>
      <c r="AY11" s="35" t="str">
        <f t="shared" ref="AY11" si="17">AP11</f>
        <v>Th</v>
      </c>
      <c r="AZ11" s="35" t="str">
        <f t="shared" ref="AZ11" si="18">AQ11</f>
        <v>F</v>
      </c>
      <c r="BA11" s="35" t="str">
        <f t="shared" ref="BA11" si="19">AR11</f>
        <v>Sa</v>
      </c>
      <c r="BB11" s="6"/>
      <c r="BD11" s="28" t="str">
        <f>CHOOSE(WEEKDAY(BD12,1),"Su","M","Tu","W","Th","F","Sa")</f>
        <v>Su</v>
      </c>
      <c r="BE11" s="28" t="str">
        <f t="shared" ref="BE11:BJ11" si="20">CHOOSE(WEEKDAY(BE12,1),"Su","M","Tu","W","Th","F","Sa")</f>
        <v>M</v>
      </c>
      <c r="BF11" s="28" t="str">
        <f t="shared" si="20"/>
        <v>Tu</v>
      </c>
      <c r="BG11" s="28" t="str">
        <f t="shared" si="20"/>
        <v>W</v>
      </c>
      <c r="BH11" s="28" t="str">
        <f t="shared" si="20"/>
        <v>Th</v>
      </c>
      <c r="BI11" s="28" t="str">
        <f t="shared" si="20"/>
        <v>F</v>
      </c>
      <c r="BJ11" s="28" t="str">
        <f t="shared" si="20"/>
        <v>Sa</v>
      </c>
      <c r="BL11" s="23"/>
      <c r="BM11" s="35" t="str">
        <f>BD11</f>
        <v>Su</v>
      </c>
      <c r="BN11" s="35" t="str">
        <f t="shared" ref="BN11" si="21">BE11</f>
        <v>M</v>
      </c>
      <c r="BO11" s="35" t="str">
        <f t="shared" ref="BO11" si="22">BF11</f>
        <v>Tu</v>
      </c>
      <c r="BP11" s="35" t="str">
        <f t="shared" ref="BP11" si="23">BG11</f>
        <v>W</v>
      </c>
      <c r="BQ11" s="35" t="str">
        <f t="shared" ref="BQ11" si="24">BH11</f>
        <v>Th</v>
      </c>
      <c r="BR11" s="35" t="str">
        <f t="shared" ref="BR11" si="25">BI11</f>
        <v>F</v>
      </c>
      <c r="BS11" s="35" t="str">
        <f t="shared" ref="BS11" si="26">BJ11</f>
        <v>Sa</v>
      </c>
      <c r="BT11" s="6"/>
      <c r="BU11" s="37" t="s">
        <v>33</v>
      </c>
      <c r="BV11" s="6"/>
      <c r="BW11" s="48" t="s">
        <v>28</v>
      </c>
      <c r="BX11" s="40">
        <v>0</v>
      </c>
      <c r="BY11" s="25"/>
      <c r="BZ11" s="6"/>
    </row>
    <row r="12" spans="1:78" ht="12" customHeight="1" x14ac:dyDescent="0.2">
      <c r="B12" s="34">
        <f>AC4-WEEKDAY(AC4,1)+BM5</f>
        <v>40909</v>
      </c>
      <c r="C12" s="34">
        <f>B12+1</f>
        <v>40910</v>
      </c>
      <c r="D12" s="34">
        <f t="shared" ref="D12:H12" si="27">C12+1</f>
        <v>40911</v>
      </c>
      <c r="E12" s="34">
        <f t="shared" si="27"/>
        <v>40912</v>
      </c>
      <c r="F12" s="34">
        <f t="shared" si="27"/>
        <v>40913</v>
      </c>
      <c r="G12" s="34">
        <f t="shared" si="27"/>
        <v>40914</v>
      </c>
      <c r="H12" s="34">
        <f t="shared" si="27"/>
        <v>40915</v>
      </c>
      <c r="J12" s="24" t="str">
        <f>IF(DAY(B12)=1,"",B12)</f>
        <v/>
      </c>
      <c r="K12" s="71">
        <f ca="1">IF(AND(B12&gt;=$AC$4,B12&lt;=$AU$4),IF(""=IFERROR(INDEX(INDIRECT("Data!C"&amp;$K$5,FALSE),MATCH(B12,Data!$A:$A,0)),$BX$12),$BX$11,IFERROR(INDEX(INDIRECT("Data!C"&amp;$K$5,FALSE),MATCH(B12,Data!$A:$A,0)),$BX$12)),"-")</f>
        <v>19</v>
      </c>
      <c r="L12" s="71">
        <f ca="1">IF(AND(C12&gt;=$AC$4,C12&lt;=$AU$4),IF(""=IFERROR(INDEX(INDIRECT("Data!C"&amp;$K$5,FALSE),MATCH(C12,Data!$A:$A,0)),$BX$12),$BX$11,IFERROR(INDEX(INDIRECT("Data!C"&amp;$K$5,FALSE),MATCH(C12,Data!$A:$A,0)),$BX$12)),"-")</f>
        <v>298</v>
      </c>
      <c r="M12" s="71">
        <f ca="1">IF(AND(D12&gt;=$AC$4,D12&lt;=$AU$4),IF(""=IFERROR(INDEX(INDIRECT("Data!C"&amp;$K$5,FALSE),MATCH(D12,Data!$A:$A,0)),$BX$12),$BX$11,IFERROR(INDEX(INDIRECT("Data!C"&amp;$K$5,FALSE),MATCH(D12,Data!$A:$A,0)),$BX$12)),"-")</f>
        <v>176</v>
      </c>
      <c r="N12" s="71">
        <f ca="1">IF(AND(E12&gt;=$AC$4,E12&lt;=$AU$4),IF(""=IFERROR(INDEX(INDIRECT("Data!C"&amp;$K$5,FALSE),MATCH(E12,Data!$A:$A,0)),$BX$12),$BX$11,IFERROR(INDEX(INDIRECT("Data!C"&amp;$K$5,FALSE),MATCH(E12,Data!$A:$A,0)),$BX$12)),"-")</f>
        <v>113</v>
      </c>
      <c r="O12" s="71">
        <f ca="1">IF(AND(F12&gt;=$AC$4,F12&lt;=$AU$4),IF(""=IFERROR(INDEX(INDIRECT("Data!C"&amp;$K$5,FALSE),MATCH(F12,Data!$A:$A,0)),$BX$12),$BX$11,IFERROR(INDEX(INDIRECT("Data!C"&amp;$K$5,FALSE),MATCH(F12,Data!$A:$A,0)),$BX$12)),"-")</f>
        <v>217</v>
      </c>
      <c r="P12" s="71">
        <f ca="1">IF(AND(G12&gt;=$AC$4,G12&lt;=$AU$4),IF(""=IFERROR(INDEX(INDIRECT("Data!C"&amp;$K$5,FALSE),MATCH(G12,Data!$A:$A,0)),$BX$12),$BX$11,IFERROR(INDEX(INDIRECT("Data!C"&amp;$K$5,FALSE),MATCH(G12,Data!$A:$A,0)),$BX$12)),"-")</f>
        <v>185</v>
      </c>
      <c r="Q12" s="71">
        <f ca="1">IF(AND(H12&gt;=$AC$4,H12&lt;=$AU$4),IF(""=IFERROR(INDEX(INDIRECT("Data!C"&amp;$K$5,FALSE),MATCH(H12,Data!$A:$A,0)),$BX$12),$BX$11,IFERROR(INDEX(INDIRECT("Data!C"&amp;$K$5,FALSE),MATCH(H12,Data!$A:$A,0)),$BX$12)),"-")</f>
        <v>47</v>
      </c>
      <c r="R12" s="7"/>
      <c r="T12" s="34">
        <f>IF(MONTH(H64)=1,B64,H64+1)</f>
        <v>41273</v>
      </c>
      <c r="U12" s="34">
        <f>T12+1</f>
        <v>41274</v>
      </c>
      <c r="V12" s="34">
        <f t="shared" ref="V12:V64" si="28">U12+1</f>
        <v>41275</v>
      </c>
      <c r="W12" s="34">
        <f t="shared" ref="W12:W64" si="29">V12+1</f>
        <v>41276</v>
      </c>
      <c r="X12" s="34">
        <f t="shared" ref="X12:X64" si="30">W12+1</f>
        <v>41277</v>
      </c>
      <c r="Y12" s="34">
        <f t="shared" ref="Y12:Y64" si="31">X12+1</f>
        <v>41278</v>
      </c>
      <c r="Z12" s="34">
        <f t="shared" ref="Z12:Z64" si="32">Y12+1</f>
        <v>41279</v>
      </c>
      <c r="AB12" s="24">
        <f>IF(DAY(T12)=1,"",T12)</f>
        <v>41273</v>
      </c>
      <c r="AC12" s="71">
        <f ca="1">IF(AND(T12&gt;=$AC$4,T12&lt;=$AU$4),IF(""=IFERROR(INDEX(INDIRECT("Data!C"&amp;$K$5,FALSE),MATCH(T12,Data!$A:$A,0)),$BX$12),$BX$11,IFERROR(INDEX(INDIRECT("Data!C"&amp;$K$5,FALSE),MATCH(T12,Data!$A:$A,0)),$BX$12)),"-")</f>
        <v>30</v>
      </c>
      <c r="AD12" s="71">
        <f ca="1">IF(AND(U12&gt;=$AC$4,U12&lt;=$AU$4),IF(""=IFERROR(INDEX(INDIRECT("Data!C"&amp;$K$5,FALSE),MATCH(U12,Data!$A:$A,0)),$BX$12),$BX$11,IFERROR(INDEX(INDIRECT("Data!C"&amp;$K$5,FALSE),MATCH(U12,Data!$A:$A,0)),$BX$12)),"-")</f>
        <v>123</v>
      </c>
      <c r="AE12" s="71">
        <f ca="1">IF(AND(V12&gt;=$AC$4,V12&lt;=$AU$4),IF(""=IFERROR(INDEX(INDIRECT("Data!C"&amp;$K$5,FALSE),MATCH(V12,Data!$A:$A,0)),$BX$12),$BX$11,IFERROR(INDEX(INDIRECT("Data!C"&amp;$K$5,FALSE),MATCH(V12,Data!$A:$A,0)),$BX$12)),"-")</f>
        <v>126</v>
      </c>
      <c r="AF12" s="71">
        <f ca="1">IF(AND(W12&gt;=$AC$4,W12&lt;=$AU$4),IF(""=IFERROR(INDEX(INDIRECT("Data!C"&amp;$K$5,FALSE),MATCH(W12,Data!$A:$A,0)),$BX$12),$BX$11,IFERROR(INDEX(INDIRECT("Data!C"&amp;$K$5,FALSE),MATCH(W12,Data!$A:$A,0)),$BX$12)),"-")</f>
        <v>141</v>
      </c>
      <c r="AG12" s="71">
        <f ca="1">IF(AND(X12&gt;=$AC$4,X12&lt;=$AU$4),IF(""=IFERROR(INDEX(INDIRECT("Data!C"&amp;$K$5,FALSE),MATCH(X12,Data!$A:$A,0)),$BX$12),$BX$11,IFERROR(INDEX(INDIRECT("Data!C"&amp;$K$5,FALSE),MATCH(X12,Data!$A:$A,0)),$BX$12)),"-")</f>
        <v>86</v>
      </c>
      <c r="AH12" s="71">
        <f ca="1">IF(AND(Y12&gt;=$AC$4,Y12&lt;=$AU$4),IF(""=IFERROR(INDEX(INDIRECT("Data!C"&amp;$K$5,FALSE),MATCH(Y12,Data!$A:$A,0)),$BX$12),$BX$11,IFERROR(INDEX(INDIRECT("Data!C"&amp;$K$5,FALSE),MATCH(Y12,Data!$A:$A,0)),$BX$12)),"-")</f>
        <v>109</v>
      </c>
      <c r="AI12" s="71">
        <f ca="1">IF(AND(Z12&gt;=$AC$4,Z12&lt;=$AU$4),IF(""=IFERROR(INDEX(INDIRECT("Data!C"&amp;$K$5,FALSE),MATCH(Z12,Data!$A:$A,0)),$BX$12),$BX$11,IFERROR(INDEX(INDIRECT("Data!C"&amp;$K$5,FALSE),MATCH(Z12,Data!$A:$A,0)),$BX$12)),"-")</f>
        <v>45</v>
      </c>
      <c r="AJ12" s="7"/>
      <c r="AL12" s="34">
        <f>IF(MONTH(Z64)=1,T64,Z64+1)</f>
        <v>41637</v>
      </c>
      <c r="AM12" s="34">
        <f>AL12+1</f>
        <v>41638</v>
      </c>
      <c r="AN12" s="34">
        <f t="shared" ref="AN12:AN64" si="33">AM12+1</f>
        <v>41639</v>
      </c>
      <c r="AO12" s="34">
        <f t="shared" ref="AO12:AO64" si="34">AN12+1</f>
        <v>41640</v>
      </c>
      <c r="AP12" s="34">
        <f t="shared" ref="AP12:AP64" si="35">AO12+1</f>
        <v>41641</v>
      </c>
      <c r="AQ12" s="34">
        <f t="shared" ref="AQ12:AQ64" si="36">AP12+1</f>
        <v>41642</v>
      </c>
      <c r="AR12" s="34">
        <f t="shared" ref="AR12:AR64" si="37">AQ12+1</f>
        <v>41643</v>
      </c>
      <c r="AT12" s="24">
        <f>IF(DAY(AL12)=1,"",AL12)</f>
        <v>41637</v>
      </c>
      <c r="AU12" s="71">
        <f ca="1">IF(AND(AL12&gt;=$AC$4,AL12&lt;=$AU$4),IF(""=IFERROR(INDEX(INDIRECT("Data!C"&amp;$K$5,FALSE),MATCH(AL12,Data!$A:$A,0)),$BX$12),$BX$11,IFERROR(INDEX(INDIRECT("Data!C"&amp;$K$5,FALSE),MATCH(AL12,Data!$A:$A,0)),$BX$12)),"-")</f>
        <v>27</v>
      </c>
      <c r="AV12" s="71">
        <f ca="1">IF(AND(AM12&gt;=$AC$4,AM12&lt;=$AU$4),IF(""=IFERROR(INDEX(INDIRECT("Data!C"&amp;$K$5,FALSE),MATCH(AM12,Data!$A:$A,0)),$BX$12),$BX$11,IFERROR(INDEX(INDIRECT("Data!C"&amp;$K$5,FALSE),MATCH(AM12,Data!$A:$A,0)),$BX$12)),"-")</f>
        <v>249</v>
      </c>
      <c r="AW12" s="71">
        <f ca="1">IF(AND(AN12&gt;=$AC$4,AN12&lt;=$AU$4),IF(""=IFERROR(INDEX(INDIRECT("Data!C"&amp;$K$5,FALSE),MATCH(AN12,Data!$A:$A,0)),$BX$12),$BX$11,IFERROR(INDEX(INDIRECT("Data!C"&amp;$K$5,FALSE),MATCH(AN12,Data!$A:$A,0)),$BX$12)),"-")</f>
        <v>269</v>
      </c>
      <c r="AX12" s="71">
        <f ca="1">IF(AND(AO12&gt;=$AC$4,AO12&lt;=$AU$4),IF(""=IFERROR(INDEX(INDIRECT("Data!C"&amp;$K$5,FALSE),MATCH(AO12,Data!$A:$A,0)),$BX$12),$BX$11,IFERROR(INDEX(INDIRECT("Data!C"&amp;$K$5,FALSE),MATCH(AO12,Data!$A:$A,0)),$BX$12)),"-")</f>
        <v>154</v>
      </c>
      <c r="AY12" s="71">
        <f ca="1">IF(AND(AP12&gt;=$AC$4,AP12&lt;=$AU$4),IF(""=IFERROR(INDEX(INDIRECT("Data!C"&amp;$K$5,FALSE),MATCH(AP12,Data!$A:$A,0)),$BX$12),$BX$11,IFERROR(INDEX(INDIRECT("Data!C"&amp;$K$5,FALSE),MATCH(AP12,Data!$A:$A,0)),$BX$12)),"-")</f>
        <v>123</v>
      </c>
      <c r="AZ12" s="71">
        <f ca="1">IF(AND(AQ12&gt;=$AC$4,AQ12&lt;=$AU$4),IF(""=IFERROR(INDEX(INDIRECT("Data!C"&amp;$K$5,FALSE),MATCH(AQ12,Data!$A:$A,0)),$BX$12),$BX$11,IFERROR(INDEX(INDIRECT("Data!C"&amp;$K$5,FALSE),MATCH(AQ12,Data!$A:$A,0)),$BX$12)),"-")</f>
        <v>88</v>
      </c>
      <c r="BA12" s="71">
        <f ca="1">IF(AND(AR12&gt;=$AC$4,AR12&lt;=$AU$4),IF(""=IFERROR(INDEX(INDIRECT("Data!C"&amp;$K$5,FALSE),MATCH(AR12,Data!$A:$A,0)),$BX$12),$BX$11,IFERROR(INDEX(INDIRECT("Data!C"&amp;$K$5,FALSE),MATCH(AR12,Data!$A:$A,0)),$BX$12)),"-")</f>
        <v>20</v>
      </c>
      <c r="BB12" s="7"/>
      <c r="BD12" s="34">
        <f>IF(MONTH(AR64)=1,AL64,AR64+1)</f>
        <v>42001</v>
      </c>
      <c r="BE12" s="34">
        <f>BD12+1</f>
        <v>42002</v>
      </c>
      <c r="BF12" s="34">
        <f t="shared" ref="BF12:BF64" si="38">BE12+1</f>
        <v>42003</v>
      </c>
      <c r="BG12" s="34">
        <f t="shared" ref="BG12:BG64" si="39">BF12+1</f>
        <v>42004</v>
      </c>
      <c r="BH12" s="34">
        <f t="shared" ref="BH12:BH64" si="40">BG12+1</f>
        <v>42005</v>
      </c>
      <c r="BI12" s="34">
        <f t="shared" ref="BI12:BI64" si="41">BH12+1</f>
        <v>42006</v>
      </c>
      <c r="BJ12" s="34">
        <f t="shared" ref="BJ12:BJ64" si="42">BI12+1</f>
        <v>42007</v>
      </c>
      <c r="BL12" s="24">
        <f>IF(DAY(BD12)=1,"",BD12)</f>
        <v>42001</v>
      </c>
      <c r="BM12" s="71">
        <f ca="1">IF(AND(BD12&gt;=$AC$4,BD12&lt;=$AU$4),IF(""=IFERROR(INDEX(INDIRECT("Data!C"&amp;$K$5,FALSE),MATCH(BD12,Data!$A:$A,0)),$BX$12),$BX$11,IFERROR(INDEX(INDIRECT("Data!C"&amp;$K$5,FALSE),MATCH(BD12,Data!$A:$A,0)),$BX$12)),"-")</f>
        <v>28</v>
      </c>
      <c r="BN12" s="71">
        <f ca="1">IF(AND(BE12&gt;=$AC$4,BE12&lt;=$AU$4),IF(""=IFERROR(INDEX(INDIRECT("Data!C"&amp;$K$5,FALSE),MATCH(BE12,Data!$A:$A,0)),$BX$12),$BX$11,IFERROR(INDEX(INDIRECT("Data!C"&amp;$K$5,FALSE),MATCH(BE12,Data!$A:$A,0)),$BX$12)),"-")</f>
        <v>122</v>
      </c>
      <c r="BO12" s="71">
        <f ca="1">IF(AND(BF12&gt;=$AC$4,BF12&lt;=$AU$4),IF(""=IFERROR(INDEX(INDIRECT("Data!C"&amp;$K$5,FALSE),MATCH(BF12,Data!$A:$A,0)),$BX$12),$BX$11,IFERROR(INDEX(INDIRECT("Data!C"&amp;$K$5,FALSE),MATCH(BF12,Data!$A:$A,0)),$BX$12)),"-")</f>
        <v>160</v>
      </c>
      <c r="BP12" s="71">
        <f ca="1">IF(AND(BG12&gt;=$AC$4,BG12&lt;=$AU$4),IF(""=IFERROR(INDEX(INDIRECT("Data!C"&amp;$K$5,FALSE),MATCH(BG12,Data!$A:$A,0)),$BX$12),$BX$11,IFERROR(INDEX(INDIRECT("Data!C"&amp;$K$5,FALSE),MATCH(BG12,Data!$A:$A,0)),$BX$12)),"-")</f>
        <v>122</v>
      </c>
      <c r="BQ12" s="71">
        <f ca="1">IF(AND(BH12&gt;=$AC$4,BH12&lt;=$AU$4),IF(""=IFERROR(INDEX(INDIRECT("Data!C"&amp;$K$5,FALSE),MATCH(BH12,Data!$A:$A,0)),$BX$12),$BX$11,IFERROR(INDEX(INDIRECT("Data!C"&amp;$K$5,FALSE),MATCH(BH12,Data!$A:$A,0)),$BX$12)),"-")</f>
        <v>187</v>
      </c>
      <c r="BR12" s="71">
        <f ca="1">IF(AND(BI12&gt;=$AC$4,BI12&lt;=$AU$4),IF(""=IFERROR(INDEX(INDIRECT("Data!C"&amp;$K$5,FALSE),MATCH(BI12,Data!$A:$A,0)),$BX$12),$BX$11,IFERROR(INDEX(INDIRECT("Data!C"&amp;$K$5,FALSE),MATCH(BI12,Data!$A:$A,0)),$BX$12)),"-")</f>
        <v>147</v>
      </c>
      <c r="BS12" s="71">
        <f ca="1">IF(AND(BJ12&gt;=$AC$4,BJ12&lt;=$AU$4),IF(""=IFERROR(INDEX(INDIRECT("Data!C"&amp;$K$5,FALSE),MATCH(BJ12,Data!$A:$A,0)),$BX$12),$BX$11,IFERROR(INDEX(INDIRECT("Data!C"&amp;$K$5,FALSE),MATCH(BJ12,Data!$A:$A,0)),$BX$12)),"-")</f>
        <v>60</v>
      </c>
      <c r="BT12" s="7"/>
      <c r="BU12" s="58">
        <f ca="1">AVERAGE(K12:Q12,AC12:AI12,AU12:BA12,BM12:BS12)</f>
        <v>123.96428571428571</v>
      </c>
      <c r="BW12" s="48" t="s">
        <v>65</v>
      </c>
      <c r="BX12" s="40" t="s">
        <v>20</v>
      </c>
    </row>
    <row r="13" spans="1:78" ht="12" customHeight="1" x14ac:dyDescent="0.2">
      <c r="B13" s="34">
        <f>B12+7</f>
        <v>40916</v>
      </c>
      <c r="C13" s="34">
        <f t="shared" ref="C13:H28" si="43">B13+1</f>
        <v>40917</v>
      </c>
      <c r="D13" s="34">
        <f t="shared" si="43"/>
        <v>40918</v>
      </c>
      <c r="E13" s="34">
        <f t="shared" si="43"/>
        <v>40919</v>
      </c>
      <c r="F13" s="34">
        <f t="shared" si="43"/>
        <v>40920</v>
      </c>
      <c r="G13" s="34">
        <f t="shared" si="43"/>
        <v>40921</v>
      </c>
      <c r="H13" s="34">
        <f t="shared" si="43"/>
        <v>40922</v>
      </c>
      <c r="J13" s="24">
        <f t="array" ref="J13">IFERROR(IF(MATCH(8,DAY(B13:H13),0),H13,""),"")</f>
        <v>40922</v>
      </c>
      <c r="K13" s="71">
        <f ca="1">IF(AND(B13&gt;=$AC$4,B13&lt;=$AU$4),IF(""=IFERROR(INDEX(INDIRECT("Data!C"&amp;$K$5,FALSE),MATCH(B13,Data!$A:$A,0)),$BX$12),$BX$11,IFERROR(INDEX(INDIRECT("Data!C"&amp;$K$5,FALSE),MATCH(B13,Data!$A:$A,0)),$BX$12)),"-")</f>
        <v>29</v>
      </c>
      <c r="L13" s="71">
        <f ca="1">IF(AND(C13&gt;=$AC$4,C13&lt;=$AU$4),IF(""=IFERROR(INDEX(INDIRECT("Data!C"&amp;$K$5,FALSE),MATCH(C13,Data!$A:$A,0)),$BX$12),$BX$11,IFERROR(INDEX(INDIRECT("Data!C"&amp;$K$5,FALSE),MATCH(C13,Data!$A:$A,0)),$BX$12)),"-")</f>
        <v>225</v>
      </c>
      <c r="M13" s="71">
        <f ca="1">IF(AND(D13&gt;=$AC$4,D13&lt;=$AU$4),IF(""=IFERROR(INDEX(INDIRECT("Data!C"&amp;$K$5,FALSE),MATCH(D13,Data!$A:$A,0)),$BX$12),$BX$11,IFERROR(INDEX(INDIRECT("Data!C"&amp;$K$5,FALSE),MATCH(D13,Data!$A:$A,0)),$BX$12)),"-")</f>
        <v>220</v>
      </c>
      <c r="N13" s="71">
        <f ca="1">IF(AND(E13&gt;=$AC$4,E13&lt;=$AU$4),IF(""=IFERROR(INDEX(INDIRECT("Data!C"&amp;$K$5,FALSE),MATCH(E13,Data!$A:$A,0)),$BX$12),$BX$11,IFERROR(INDEX(INDIRECT("Data!C"&amp;$K$5,FALSE),MATCH(E13,Data!$A:$A,0)),$BX$12)),"-")</f>
        <v>199</v>
      </c>
      <c r="O13" s="71">
        <f ca="1">IF(AND(F13&gt;=$AC$4,F13&lt;=$AU$4),IF(""=IFERROR(INDEX(INDIRECT("Data!C"&amp;$K$5,FALSE),MATCH(F13,Data!$A:$A,0)),$BX$12),$BX$11,IFERROR(INDEX(INDIRECT("Data!C"&amp;$K$5,FALSE),MATCH(F13,Data!$A:$A,0)),$BX$12)),"-")</f>
        <v>102</v>
      </c>
      <c r="P13" s="71">
        <f ca="1">IF(AND(G13&gt;=$AC$4,G13&lt;=$AU$4),IF(""=IFERROR(INDEX(INDIRECT("Data!C"&amp;$K$5,FALSE),MATCH(G13,Data!$A:$A,0)),$BX$12),$BX$11,IFERROR(INDEX(INDIRECT("Data!C"&amp;$K$5,FALSE),MATCH(G13,Data!$A:$A,0)),$BX$12)),"-")</f>
        <v>164</v>
      </c>
      <c r="Q13" s="71">
        <f ca="1">IF(AND(H13&gt;=$AC$4,H13&lt;=$AU$4),IF(""=IFERROR(INDEX(INDIRECT("Data!C"&amp;$K$5,FALSE),MATCH(H13,Data!$A:$A,0)),$BX$12),$BX$11,IFERROR(INDEX(INDIRECT("Data!C"&amp;$K$5,FALSE),MATCH(H13,Data!$A:$A,0)),$BX$12)),"-")</f>
        <v>34</v>
      </c>
      <c r="R13" s="7"/>
      <c r="T13" s="34">
        <f>T12+7</f>
        <v>41280</v>
      </c>
      <c r="U13" s="34">
        <f t="shared" ref="U13:U64" si="44">T13+1</f>
        <v>41281</v>
      </c>
      <c r="V13" s="34">
        <f t="shared" si="28"/>
        <v>41282</v>
      </c>
      <c r="W13" s="34">
        <f t="shared" si="29"/>
        <v>41283</v>
      </c>
      <c r="X13" s="34">
        <f t="shared" si="30"/>
        <v>41284</v>
      </c>
      <c r="Y13" s="34">
        <f t="shared" si="31"/>
        <v>41285</v>
      </c>
      <c r="Z13" s="34">
        <f t="shared" si="32"/>
        <v>41286</v>
      </c>
      <c r="AB13" s="24">
        <f t="array" ref="AB13">IFERROR(IF(MATCH(8,DAY(T13:Z13),0),Z13,""),"")</f>
        <v>41286</v>
      </c>
      <c r="AC13" s="71">
        <f ca="1">IF(AND(T13&gt;=$AC$4,T13&lt;=$AU$4),IF(""=IFERROR(INDEX(INDIRECT("Data!C"&amp;$K$5,FALSE),MATCH(T13,Data!$A:$A,0)),$BX$12),$BX$11,IFERROR(INDEX(INDIRECT("Data!C"&amp;$K$5,FALSE),MATCH(T13,Data!$A:$A,0)),$BX$12)),"-")</f>
        <v>11</v>
      </c>
      <c r="AD13" s="71">
        <f ca="1">IF(AND(U13&gt;=$AC$4,U13&lt;=$AU$4),IF(""=IFERROR(INDEX(INDIRECT("Data!C"&amp;$K$5,FALSE),MATCH(U13,Data!$A:$A,0)),$BX$12),$BX$11,IFERROR(INDEX(INDIRECT("Data!C"&amp;$K$5,FALSE),MATCH(U13,Data!$A:$A,0)),$BX$12)),"-")</f>
        <v>143</v>
      </c>
      <c r="AE13" s="71">
        <f ca="1">IF(AND(V13&gt;=$AC$4,V13&lt;=$AU$4),IF(""=IFERROR(INDEX(INDIRECT("Data!C"&amp;$K$5,FALSE),MATCH(V13,Data!$A:$A,0)),$BX$12),$BX$11,IFERROR(INDEX(INDIRECT("Data!C"&amp;$K$5,FALSE),MATCH(V13,Data!$A:$A,0)),$BX$12)),"-")</f>
        <v>182</v>
      </c>
      <c r="AF13" s="71">
        <f ca="1">IF(AND(W13&gt;=$AC$4,W13&lt;=$AU$4),IF(""=IFERROR(INDEX(INDIRECT("Data!C"&amp;$K$5,FALSE),MATCH(W13,Data!$A:$A,0)),$BX$12),$BX$11,IFERROR(INDEX(INDIRECT("Data!C"&amp;$K$5,FALSE),MATCH(W13,Data!$A:$A,0)),$BX$12)),"-")</f>
        <v>202</v>
      </c>
      <c r="AG13" s="71">
        <f ca="1">IF(AND(X13&gt;=$AC$4,X13&lt;=$AU$4),IF(""=IFERROR(INDEX(INDIRECT("Data!C"&amp;$K$5,FALSE),MATCH(X13,Data!$A:$A,0)),$BX$12),$BX$11,IFERROR(INDEX(INDIRECT("Data!C"&amp;$K$5,FALSE),MATCH(X13,Data!$A:$A,0)),$BX$12)),"-")</f>
        <v>78</v>
      </c>
      <c r="AH13" s="71">
        <f ca="1">IF(AND(Y13&gt;=$AC$4,Y13&lt;=$AU$4),IF(""=IFERROR(INDEX(INDIRECT("Data!C"&amp;$K$5,FALSE),MATCH(Y13,Data!$A:$A,0)),$BX$12),$BX$11,IFERROR(INDEX(INDIRECT("Data!C"&amp;$K$5,FALSE),MATCH(Y13,Data!$A:$A,0)),$BX$12)),"-")</f>
        <v>157</v>
      </c>
      <c r="AI13" s="71">
        <f ca="1">IF(AND(Z13&gt;=$AC$4,Z13&lt;=$AU$4),IF(""=IFERROR(INDEX(INDIRECT("Data!C"&amp;$K$5,FALSE),MATCH(Z13,Data!$A:$A,0)),$BX$12),$BX$11,IFERROR(INDEX(INDIRECT("Data!C"&amp;$K$5,FALSE),MATCH(Z13,Data!$A:$A,0)),$BX$12)),"-")</f>
        <v>52</v>
      </c>
      <c r="AJ13" s="7"/>
      <c r="AL13" s="34">
        <f>AL12+7</f>
        <v>41644</v>
      </c>
      <c r="AM13" s="34">
        <f t="shared" ref="AM13:AM64" si="45">AL13+1</f>
        <v>41645</v>
      </c>
      <c r="AN13" s="34">
        <f t="shared" si="33"/>
        <v>41646</v>
      </c>
      <c r="AO13" s="34">
        <f t="shared" si="34"/>
        <v>41647</v>
      </c>
      <c r="AP13" s="34">
        <f t="shared" si="35"/>
        <v>41648</v>
      </c>
      <c r="AQ13" s="34">
        <f t="shared" si="36"/>
        <v>41649</v>
      </c>
      <c r="AR13" s="34">
        <f t="shared" si="37"/>
        <v>41650</v>
      </c>
      <c r="AT13" s="24">
        <f t="array" ref="AT13">IFERROR(IF(MATCH(8,DAY(AL13:AR13),0),AR13,""),"")</f>
        <v>41650</v>
      </c>
      <c r="AU13" s="71">
        <f ca="1">IF(AND(AL13&gt;=$AC$4,AL13&lt;=$AU$4),IF(""=IFERROR(INDEX(INDIRECT("Data!C"&amp;$K$5,FALSE),MATCH(AL13,Data!$A:$A,0)),$BX$12),$BX$11,IFERROR(INDEX(INDIRECT("Data!C"&amp;$K$5,FALSE),MATCH(AL13,Data!$A:$A,0)),$BX$12)),"-")</f>
        <v>23</v>
      </c>
      <c r="AV13" s="71">
        <f ca="1">IF(AND(AM13&gt;=$AC$4,AM13&lt;=$AU$4),IF(""=IFERROR(INDEX(INDIRECT("Data!C"&amp;$K$5,FALSE),MATCH(AM13,Data!$A:$A,0)),$BX$12),$BX$11,IFERROR(INDEX(INDIRECT("Data!C"&amp;$K$5,FALSE),MATCH(AM13,Data!$A:$A,0)),$BX$12)),"-")</f>
        <v>113</v>
      </c>
      <c r="AW13" s="71">
        <f ca="1">IF(AND(AN13&gt;=$AC$4,AN13&lt;=$AU$4),IF(""=IFERROR(INDEX(INDIRECT("Data!C"&amp;$K$5,FALSE),MATCH(AN13,Data!$A:$A,0)),$BX$12),$BX$11,IFERROR(INDEX(INDIRECT("Data!C"&amp;$K$5,FALSE),MATCH(AN13,Data!$A:$A,0)),$BX$12)),"-")</f>
        <v>157</v>
      </c>
      <c r="AX13" s="71">
        <f ca="1">IF(AND(AO13&gt;=$AC$4,AO13&lt;=$AU$4),IF(""=IFERROR(INDEX(INDIRECT("Data!C"&amp;$K$5,FALSE),MATCH(AO13,Data!$A:$A,0)),$BX$12),$BX$11,IFERROR(INDEX(INDIRECT("Data!C"&amp;$K$5,FALSE),MATCH(AO13,Data!$A:$A,0)),$BX$12)),"-")</f>
        <v>116</v>
      </c>
      <c r="AY13" s="71">
        <f ca="1">IF(AND(AP13&gt;=$AC$4,AP13&lt;=$AU$4),IF(""=IFERROR(INDEX(INDIRECT("Data!C"&amp;$K$5,FALSE),MATCH(AP13,Data!$A:$A,0)),$BX$12),$BX$11,IFERROR(INDEX(INDIRECT("Data!C"&amp;$K$5,FALSE),MATCH(AP13,Data!$A:$A,0)),$BX$12)),"-")</f>
        <v>181</v>
      </c>
      <c r="AZ13" s="71">
        <f ca="1">IF(AND(AQ13&gt;=$AC$4,AQ13&lt;=$AU$4),IF(""=IFERROR(INDEX(INDIRECT("Data!C"&amp;$K$5,FALSE),MATCH(AQ13,Data!$A:$A,0)),$BX$12),$BX$11,IFERROR(INDEX(INDIRECT("Data!C"&amp;$K$5,FALSE),MATCH(AQ13,Data!$A:$A,0)),$BX$12)),"-")</f>
        <v>146</v>
      </c>
      <c r="BA13" s="71">
        <f ca="1">IF(AND(AR13&gt;=$AC$4,AR13&lt;=$AU$4),IF(""=IFERROR(INDEX(INDIRECT("Data!C"&amp;$K$5,FALSE),MATCH(AR13,Data!$A:$A,0)),$BX$12),$BX$11,IFERROR(INDEX(INDIRECT("Data!C"&amp;$K$5,FALSE),MATCH(AR13,Data!$A:$A,0)),$BX$12)),"-")</f>
        <v>41</v>
      </c>
      <c r="BB13" s="7"/>
      <c r="BD13" s="34">
        <f>BD12+7</f>
        <v>42008</v>
      </c>
      <c r="BE13" s="34">
        <f t="shared" ref="BE13:BE64" si="46">BD13+1</f>
        <v>42009</v>
      </c>
      <c r="BF13" s="34">
        <f t="shared" si="38"/>
        <v>42010</v>
      </c>
      <c r="BG13" s="34">
        <f t="shared" si="39"/>
        <v>42011</v>
      </c>
      <c r="BH13" s="34">
        <f t="shared" si="40"/>
        <v>42012</v>
      </c>
      <c r="BI13" s="34">
        <f t="shared" si="41"/>
        <v>42013</v>
      </c>
      <c r="BJ13" s="34">
        <f t="shared" si="42"/>
        <v>42014</v>
      </c>
      <c r="BL13" s="24">
        <f t="array" ref="BL13">IFERROR(IF(MATCH(8,DAY(BD13:BJ13),0),BJ13,""),"")</f>
        <v>42014</v>
      </c>
      <c r="BM13" s="71">
        <f ca="1">IF(AND(BD13&gt;=$AC$4,BD13&lt;=$AU$4),IF(""=IFERROR(INDEX(INDIRECT("Data!C"&amp;$K$5,FALSE),MATCH(BD13,Data!$A:$A,0)),$BX$12),$BX$11,IFERROR(INDEX(INDIRECT("Data!C"&amp;$K$5,FALSE),MATCH(BD13,Data!$A:$A,0)),$BX$12)),"-")</f>
        <v>15</v>
      </c>
      <c r="BN13" s="71">
        <f ca="1">IF(AND(BE13&gt;=$AC$4,BE13&lt;=$AU$4),IF(""=IFERROR(INDEX(INDIRECT("Data!C"&amp;$K$5,FALSE),MATCH(BE13,Data!$A:$A,0)),$BX$12),$BX$11,IFERROR(INDEX(INDIRECT("Data!C"&amp;$K$5,FALSE),MATCH(BE13,Data!$A:$A,0)),$BX$12)),"-")</f>
        <v>124</v>
      </c>
      <c r="BO13" s="71">
        <f ca="1">IF(AND(BF13&gt;=$AC$4,BF13&lt;=$AU$4),IF(""=IFERROR(INDEX(INDIRECT("Data!C"&amp;$K$5,FALSE),MATCH(BF13,Data!$A:$A,0)),$BX$12),$BX$11,IFERROR(INDEX(INDIRECT("Data!C"&amp;$K$5,FALSE),MATCH(BF13,Data!$A:$A,0)),$BX$12)),"-")</f>
        <v>147</v>
      </c>
      <c r="BP13" s="71">
        <f ca="1">IF(AND(BG13&gt;=$AC$4,BG13&lt;=$AU$4),IF(""=IFERROR(INDEX(INDIRECT("Data!C"&amp;$K$5,FALSE),MATCH(BG13,Data!$A:$A,0)),$BX$12),$BX$11,IFERROR(INDEX(INDIRECT("Data!C"&amp;$K$5,FALSE),MATCH(BG13,Data!$A:$A,0)),$BX$12)),"-")</f>
        <v>251</v>
      </c>
      <c r="BQ13" s="71">
        <f ca="1">IF(AND(BH13&gt;=$AC$4,BH13&lt;=$AU$4),IF(""=IFERROR(INDEX(INDIRECT("Data!C"&amp;$K$5,FALSE),MATCH(BH13,Data!$A:$A,0)),$BX$12),$BX$11,IFERROR(INDEX(INDIRECT("Data!C"&amp;$K$5,FALSE),MATCH(BH13,Data!$A:$A,0)),$BX$12)),"-")</f>
        <v>118</v>
      </c>
      <c r="BR13" s="71">
        <f ca="1">IF(AND(BI13&gt;=$AC$4,BI13&lt;=$AU$4),IF(""=IFERROR(INDEX(INDIRECT("Data!C"&amp;$K$5,FALSE),MATCH(BI13,Data!$A:$A,0)),$BX$12),$BX$11,IFERROR(INDEX(INDIRECT("Data!C"&amp;$K$5,FALSE),MATCH(BI13,Data!$A:$A,0)),$BX$12)),"-")</f>
        <v>188</v>
      </c>
      <c r="BS13" s="71">
        <f ca="1">IF(AND(BJ13&gt;=$AC$4,BJ13&lt;=$AU$4),IF(""=IFERROR(INDEX(INDIRECT("Data!C"&amp;$K$5,FALSE),MATCH(BJ13,Data!$A:$A,0)),$BX$12),$BX$11,IFERROR(INDEX(INDIRECT("Data!C"&amp;$K$5,FALSE),MATCH(BJ13,Data!$A:$A,0)),$BX$12)),"-")</f>
        <v>55</v>
      </c>
      <c r="BT13" s="7"/>
      <c r="BU13" s="58">
        <f t="shared" ref="BU13:BU64" ca="1" si="47">AVERAGE(K13:Q13,AC13:AI13,AU13:BA13,BM13:BS13)</f>
        <v>124.03571428571429</v>
      </c>
      <c r="BW13" s="65"/>
      <c r="BX13" s="12"/>
    </row>
    <row r="14" spans="1:78" ht="12" customHeight="1" x14ac:dyDescent="0.2">
      <c r="B14" s="34">
        <f t="shared" ref="B14:B64" si="48">B13+7</f>
        <v>40923</v>
      </c>
      <c r="C14" s="34">
        <f t="shared" si="43"/>
        <v>40924</v>
      </c>
      <c r="D14" s="34">
        <f t="shared" si="43"/>
        <v>40925</v>
      </c>
      <c r="E14" s="34">
        <f t="shared" si="43"/>
        <v>40926</v>
      </c>
      <c r="F14" s="34">
        <f t="shared" si="43"/>
        <v>40927</v>
      </c>
      <c r="G14" s="34">
        <f t="shared" si="43"/>
        <v>40928</v>
      </c>
      <c r="H14" s="34">
        <f t="shared" si="43"/>
        <v>40929</v>
      </c>
      <c r="J14" s="24" t="str">
        <f t="array" ref="J14">IFERROR(IF(MATCH(8,DAY(B14:H14),0),H14,""),"")</f>
        <v/>
      </c>
      <c r="K14" s="71">
        <f ca="1">IF(AND(B14&gt;=$AC$4,B14&lt;=$AU$4),IF(""=IFERROR(INDEX(INDIRECT("Data!C"&amp;$K$5,FALSE),MATCH(B14,Data!$A:$A,0)),$BX$12),$BX$11,IFERROR(INDEX(INDIRECT("Data!C"&amp;$K$5,FALSE),MATCH(B14,Data!$A:$A,0)),$BX$12)),"-")</f>
        <v>14</v>
      </c>
      <c r="L14" s="71">
        <f ca="1">IF(AND(C14&gt;=$AC$4,C14&lt;=$AU$4),IF(""=IFERROR(INDEX(INDIRECT("Data!C"&amp;$K$5,FALSE),MATCH(C14,Data!$A:$A,0)),$BX$12),$BX$11,IFERROR(INDEX(INDIRECT("Data!C"&amp;$K$5,FALSE),MATCH(C14,Data!$A:$A,0)),$BX$12)),"-")</f>
        <v>128</v>
      </c>
      <c r="M14" s="71">
        <f ca="1">IF(AND(D14&gt;=$AC$4,D14&lt;=$AU$4),IF(""=IFERROR(INDEX(INDIRECT("Data!C"&amp;$K$5,FALSE),MATCH(D14,Data!$A:$A,0)),$BX$12),$BX$11,IFERROR(INDEX(INDIRECT("Data!C"&amp;$K$5,FALSE),MATCH(D14,Data!$A:$A,0)),$BX$12)),"-")</f>
        <v>104</v>
      </c>
      <c r="N14" s="71">
        <f ca="1">IF(AND(E14&gt;=$AC$4,E14&lt;=$AU$4),IF(""=IFERROR(INDEX(INDIRECT("Data!C"&amp;$K$5,FALSE),MATCH(E14,Data!$A:$A,0)),$BX$12),$BX$11,IFERROR(INDEX(INDIRECT("Data!C"&amp;$K$5,FALSE),MATCH(E14,Data!$A:$A,0)),$BX$12)),"-")</f>
        <v>111</v>
      </c>
      <c r="O14" s="71">
        <f ca="1">IF(AND(F14&gt;=$AC$4,F14&lt;=$AU$4),IF(""=IFERROR(INDEX(INDIRECT("Data!C"&amp;$K$5,FALSE),MATCH(F14,Data!$A:$A,0)),$BX$12),$BX$11,IFERROR(INDEX(INDIRECT("Data!C"&amp;$K$5,FALSE),MATCH(F14,Data!$A:$A,0)),$BX$12)),"-")</f>
        <v>114</v>
      </c>
      <c r="P14" s="71">
        <f ca="1">IF(AND(G14&gt;=$AC$4,G14&lt;=$AU$4),IF(""=IFERROR(INDEX(INDIRECT("Data!C"&amp;$K$5,FALSE),MATCH(G14,Data!$A:$A,0)),$BX$12),$BX$11,IFERROR(INDEX(INDIRECT("Data!C"&amp;$K$5,FALSE),MATCH(G14,Data!$A:$A,0)),$BX$12)),"-")</f>
        <v>174</v>
      </c>
      <c r="Q14" s="71">
        <f ca="1">IF(AND(H14&gt;=$AC$4,H14&lt;=$AU$4),IF(""=IFERROR(INDEX(INDIRECT("Data!C"&amp;$K$5,FALSE),MATCH(H14,Data!$A:$A,0)),$BX$12),$BX$11,IFERROR(INDEX(INDIRECT("Data!C"&amp;$K$5,FALSE),MATCH(H14,Data!$A:$A,0)),$BX$12)),"-")</f>
        <v>54</v>
      </c>
      <c r="R14" s="7"/>
      <c r="T14" s="34">
        <f t="shared" ref="T14:T64" si="49">T13+7</f>
        <v>41287</v>
      </c>
      <c r="U14" s="34">
        <f t="shared" si="44"/>
        <v>41288</v>
      </c>
      <c r="V14" s="34">
        <f t="shared" si="28"/>
        <v>41289</v>
      </c>
      <c r="W14" s="34">
        <f t="shared" si="29"/>
        <v>41290</v>
      </c>
      <c r="X14" s="34">
        <f t="shared" si="30"/>
        <v>41291</v>
      </c>
      <c r="Y14" s="34">
        <f t="shared" si="31"/>
        <v>41292</v>
      </c>
      <c r="Z14" s="34">
        <f t="shared" si="32"/>
        <v>41293</v>
      </c>
      <c r="AB14" s="24" t="str">
        <f t="array" ref="AB14">IFERROR(IF(MATCH(8,DAY(T14:Z14),0),Z14,""),"")</f>
        <v/>
      </c>
      <c r="AC14" s="71">
        <f ca="1">IF(AND(T14&gt;=$AC$4,T14&lt;=$AU$4),IF(""=IFERROR(INDEX(INDIRECT("Data!C"&amp;$K$5,FALSE),MATCH(T14,Data!$A:$A,0)),$BX$12),$BX$11,IFERROR(INDEX(INDIRECT("Data!C"&amp;$K$5,FALSE),MATCH(T14,Data!$A:$A,0)),$BX$12)),"-")</f>
        <v>12</v>
      </c>
      <c r="AD14" s="71">
        <f ca="1">IF(AND(U14&gt;=$AC$4,U14&lt;=$AU$4),IF(""=IFERROR(INDEX(INDIRECT("Data!C"&amp;$K$5,FALSE),MATCH(U14,Data!$A:$A,0)),$BX$12),$BX$11,IFERROR(INDEX(INDIRECT("Data!C"&amp;$K$5,FALSE),MATCH(U14,Data!$A:$A,0)),$BX$12)),"-")</f>
        <v>158</v>
      </c>
      <c r="AE14" s="71">
        <f ca="1">IF(AND(V14&gt;=$AC$4,V14&lt;=$AU$4),IF(""=IFERROR(INDEX(INDIRECT("Data!C"&amp;$K$5,FALSE),MATCH(V14,Data!$A:$A,0)),$BX$12),$BX$11,IFERROR(INDEX(INDIRECT("Data!C"&amp;$K$5,FALSE),MATCH(V14,Data!$A:$A,0)),$BX$12)),"-")</f>
        <v>124</v>
      </c>
      <c r="AF14" s="71">
        <f ca="1">IF(AND(W14&gt;=$AC$4,W14&lt;=$AU$4),IF(""=IFERROR(INDEX(INDIRECT("Data!C"&amp;$K$5,FALSE),MATCH(W14,Data!$A:$A,0)),$BX$12),$BX$11,IFERROR(INDEX(INDIRECT("Data!C"&amp;$K$5,FALSE),MATCH(W14,Data!$A:$A,0)),$BX$12)),"-")</f>
        <v>181</v>
      </c>
      <c r="AG14" s="71">
        <f ca="1">IF(AND(X14&gt;=$AC$4,X14&lt;=$AU$4),IF(""=IFERROR(INDEX(INDIRECT("Data!C"&amp;$K$5,FALSE),MATCH(X14,Data!$A:$A,0)),$BX$12),$BX$11,IFERROR(INDEX(INDIRECT("Data!C"&amp;$K$5,FALSE),MATCH(X14,Data!$A:$A,0)),$BX$12)),"-")</f>
        <v>99</v>
      </c>
      <c r="AH14" s="71">
        <f ca="1">IF(AND(Y14&gt;=$AC$4,Y14&lt;=$AU$4),IF(""=IFERROR(INDEX(INDIRECT("Data!C"&amp;$K$5,FALSE),MATCH(Y14,Data!$A:$A,0)),$BX$12),$BX$11,IFERROR(INDEX(INDIRECT("Data!C"&amp;$K$5,FALSE),MATCH(Y14,Data!$A:$A,0)),$BX$12)),"-")</f>
        <v>191</v>
      </c>
      <c r="AI14" s="71">
        <f ca="1">IF(AND(Z14&gt;=$AC$4,Z14&lt;=$AU$4),IF(""=IFERROR(INDEX(INDIRECT("Data!C"&amp;$K$5,FALSE),MATCH(Z14,Data!$A:$A,0)),$BX$12),$BX$11,IFERROR(INDEX(INDIRECT("Data!C"&amp;$K$5,FALSE),MATCH(Z14,Data!$A:$A,0)),$BX$12)),"-")</f>
        <v>54</v>
      </c>
      <c r="AJ14" s="7"/>
      <c r="AL14" s="34">
        <f t="shared" ref="AL14:AL64" si="50">AL13+7</f>
        <v>41651</v>
      </c>
      <c r="AM14" s="34">
        <f t="shared" si="45"/>
        <v>41652</v>
      </c>
      <c r="AN14" s="34">
        <f t="shared" si="33"/>
        <v>41653</v>
      </c>
      <c r="AO14" s="34">
        <f t="shared" si="34"/>
        <v>41654</v>
      </c>
      <c r="AP14" s="34">
        <f t="shared" si="35"/>
        <v>41655</v>
      </c>
      <c r="AQ14" s="34">
        <f t="shared" si="36"/>
        <v>41656</v>
      </c>
      <c r="AR14" s="34">
        <f t="shared" si="37"/>
        <v>41657</v>
      </c>
      <c r="AT14" s="24" t="str">
        <f t="array" ref="AT14">IFERROR(IF(MATCH(8,DAY(AL14:AR14),0),AR14,""),"")</f>
        <v/>
      </c>
      <c r="AU14" s="71">
        <f ca="1">IF(AND(AL14&gt;=$AC$4,AL14&lt;=$AU$4),IF(""=IFERROR(INDEX(INDIRECT("Data!C"&amp;$K$5,FALSE),MATCH(AL14,Data!$A:$A,0)),$BX$12),$BX$11,IFERROR(INDEX(INDIRECT("Data!C"&amp;$K$5,FALSE),MATCH(AL14,Data!$A:$A,0)),$BX$12)),"-")</f>
        <v>22</v>
      </c>
      <c r="AV14" s="71">
        <f ca="1">IF(AND(AM14&gt;=$AC$4,AM14&lt;=$AU$4),IF(""=IFERROR(INDEX(INDIRECT("Data!C"&amp;$K$5,FALSE),MATCH(AM14,Data!$A:$A,0)),$BX$12),$BX$11,IFERROR(INDEX(INDIRECT("Data!C"&amp;$K$5,FALSE),MATCH(AM14,Data!$A:$A,0)),$BX$12)),"-")</f>
        <v>128</v>
      </c>
      <c r="AW14" s="71">
        <f ca="1">IF(AND(AN14&gt;=$AC$4,AN14&lt;=$AU$4),IF(""=IFERROR(INDEX(INDIRECT("Data!C"&amp;$K$5,FALSE),MATCH(AN14,Data!$A:$A,0)),$BX$12),$BX$11,IFERROR(INDEX(INDIRECT("Data!C"&amp;$K$5,FALSE),MATCH(AN14,Data!$A:$A,0)),$BX$12)),"-")</f>
        <v>211</v>
      </c>
      <c r="AX14" s="71">
        <f ca="1">IF(AND(AO14&gt;=$AC$4,AO14&lt;=$AU$4),IF(""=IFERROR(INDEX(INDIRECT("Data!C"&amp;$K$5,FALSE),MATCH(AO14,Data!$A:$A,0)),$BX$12),$BX$11,IFERROR(INDEX(INDIRECT("Data!C"&amp;$K$5,FALSE),MATCH(AO14,Data!$A:$A,0)),$BX$12)),"-")</f>
        <v>262</v>
      </c>
      <c r="AY14" s="71">
        <f ca="1">IF(AND(AP14&gt;=$AC$4,AP14&lt;=$AU$4),IF(""=IFERROR(INDEX(INDIRECT("Data!C"&amp;$K$5,FALSE),MATCH(AP14,Data!$A:$A,0)),$BX$12),$BX$11,IFERROR(INDEX(INDIRECT("Data!C"&amp;$K$5,FALSE),MATCH(AP14,Data!$A:$A,0)),$BX$12)),"-")</f>
        <v>205</v>
      </c>
      <c r="AZ14" s="71">
        <f ca="1">IF(AND(AQ14&gt;=$AC$4,AQ14&lt;=$AU$4),IF(""=IFERROR(INDEX(INDIRECT("Data!C"&amp;$K$5,FALSE),MATCH(AQ14,Data!$A:$A,0)),$BX$12),$BX$11,IFERROR(INDEX(INDIRECT("Data!C"&amp;$K$5,FALSE),MATCH(AQ14,Data!$A:$A,0)),$BX$12)),"-")</f>
        <v>147</v>
      </c>
      <c r="BA14" s="71">
        <f ca="1">IF(AND(AR14&gt;=$AC$4,AR14&lt;=$AU$4),IF(""=IFERROR(INDEX(INDIRECT("Data!C"&amp;$K$5,FALSE),MATCH(AR14,Data!$A:$A,0)),$BX$12),$BX$11,IFERROR(INDEX(INDIRECT("Data!C"&amp;$K$5,FALSE),MATCH(AR14,Data!$A:$A,0)),$BX$12)),"-")</f>
        <v>45</v>
      </c>
      <c r="BB14" s="7"/>
      <c r="BD14" s="34">
        <f t="shared" ref="BD14:BD64" si="51">BD13+7</f>
        <v>42015</v>
      </c>
      <c r="BE14" s="34">
        <f t="shared" si="46"/>
        <v>42016</v>
      </c>
      <c r="BF14" s="34">
        <f t="shared" si="38"/>
        <v>42017</v>
      </c>
      <c r="BG14" s="34">
        <f t="shared" si="39"/>
        <v>42018</v>
      </c>
      <c r="BH14" s="34">
        <f t="shared" si="40"/>
        <v>42019</v>
      </c>
      <c r="BI14" s="34">
        <f t="shared" si="41"/>
        <v>42020</v>
      </c>
      <c r="BJ14" s="34">
        <f t="shared" si="42"/>
        <v>42021</v>
      </c>
      <c r="BL14" s="24" t="str">
        <f t="array" ref="BL14">IFERROR(IF(MATCH(8,DAY(BD14:BJ14),0),BJ14,""),"")</f>
        <v/>
      </c>
      <c r="BM14" s="71">
        <f ca="1">IF(AND(BD14&gt;=$AC$4,BD14&lt;=$AU$4),IF(""=IFERROR(INDEX(INDIRECT("Data!C"&amp;$K$5,FALSE),MATCH(BD14,Data!$A:$A,0)),$BX$12),$BX$11,IFERROR(INDEX(INDIRECT("Data!C"&amp;$K$5,FALSE),MATCH(BD14,Data!$A:$A,0)),$BX$12)),"-")</f>
        <v>22</v>
      </c>
      <c r="BN14" s="71">
        <f ca="1">IF(AND(BE14&gt;=$AC$4,BE14&lt;=$AU$4),IF(""=IFERROR(INDEX(INDIRECT("Data!C"&amp;$K$5,FALSE),MATCH(BE14,Data!$A:$A,0)),$BX$12),$BX$11,IFERROR(INDEX(INDIRECT("Data!C"&amp;$K$5,FALSE),MATCH(BE14,Data!$A:$A,0)),$BX$12)),"-")</f>
        <v>195</v>
      </c>
      <c r="BO14" s="71">
        <f ca="1">IF(AND(BF14&gt;=$AC$4,BF14&lt;=$AU$4),IF(""=IFERROR(INDEX(INDIRECT("Data!C"&amp;$K$5,FALSE),MATCH(BF14,Data!$A:$A,0)),$BX$12),$BX$11,IFERROR(INDEX(INDIRECT("Data!C"&amp;$K$5,FALSE),MATCH(BF14,Data!$A:$A,0)),$BX$12)),"-")</f>
        <v>280</v>
      </c>
      <c r="BP14" s="71">
        <f ca="1">IF(AND(BG14&gt;=$AC$4,BG14&lt;=$AU$4),IF(""=IFERROR(INDEX(INDIRECT("Data!C"&amp;$K$5,FALSE),MATCH(BG14,Data!$A:$A,0)),$BX$12),$BX$11,IFERROR(INDEX(INDIRECT("Data!C"&amp;$K$5,FALSE),MATCH(BG14,Data!$A:$A,0)),$BX$12)),"-")</f>
        <v>275</v>
      </c>
      <c r="BQ14" s="71">
        <f ca="1">IF(AND(BH14&gt;=$AC$4,BH14&lt;=$AU$4),IF(""=IFERROR(INDEX(INDIRECT("Data!C"&amp;$K$5,FALSE),MATCH(BH14,Data!$A:$A,0)),$BX$12),$BX$11,IFERROR(INDEX(INDIRECT("Data!C"&amp;$K$5,FALSE),MATCH(BH14,Data!$A:$A,0)),$BX$12)),"-")</f>
        <v>233</v>
      </c>
      <c r="BR14" s="71">
        <f ca="1">IF(AND(BI14&gt;=$AC$4,BI14&lt;=$AU$4),IF(""=IFERROR(INDEX(INDIRECT("Data!C"&amp;$K$5,FALSE),MATCH(BI14,Data!$A:$A,0)),$BX$12),$BX$11,IFERROR(INDEX(INDIRECT("Data!C"&amp;$K$5,FALSE),MATCH(BI14,Data!$A:$A,0)),$BX$12)),"-")</f>
        <v>116</v>
      </c>
      <c r="BS14" s="71">
        <f ca="1">IF(AND(BJ14&gt;=$AC$4,BJ14&lt;=$AU$4),IF(""=IFERROR(INDEX(INDIRECT("Data!C"&amp;$K$5,FALSE),MATCH(BJ14,Data!$A:$A,0)),$BX$12),$BX$11,IFERROR(INDEX(INDIRECT("Data!C"&amp;$K$5,FALSE),MATCH(BJ14,Data!$A:$A,0)),$BX$12)),"-")</f>
        <v>67</v>
      </c>
      <c r="BT14" s="7"/>
      <c r="BU14" s="58">
        <f t="shared" ca="1" si="47"/>
        <v>133.07142857142858</v>
      </c>
      <c r="BW14" s="66" t="s">
        <v>30</v>
      </c>
      <c r="BX14" s="64" t="s">
        <v>38</v>
      </c>
    </row>
    <row r="15" spans="1:78" ht="12" customHeight="1" x14ac:dyDescent="0.2">
      <c r="B15" s="34">
        <f t="shared" si="48"/>
        <v>40930</v>
      </c>
      <c r="C15" s="34">
        <f t="shared" si="43"/>
        <v>40931</v>
      </c>
      <c r="D15" s="34">
        <f t="shared" si="43"/>
        <v>40932</v>
      </c>
      <c r="E15" s="34">
        <f t="shared" si="43"/>
        <v>40933</v>
      </c>
      <c r="F15" s="34">
        <f t="shared" si="43"/>
        <v>40934</v>
      </c>
      <c r="G15" s="34">
        <f t="shared" si="43"/>
        <v>40935</v>
      </c>
      <c r="H15" s="34">
        <f t="shared" si="43"/>
        <v>40936</v>
      </c>
      <c r="J15" s="24" t="str">
        <f t="array" ref="J15">IFERROR(IF(MATCH(8,DAY(B15:H15),0),H15,""),"")</f>
        <v/>
      </c>
      <c r="K15" s="71">
        <f ca="1">IF(AND(B15&gt;=$AC$4,B15&lt;=$AU$4),IF(""=IFERROR(INDEX(INDIRECT("Data!C"&amp;$K$5,FALSE),MATCH(B15,Data!$A:$A,0)),$BX$12),$BX$11,IFERROR(INDEX(INDIRECT("Data!C"&amp;$K$5,FALSE),MATCH(B15,Data!$A:$A,0)),$BX$12)),"-")</f>
        <v>30</v>
      </c>
      <c r="L15" s="71">
        <f ca="1">IF(AND(C15&gt;=$AC$4,C15&lt;=$AU$4),IF(""=IFERROR(INDEX(INDIRECT("Data!C"&amp;$K$5,FALSE),MATCH(C15,Data!$A:$A,0)),$BX$12),$BX$11,IFERROR(INDEX(INDIRECT("Data!C"&amp;$K$5,FALSE),MATCH(C15,Data!$A:$A,0)),$BX$12)),"-")</f>
        <v>264</v>
      </c>
      <c r="M15" s="71">
        <f ca="1">IF(AND(D15&gt;=$AC$4,D15&lt;=$AU$4),IF(""=IFERROR(INDEX(INDIRECT("Data!C"&amp;$K$5,FALSE),MATCH(D15,Data!$A:$A,0)),$BX$12),$BX$11,IFERROR(INDEX(INDIRECT("Data!C"&amp;$K$5,FALSE),MATCH(D15,Data!$A:$A,0)),$BX$12)),"-")</f>
        <v>131</v>
      </c>
      <c r="N15" s="71">
        <f ca="1">IF(AND(E15&gt;=$AC$4,E15&lt;=$AU$4),IF(""=IFERROR(INDEX(INDIRECT("Data!C"&amp;$K$5,FALSE),MATCH(E15,Data!$A:$A,0)),$BX$12),$BX$11,IFERROR(INDEX(INDIRECT("Data!C"&amp;$K$5,FALSE),MATCH(E15,Data!$A:$A,0)),$BX$12)),"-")</f>
        <v>163</v>
      </c>
      <c r="O15" s="71">
        <f ca="1">IF(AND(F15&gt;=$AC$4,F15&lt;=$AU$4),IF(""=IFERROR(INDEX(INDIRECT("Data!C"&amp;$K$5,FALSE),MATCH(F15,Data!$A:$A,0)),$BX$12),$BX$11,IFERROR(INDEX(INDIRECT("Data!C"&amp;$K$5,FALSE),MATCH(F15,Data!$A:$A,0)),$BX$12)),"-")</f>
        <v>101</v>
      </c>
      <c r="P15" s="71">
        <f ca="1">IF(AND(G15&gt;=$AC$4,G15&lt;=$AU$4),IF(""=IFERROR(INDEX(INDIRECT("Data!C"&amp;$K$5,FALSE),MATCH(G15,Data!$A:$A,0)),$BX$12),$BX$11,IFERROR(INDEX(INDIRECT("Data!C"&amp;$K$5,FALSE),MATCH(G15,Data!$A:$A,0)),$BX$12)),"-")</f>
        <v>130</v>
      </c>
      <c r="Q15" s="71">
        <f ca="1">IF(AND(H15&gt;=$AC$4,H15&lt;=$AU$4),IF(""=IFERROR(INDEX(INDIRECT("Data!C"&amp;$K$5,FALSE),MATCH(H15,Data!$A:$A,0)),$BX$12),$BX$11,IFERROR(INDEX(INDIRECT("Data!C"&amp;$K$5,FALSE),MATCH(H15,Data!$A:$A,0)),$BX$12)),"-")</f>
        <v>43</v>
      </c>
      <c r="R15" s="7"/>
      <c r="T15" s="34">
        <f t="shared" si="49"/>
        <v>41294</v>
      </c>
      <c r="U15" s="34">
        <f t="shared" si="44"/>
        <v>41295</v>
      </c>
      <c r="V15" s="34">
        <f t="shared" si="28"/>
        <v>41296</v>
      </c>
      <c r="W15" s="34">
        <f t="shared" si="29"/>
        <v>41297</v>
      </c>
      <c r="X15" s="34">
        <f t="shared" si="30"/>
        <v>41298</v>
      </c>
      <c r="Y15" s="34">
        <f t="shared" si="31"/>
        <v>41299</v>
      </c>
      <c r="Z15" s="34">
        <f t="shared" si="32"/>
        <v>41300</v>
      </c>
      <c r="AB15" s="24" t="str">
        <f t="array" ref="AB15">IFERROR(IF(MATCH(8,DAY(T15:Z15),0),Z15,""),"")</f>
        <v/>
      </c>
      <c r="AC15" s="71">
        <f ca="1">IF(AND(T15&gt;=$AC$4,T15&lt;=$AU$4),IF(""=IFERROR(INDEX(INDIRECT("Data!C"&amp;$K$5,FALSE),MATCH(T15,Data!$A:$A,0)),$BX$12),$BX$11,IFERROR(INDEX(INDIRECT("Data!C"&amp;$K$5,FALSE),MATCH(T15,Data!$A:$A,0)),$BX$12)),"-")</f>
        <v>22</v>
      </c>
      <c r="AD15" s="71">
        <f ca="1">IF(AND(U15&gt;=$AC$4,U15&lt;=$AU$4),IF(""=IFERROR(INDEX(INDIRECT("Data!C"&amp;$K$5,FALSE),MATCH(U15,Data!$A:$A,0)),$BX$12),$BX$11,IFERROR(INDEX(INDIRECT("Data!C"&amp;$K$5,FALSE),MATCH(U15,Data!$A:$A,0)),$BX$12)),"-")</f>
        <v>208</v>
      </c>
      <c r="AE15" s="71">
        <f ca="1">IF(AND(V15&gt;=$AC$4,V15&lt;=$AU$4),IF(""=IFERROR(INDEX(INDIRECT("Data!C"&amp;$K$5,FALSE),MATCH(V15,Data!$A:$A,0)),$BX$12),$BX$11,IFERROR(INDEX(INDIRECT("Data!C"&amp;$K$5,FALSE),MATCH(V15,Data!$A:$A,0)),$BX$12)),"-")</f>
        <v>132</v>
      </c>
      <c r="AF15" s="71">
        <f ca="1">IF(AND(W15&gt;=$AC$4,W15&lt;=$AU$4),IF(""=IFERROR(INDEX(INDIRECT("Data!C"&amp;$K$5,FALSE),MATCH(W15,Data!$A:$A,0)),$BX$12),$BX$11,IFERROR(INDEX(INDIRECT("Data!C"&amp;$K$5,FALSE),MATCH(W15,Data!$A:$A,0)),$BX$12)),"-")</f>
        <v>279</v>
      </c>
      <c r="AG15" s="71">
        <f ca="1">IF(AND(X15&gt;=$AC$4,X15&lt;=$AU$4),IF(""=IFERROR(INDEX(INDIRECT("Data!C"&amp;$K$5,FALSE),MATCH(X15,Data!$A:$A,0)),$BX$12),$BX$11,IFERROR(INDEX(INDIRECT("Data!C"&amp;$K$5,FALSE),MATCH(X15,Data!$A:$A,0)),$BX$12)),"-")</f>
        <v>143</v>
      </c>
      <c r="AH15" s="71">
        <f ca="1">IF(AND(Y15&gt;=$AC$4,Y15&lt;=$AU$4),IF(""=IFERROR(INDEX(INDIRECT("Data!C"&amp;$K$5,FALSE),MATCH(Y15,Data!$A:$A,0)),$BX$12),$BX$11,IFERROR(INDEX(INDIRECT("Data!C"&amp;$K$5,FALSE),MATCH(Y15,Data!$A:$A,0)),$BX$12)),"-")</f>
        <v>115</v>
      </c>
      <c r="AI15" s="71">
        <f ca="1">IF(AND(Z15&gt;=$AC$4,Z15&lt;=$AU$4),IF(""=IFERROR(INDEX(INDIRECT("Data!C"&amp;$K$5,FALSE),MATCH(Z15,Data!$A:$A,0)),$BX$12),$BX$11,IFERROR(INDEX(INDIRECT("Data!C"&amp;$K$5,FALSE),MATCH(Z15,Data!$A:$A,0)),$BX$12)),"-")</f>
        <v>72</v>
      </c>
      <c r="AJ15" s="7"/>
      <c r="AL15" s="34">
        <f t="shared" si="50"/>
        <v>41658</v>
      </c>
      <c r="AM15" s="34">
        <f t="shared" si="45"/>
        <v>41659</v>
      </c>
      <c r="AN15" s="34">
        <f t="shared" si="33"/>
        <v>41660</v>
      </c>
      <c r="AO15" s="34">
        <f t="shared" si="34"/>
        <v>41661</v>
      </c>
      <c r="AP15" s="34">
        <f t="shared" si="35"/>
        <v>41662</v>
      </c>
      <c r="AQ15" s="34">
        <f t="shared" si="36"/>
        <v>41663</v>
      </c>
      <c r="AR15" s="34">
        <f t="shared" si="37"/>
        <v>41664</v>
      </c>
      <c r="AT15" s="24" t="str">
        <f t="array" ref="AT15">IFERROR(IF(MATCH(8,DAY(AL15:AR15),0),AR15,""),"")</f>
        <v/>
      </c>
      <c r="AU15" s="71">
        <f ca="1">IF(AND(AL15&gt;=$AC$4,AL15&lt;=$AU$4),IF(""=IFERROR(INDEX(INDIRECT("Data!C"&amp;$K$5,FALSE),MATCH(AL15,Data!$A:$A,0)),$BX$12),$BX$11,IFERROR(INDEX(INDIRECT("Data!C"&amp;$K$5,FALSE),MATCH(AL15,Data!$A:$A,0)),$BX$12)),"-")</f>
        <v>17</v>
      </c>
      <c r="AV15" s="71">
        <f ca="1">IF(AND(AM15&gt;=$AC$4,AM15&lt;=$AU$4),IF(""=IFERROR(INDEX(INDIRECT("Data!C"&amp;$K$5,FALSE),MATCH(AM15,Data!$A:$A,0)),$BX$12),$BX$11,IFERROR(INDEX(INDIRECT("Data!C"&amp;$K$5,FALSE),MATCH(AM15,Data!$A:$A,0)),$BX$12)),"-")</f>
        <v>329</v>
      </c>
      <c r="AW15" s="71">
        <f ca="1">IF(AND(AN15&gt;=$AC$4,AN15&lt;=$AU$4),IF(""=IFERROR(INDEX(INDIRECT("Data!C"&amp;$K$5,FALSE),MATCH(AN15,Data!$A:$A,0)),$BX$12),$BX$11,IFERROR(INDEX(INDIRECT("Data!C"&amp;$K$5,FALSE),MATCH(AN15,Data!$A:$A,0)),$BX$12)),"-")</f>
        <v>220</v>
      </c>
      <c r="AX15" s="71">
        <f ca="1">IF(AND(AO15&gt;=$AC$4,AO15&lt;=$AU$4),IF(""=IFERROR(INDEX(INDIRECT("Data!C"&amp;$K$5,FALSE),MATCH(AO15,Data!$A:$A,0)),$BX$12),$BX$11,IFERROR(INDEX(INDIRECT("Data!C"&amp;$K$5,FALSE),MATCH(AO15,Data!$A:$A,0)),$BX$12)),"-")</f>
        <v>220</v>
      </c>
      <c r="AY15" s="71">
        <f ca="1">IF(AND(AP15&gt;=$AC$4,AP15&lt;=$AU$4),IF(""=IFERROR(INDEX(INDIRECT("Data!C"&amp;$K$5,FALSE),MATCH(AP15,Data!$A:$A,0)),$BX$12),$BX$11,IFERROR(INDEX(INDIRECT("Data!C"&amp;$K$5,FALSE),MATCH(AP15,Data!$A:$A,0)),$BX$12)),"-")</f>
        <v>238</v>
      </c>
      <c r="AZ15" s="71">
        <f ca="1">IF(AND(AQ15&gt;=$AC$4,AQ15&lt;=$AU$4),IF(""=IFERROR(INDEX(INDIRECT("Data!C"&amp;$K$5,FALSE),MATCH(AQ15,Data!$A:$A,0)),$BX$12),$BX$11,IFERROR(INDEX(INDIRECT("Data!C"&amp;$K$5,FALSE),MATCH(AQ15,Data!$A:$A,0)),$BX$12)),"-")</f>
        <v>197</v>
      </c>
      <c r="BA15" s="71">
        <f ca="1">IF(AND(AR15&gt;=$AC$4,AR15&lt;=$AU$4),IF(""=IFERROR(INDEX(INDIRECT("Data!C"&amp;$K$5,FALSE),MATCH(AR15,Data!$A:$A,0)),$BX$12),$BX$11,IFERROR(INDEX(INDIRECT("Data!C"&amp;$K$5,FALSE),MATCH(AR15,Data!$A:$A,0)),$BX$12)),"-")</f>
        <v>56</v>
      </c>
      <c r="BB15" s="7"/>
      <c r="BD15" s="34">
        <f t="shared" si="51"/>
        <v>42022</v>
      </c>
      <c r="BE15" s="34">
        <f t="shared" si="46"/>
        <v>42023</v>
      </c>
      <c r="BF15" s="34">
        <f t="shared" si="38"/>
        <v>42024</v>
      </c>
      <c r="BG15" s="34">
        <f t="shared" si="39"/>
        <v>42025</v>
      </c>
      <c r="BH15" s="34">
        <f t="shared" si="40"/>
        <v>42026</v>
      </c>
      <c r="BI15" s="34">
        <f t="shared" si="41"/>
        <v>42027</v>
      </c>
      <c r="BJ15" s="34">
        <f t="shared" si="42"/>
        <v>42028</v>
      </c>
      <c r="BL15" s="24" t="str">
        <f t="array" ref="BL15">IFERROR(IF(MATCH(8,DAY(BD15:BJ15),0),BJ15,""),"")</f>
        <v/>
      </c>
      <c r="BM15" s="71">
        <f ca="1">IF(AND(BD15&gt;=$AC$4,BD15&lt;=$AU$4),IF(""=IFERROR(INDEX(INDIRECT("Data!C"&amp;$K$5,FALSE),MATCH(BD15,Data!$A:$A,0)),$BX$12),$BX$11,IFERROR(INDEX(INDIRECT("Data!C"&amp;$K$5,FALSE),MATCH(BD15,Data!$A:$A,0)),$BX$12)),"-")</f>
        <v>37</v>
      </c>
      <c r="BN15" s="71">
        <f ca="1">IF(AND(BE15&gt;=$AC$4,BE15&lt;=$AU$4),IF(""=IFERROR(INDEX(INDIRECT("Data!C"&amp;$K$5,FALSE),MATCH(BE15,Data!$A:$A,0)),$BX$12),$BX$11,IFERROR(INDEX(INDIRECT("Data!C"&amp;$K$5,FALSE),MATCH(BE15,Data!$A:$A,0)),$BX$12)),"-")</f>
        <v>362</v>
      </c>
      <c r="BO15" s="71">
        <f ca="1">IF(AND(BF15&gt;=$AC$4,BF15&lt;=$AU$4),IF(""=IFERROR(INDEX(INDIRECT("Data!C"&amp;$K$5,FALSE),MATCH(BF15,Data!$A:$A,0)),$BX$12),$BX$11,IFERROR(INDEX(INDIRECT("Data!C"&amp;$K$5,FALSE),MATCH(BF15,Data!$A:$A,0)),$BX$12)),"-")</f>
        <v>336</v>
      </c>
      <c r="BP15" s="71">
        <f ca="1">IF(AND(BG15&gt;=$AC$4,BG15&lt;=$AU$4),IF(""=IFERROR(INDEX(INDIRECT("Data!C"&amp;$K$5,FALSE),MATCH(BG15,Data!$A:$A,0)),$BX$12),$BX$11,IFERROR(INDEX(INDIRECT("Data!C"&amp;$K$5,FALSE),MATCH(BG15,Data!$A:$A,0)),$BX$12)),"-")</f>
        <v>201</v>
      </c>
      <c r="BQ15" s="71">
        <f ca="1">IF(AND(BH15&gt;=$AC$4,BH15&lt;=$AU$4),IF(""=IFERROR(INDEX(INDIRECT("Data!C"&amp;$K$5,FALSE),MATCH(BH15,Data!$A:$A,0)),$BX$12),$BX$11,IFERROR(INDEX(INDIRECT("Data!C"&amp;$K$5,FALSE),MATCH(BH15,Data!$A:$A,0)),$BX$12)),"-")</f>
        <v>165</v>
      </c>
      <c r="BR15" s="71">
        <f ca="1">IF(AND(BI15&gt;=$AC$4,BI15&lt;=$AU$4),IF(""=IFERROR(INDEX(INDIRECT("Data!C"&amp;$K$5,FALSE),MATCH(BI15,Data!$A:$A,0)),$BX$12),$BX$11,IFERROR(INDEX(INDIRECT("Data!C"&amp;$K$5,FALSE),MATCH(BI15,Data!$A:$A,0)),$BX$12)),"-")</f>
        <v>217</v>
      </c>
      <c r="BS15" s="71">
        <f ca="1">IF(AND(BJ15&gt;=$AC$4,BJ15&lt;=$AU$4),IF(""=IFERROR(INDEX(INDIRECT("Data!C"&amp;$K$5,FALSE),MATCH(BJ15,Data!$A:$A,0)),$BX$12),$BX$11,IFERROR(INDEX(INDIRECT("Data!C"&amp;$K$5,FALSE),MATCH(BJ15,Data!$A:$A,0)),$BX$12)),"-")</f>
        <v>79</v>
      </c>
      <c r="BT15" s="7"/>
      <c r="BU15" s="58">
        <f t="shared" ca="1" si="47"/>
        <v>160.96428571428572</v>
      </c>
      <c r="BW15" s="63"/>
      <c r="BX15" s="59"/>
    </row>
    <row r="16" spans="1:78" ht="12" customHeight="1" x14ac:dyDescent="0.2">
      <c r="B16" s="34">
        <f t="shared" si="48"/>
        <v>40937</v>
      </c>
      <c r="C16" s="34">
        <f t="shared" si="43"/>
        <v>40938</v>
      </c>
      <c r="D16" s="34">
        <f t="shared" si="43"/>
        <v>40939</v>
      </c>
      <c r="E16" s="34">
        <f t="shared" si="43"/>
        <v>40940</v>
      </c>
      <c r="F16" s="34">
        <f t="shared" si="43"/>
        <v>40941</v>
      </c>
      <c r="G16" s="34">
        <f t="shared" si="43"/>
        <v>40942</v>
      </c>
      <c r="H16" s="34">
        <f t="shared" si="43"/>
        <v>40943</v>
      </c>
      <c r="J16" s="24" t="str">
        <f t="array" ref="J16">IFERROR(IF(MATCH(8,DAY(B16:H16),0),H16,""),"")</f>
        <v/>
      </c>
      <c r="K16" s="71">
        <f ca="1">IF(AND(B16&gt;=$AC$4,B16&lt;=$AU$4),IF(""=IFERROR(INDEX(INDIRECT("Data!C"&amp;$K$5,FALSE),MATCH(B16,Data!$A:$A,0)),$BX$12),$BX$11,IFERROR(INDEX(INDIRECT("Data!C"&amp;$K$5,FALSE),MATCH(B16,Data!$A:$A,0)),$BX$12)),"-")</f>
        <v>25</v>
      </c>
      <c r="L16" s="71">
        <f ca="1">IF(AND(C16&gt;=$AC$4,C16&lt;=$AU$4),IF(""=IFERROR(INDEX(INDIRECT("Data!C"&amp;$K$5,FALSE),MATCH(C16,Data!$A:$A,0)),$BX$12),$BX$11,IFERROR(INDEX(INDIRECT("Data!C"&amp;$K$5,FALSE),MATCH(C16,Data!$A:$A,0)),$BX$12)),"-")</f>
        <v>324</v>
      </c>
      <c r="M16" s="71">
        <f ca="1">IF(AND(D16&gt;=$AC$4,D16&lt;=$AU$4),IF(""=IFERROR(INDEX(INDIRECT("Data!C"&amp;$K$5,FALSE),MATCH(D16,Data!$A:$A,0)),$BX$12),$BX$11,IFERROR(INDEX(INDIRECT("Data!C"&amp;$K$5,FALSE),MATCH(D16,Data!$A:$A,0)),$BX$12)),"-")</f>
        <v>168</v>
      </c>
      <c r="N16" s="71">
        <f ca="1">IF(AND(E16&gt;=$AC$4,E16&lt;=$AU$4),IF(""=IFERROR(INDEX(INDIRECT("Data!C"&amp;$K$5,FALSE),MATCH(E16,Data!$A:$A,0)),$BX$12),$BX$11,IFERROR(INDEX(INDIRECT("Data!C"&amp;$K$5,FALSE),MATCH(E16,Data!$A:$A,0)),$BX$12)),"-")</f>
        <v>232</v>
      </c>
      <c r="O16" s="71">
        <f ca="1">IF(AND(F16&gt;=$AC$4,F16&lt;=$AU$4),IF(""=IFERROR(INDEX(INDIRECT("Data!C"&amp;$K$5,FALSE),MATCH(F16,Data!$A:$A,0)),$BX$12),$BX$11,IFERROR(INDEX(INDIRECT("Data!C"&amp;$K$5,FALSE),MATCH(F16,Data!$A:$A,0)),$BX$12)),"-")</f>
        <v>147</v>
      </c>
      <c r="P16" s="71">
        <f ca="1">IF(AND(G16&gt;=$AC$4,G16&lt;=$AU$4),IF(""=IFERROR(INDEX(INDIRECT("Data!C"&amp;$K$5,FALSE),MATCH(G16,Data!$A:$A,0)),$BX$12),$BX$11,IFERROR(INDEX(INDIRECT("Data!C"&amp;$K$5,FALSE),MATCH(G16,Data!$A:$A,0)),$BX$12)),"-")</f>
        <v>128</v>
      </c>
      <c r="Q16" s="71">
        <f ca="1">IF(AND(H16&gt;=$AC$4,H16&lt;=$AU$4),IF(""=IFERROR(INDEX(INDIRECT("Data!C"&amp;$K$5,FALSE),MATCH(H16,Data!$A:$A,0)),$BX$12),$BX$11,IFERROR(INDEX(INDIRECT("Data!C"&amp;$K$5,FALSE),MATCH(H16,Data!$A:$A,0)),$BX$12)),"-")</f>
        <v>43</v>
      </c>
      <c r="R16" s="7"/>
      <c r="T16" s="34">
        <f t="shared" si="49"/>
        <v>41301</v>
      </c>
      <c r="U16" s="34">
        <f t="shared" si="44"/>
        <v>41302</v>
      </c>
      <c r="V16" s="34">
        <f t="shared" si="28"/>
        <v>41303</v>
      </c>
      <c r="W16" s="34">
        <f t="shared" si="29"/>
        <v>41304</v>
      </c>
      <c r="X16" s="34">
        <f t="shared" si="30"/>
        <v>41305</v>
      </c>
      <c r="Y16" s="34">
        <f t="shared" si="31"/>
        <v>41306</v>
      </c>
      <c r="Z16" s="34">
        <f t="shared" si="32"/>
        <v>41307</v>
      </c>
      <c r="AB16" s="24" t="str">
        <f t="array" ref="AB16">IFERROR(IF(MATCH(8,DAY(T16:Z16),0),Z16,""),"")</f>
        <v/>
      </c>
      <c r="AC16" s="71">
        <f ca="1">IF(AND(T16&gt;=$AC$4,T16&lt;=$AU$4),IF(""=IFERROR(INDEX(INDIRECT("Data!C"&amp;$K$5,FALSE),MATCH(T16,Data!$A:$A,0)),$BX$12),$BX$11,IFERROR(INDEX(INDIRECT("Data!C"&amp;$K$5,FALSE),MATCH(T16,Data!$A:$A,0)),$BX$12)),"-")</f>
        <v>19</v>
      </c>
      <c r="AD16" s="71">
        <f ca="1">IF(AND(U16&gt;=$AC$4,U16&lt;=$AU$4),IF(""=IFERROR(INDEX(INDIRECT("Data!C"&amp;$K$5,FALSE),MATCH(U16,Data!$A:$A,0)),$BX$12),$BX$11,IFERROR(INDEX(INDIRECT("Data!C"&amp;$K$5,FALSE),MATCH(U16,Data!$A:$A,0)),$BX$12)),"-")</f>
        <v>271</v>
      </c>
      <c r="AE16" s="71">
        <f ca="1">IF(AND(V16&gt;=$AC$4,V16&lt;=$AU$4),IF(""=IFERROR(INDEX(INDIRECT("Data!C"&amp;$K$5,FALSE),MATCH(V16,Data!$A:$A,0)),$BX$12),$BX$11,IFERROR(INDEX(INDIRECT("Data!C"&amp;$K$5,FALSE),MATCH(V16,Data!$A:$A,0)),$BX$12)),"-")</f>
        <v>259</v>
      </c>
      <c r="AF16" s="71">
        <f ca="1">IF(AND(W16&gt;=$AC$4,W16&lt;=$AU$4),IF(""=IFERROR(INDEX(INDIRECT("Data!C"&amp;$K$5,FALSE),MATCH(W16,Data!$A:$A,0)),$BX$12),$BX$11,IFERROR(INDEX(INDIRECT("Data!C"&amp;$K$5,FALSE),MATCH(W16,Data!$A:$A,0)),$BX$12)),"-")</f>
        <v>200</v>
      </c>
      <c r="AG16" s="71">
        <f ca="1">IF(AND(X16&gt;=$AC$4,X16&lt;=$AU$4),IF(""=IFERROR(INDEX(INDIRECT("Data!C"&amp;$K$5,FALSE),MATCH(X16,Data!$A:$A,0)),$BX$12),$BX$11,IFERROR(INDEX(INDIRECT("Data!C"&amp;$K$5,FALSE),MATCH(X16,Data!$A:$A,0)),$BX$12)),"-")</f>
        <v>169</v>
      </c>
      <c r="AH16" s="71">
        <f ca="1">IF(AND(Y16&gt;=$AC$4,Y16&lt;=$AU$4),IF(""=IFERROR(INDEX(INDIRECT("Data!C"&amp;$K$5,FALSE),MATCH(Y16,Data!$A:$A,0)),$BX$12),$BX$11,IFERROR(INDEX(INDIRECT("Data!C"&amp;$K$5,FALSE),MATCH(Y16,Data!$A:$A,0)),$BX$12)),"-")</f>
        <v>134</v>
      </c>
      <c r="AI16" s="71">
        <f ca="1">IF(AND(Z16&gt;=$AC$4,Z16&lt;=$AU$4),IF(""=IFERROR(INDEX(INDIRECT("Data!C"&amp;$K$5,FALSE),MATCH(Z16,Data!$A:$A,0)),$BX$12),$BX$11,IFERROR(INDEX(INDIRECT("Data!C"&amp;$K$5,FALSE),MATCH(Z16,Data!$A:$A,0)),$BX$12)),"-")</f>
        <v>54</v>
      </c>
      <c r="AJ16" s="7"/>
      <c r="AL16" s="34">
        <f t="shared" si="50"/>
        <v>41665</v>
      </c>
      <c r="AM16" s="34">
        <f t="shared" si="45"/>
        <v>41666</v>
      </c>
      <c r="AN16" s="34">
        <f t="shared" si="33"/>
        <v>41667</v>
      </c>
      <c r="AO16" s="34">
        <f t="shared" si="34"/>
        <v>41668</v>
      </c>
      <c r="AP16" s="34">
        <f t="shared" si="35"/>
        <v>41669</v>
      </c>
      <c r="AQ16" s="34">
        <f t="shared" si="36"/>
        <v>41670</v>
      </c>
      <c r="AR16" s="34">
        <f t="shared" si="37"/>
        <v>41671</v>
      </c>
      <c r="AT16" s="24" t="str">
        <f t="array" ref="AT16">IFERROR(IF(MATCH(8,DAY(AL16:AR16),0),AR16,""),"")</f>
        <v/>
      </c>
      <c r="AU16" s="71">
        <f ca="1">IF(AND(AL16&gt;=$AC$4,AL16&lt;=$AU$4),IF(""=IFERROR(INDEX(INDIRECT("Data!C"&amp;$K$5,FALSE),MATCH(AL16,Data!$A:$A,0)),$BX$12),$BX$11,IFERROR(INDEX(INDIRECT("Data!C"&amp;$K$5,FALSE),MATCH(AL16,Data!$A:$A,0)),$BX$12)),"-")</f>
        <v>31</v>
      </c>
      <c r="AV16" s="71">
        <f ca="1">IF(AND(AM16&gt;=$AC$4,AM16&lt;=$AU$4),IF(""=IFERROR(INDEX(INDIRECT("Data!C"&amp;$K$5,FALSE),MATCH(AM16,Data!$A:$A,0)),$BX$12),$BX$11,IFERROR(INDEX(INDIRECT("Data!C"&amp;$K$5,FALSE),MATCH(AM16,Data!$A:$A,0)),$BX$12)),"-")</f>
        <v>311</v>
      </c>
      <c r="AW16" s="71">
        <f ca="1">IF(AND(AN16&gt;=$AC$4,AN16&lt;=$AU$4),IF(""=IFERROR(INDEX(INDIRECT("Data!C"&amp;$K$5,FALSE),MATCH(AN16,Data!$A:$A,0)),$BX$12),$BX$11,IFERROR(INDEX(INDIRECT("Data!C"&amp;$K$5,FALSE),MATCH(AN16,Data!$A:$A,0)),$BX$12)),"-")</f>
        <v>283</v>
      </c>
      <c r="AX16" s="71">
        <f ca="1">IF(AND(AO16&gt;=$AC$4,AO16&lt;=$AU$4),IF(""=IFERROR(INDEX(INDIRECT("Data!C"&amp;$K$5,FALSE),MATCH(AO16,Data!$A:$A,0)),$BX$12),$BX$11,IFERROR(INDEX(INDIRECT("Data!C"&amp;$K$5,FALSE),MATCH(AO16,Data!$A:$A,0)),$BX$12)),"-")</f>
        <v>227</v>
      </c>
      <c r="AY16" s="71">
        <f ca="1">IF(AND(AP16&gt;=$AC$4,AP16&lt;=$AU$4),IF(""=IFERROR(INDEX(INDIRECT("Data!C"&amp;$K$5,FALSE),MATCH(AP16,Data!$A:$A,0)),$BX$12),$BX$11,IFERROR(INDEX(INDIRECT("Data!C"&amp;$K$5,FALSE),MATCH(AP16,Data!$A:$A,0)),$BX$12)),"-")</f>
        <v>204</v>
      </c>
      <c r="AZ16" s="71">
        <f ca="1">IF(AND(AQ16&gt;=$AC$4,AQ16&lt;=$AU$4),IF(""=IFERROR(INDEX(INDIRECT("Data!C"&amp;$K$5,FALSE),MATCH(AQ16,Data!$A:$A,0)),$BX$12),$BX$11,IFERROR(INDEX(INDIRECT("Data!C"&amp;$K$5,FALSE),MATCH(AQ16,Data!$A:$A,0)),$BX$12)),"-")</f>
        <v>179</v>
      </c>
      <c r="BA16" s="71">
        <f ca="1">IF(AND(AR16&gt;=$AC$4,AR16&lt;=$AU$4),IF(""=IFERROR(INDEX(INDIRECT("Data!C"&amp;$K$5,FALSE),MATCH(AR16,Data!$A:$A,0)),$BX$12),$BX$11,IFERROR(INDEX(INDIRECT("Data!C"&amp;$K$5,FALSE),MATCH(AR16,Data!$A:$A,0)),$BX$12)),"-")</f>
        <v>80</v>
      </c>
      <c r="BB16" s="7"/>
      <c r="BD16" s="34">
        <f t="shared" si="51"/>
        <v>42029</v>
      </c>
      <c r="BE16" s="34">
        <f t="shared" si="46"/>
        <v>42030</v>
      </c>
      <c r="BF16" s="34">
        <f t="shared" si="38"/>
        <v>42031</v>
      </c>
      <c r="BG16" s="34">
        <f t="shared" si="39"/>
        <v>42032</v>
      </c>
      <c r="BH16" s="34">
        <f t="shared" si="40"/>
        <v>42033</v>
      </c>
      <c r="BI16" s="34">
        <f t="shared" si="41"/>
        <v>42034</v>
      </c>
      <c r="BJ16" s="34">
        <f t="shared" si="42"/>
        <v>42035</v>
      </c>
      <c r="BL16" s="24" t="str">
        <f t="array" ref="BL16">IFERROR(IF(MATCH(8,DAY(BD16:BJ16),0),BJ16,""),"")</f>
        <v/>
      </c>
      <c r="BM16" s="71">
        <f ca="1">IF(AND(BD16&gt;=$AC$4,BD16&lt;=$AU$4),IF(""=IFERROR(INDEX(INDIRECT("Data!C"&amp;$K$5,FALSE),MATCH(BD16,Data!$A:$A,0)),$BX$12),$BX$11,IFERROR(INDEX(INDIRECT("Data!C"&amp;$K$5,FALSE),MATCH(BD16,Data!$A:$A,0)),$BX$12)),"-")</f>
        <v>31</v>
      </c>
      <c r="BN16" s="71">
        <f ca="1">IF(AND(BE16&gt;=$AC$4,BE16&lt;=$AU$4),IF(""=IFERROR(INDEX(INDIRECT("Data!C"&amp;$K$5,FALSE),MATCH(BE16,Data!$A:$A,0)),$BX$12),$BX$11,IFERROR(INDEX(INDIRECT("Data!C"&amp;$K$5,FALSE),MATCH(BE16,Data!$A:$A,0)),$BX$12)),"-")</f>
        <v>432</v>
      </c>
      <c r="BO16" s="71">
        <f ca="1">IF(AND(BF16&gt;=$AC$4,BF16&lt;=$AU$4),IF(""=IFERROR(INDEX(INDIRECT("Data!C"&amp;$K$5,FALSE),MATCH(BF16,Data!$A:$A,0)),$BX$12),$BX$11,IFERROR(INDEX(INDIRECT("Data!C"&amp;$K$5,FALSE),MATCH(BF16,Data!$A:$A,0)),$BX$12)),"-")</f>
        <v>283</v>
      </c>
      <c r="BP16" s="71">
        <f ca="1">IF(AND(BG16&gt;=$AC$4,BG16&lt;=$AU$4),IF(""=IFERROR(INDEX(INDIRECT("Data!C"&amp;$K$5,FALSE),MATCH(BG16,Data!$A:$A,0)),$BX$12),$BX$11,IFERROR(INDEX(INDIRECT("Data!C"&amp;$K$5,FALSE),MATCH(BG16,Data!$A:$A,0)),$BX$12)),"-")</f>
        <v>304</v>
      </c>
      <c r="BQ16" s="71">
        <f ca="1">IF(AND(BH16&gt;=$AC$4,BH16&lt;=$AU$4),IF(""=IFERROR(INDEX(INDIRECT("Data!C"&amp;$K$5,FALSE),MATCH(BH16,Data!$A:$A,0)),$BX$12),$BX$11,IFERROR(INDEX(INDIRECT("Data!C"&amp;$K$5,FALSE),MATCH(BH16,Data!$A:$A,0)),$BX$12)),"-")</f>
        <v>228</v>
      </c>
      <c r="BR16" s="71">
        <f ca="1">IF(AND(BI16&gt;=$AC$4,BI16&lt;=$AU$4),IF(""=IFERROR(INDEX(INDIRECT("Data!C"&amp;$K$5,FALSE),MATCH(BI16,Data!$A:$A,0)),$BX$12),$BX$11,IFERROR(INDEX(INDIRECT("Data!C"&amp;$K$5,FALSE),MATCH(BI16,Data!$A:$A,0)),$BX$12)),"-")</f>
        <v>165</v>
      </c>
      <c r="BS16" s="71">
        <f ca="1">IF(AND(BJ16&gt;=$AC$4,BJ16&lt;=$AU$4),IF(""=IFERROR(INDEX(INDIRECT("Data!C"&amp;$K$5,FALSE),MATCH(BJ16,Data!$A:$A,0)),$BX$12),$BX$11,IFERROR(INDEX(INDIRECT("Data!C"&amp;$K$5,FALSE),MATCH(BJ16,Data!$A:$A,0)),$BX$12)),"-")</f>
        <v>89</v>
      </c>
      <c r="BT16" s="7"/>
      <c r="BU16" s="58">
        <f t="shared" ca="1" si="47"/>
        <v>179.28571428571428</v>
      </c>
      <c r="BW16" s="63" t="s">
        <v>43</v>
      </c>
      <c r="BX16" s="59"/>
      <c r="BY16" s="63"/>
    </row>
    <row r="17" spans="2:78" ht="12" customHeight="1" x14ac:dyDescent="0.2">
      <c r="B17" s="34">
        <f t="shared" si="48"/>
        <v>40944</v>
      </c>
      <c r="C17" s="34">
        <f t="shared" si="43"/>
        <v>40945</v>
      </c>
      <c r="D17" s="34">
        <f t="shared" si="43"/>
        <v>40946</v>
      </c>
      <c r="E17" s="34">
        <f t="shared" si="43"/>
        <v>40947</v>
      </c>
      <c r="F17" s="34">
        <f t="shared" si="43"/>
        <v>40948</v>
      </c>
      <c r="G17" s="34">
        <f t="shared" si="43"/>
        <v>40949</v>
      </c>
      <c r="H17" s="34">
        <f t="shared" si="43"/>
        <v>40950</v>
      </c>
      <c r="J17" s="24">
        <f t="array" ref="J17">IFERROR(IF(MATCH(8,DAY(B17:H17),0),H17,""),"")</f>
        <v>40950</v>
      </c>
      <c r="K17" s="71">
        <f ca="1">IF(AND(B17&gt;=$AC$4,B17&lt;=$AU$4),IF(""=IFERROR(INDEX(INDIRECT("Data!C"&amp;$K$5,FALSE),MATCH(B17,Data!$A:$A,0)),$BX$12),$BX$11,IFERROR(INDEX(INDIRECT("Data!C"&amp;$K$5,FALSE),MATCH(B17,Data!$A:$A,0)),$BX$12)),"-")</f>
        <v>29</v>
      </c>
      <c r="L17" s="71">
        <f ca="1">IF(AND(C17&gt;=$AC$4,C17&lt;=$AU$4),IF(""=IFERROR(INDEX(INDIRECT("Data!C"&amp;$K$5,FALSE),MATCH(C17,Data!$A:$A,0)),$BX$12),$BX$11,IFERROR(INDEX(INDIRECT("Data!C"&amp;$K$5,FALSE),MATCH(C17,Data!$A:$A,0)),$BX$12)),"-")</f>
        <v>311</v>
      </c>
      <c r="M17" s="71">
        <f ca="1">IF(AND(D17&gt;=$AC$4,D17&lt;=$AU$4),IF(""=IFERROR(INDEX(INDIRECT("Data!C"&amp;$K$5,FALSE),MATCH(D17,Data!$A:$A,0)),$BX$12),$BX$11,IFERROR(INDEX(INDIRECT("Data!C"&amp;$K$5,FALSE),MATCH(D17,Data!$A:$A,0)),$BX$12)),"-")</f>
        <v>260</v>
      </c>
      <c r="N17" s="71">
        <f ca="1">IF(AND(E17&gt;=$AC$4,E17&lt;=$AU$4),IF(""=IFERROR(INDEX(INDIRECT("Data!C"&amp;$K$5,FALSE),MATCH(E17,Data!$A:$A,0)),$BX$12),$BX$11,IFERROR(INDEX(INDIRECT("Data!C"&amp;$K$5,FALSE),MATCH(E17,Data!$A:$A,0)),$BX$12)),"-")</f>
        <v>226</v>
      </c>
      <c r="O17" s="71">
        <f ca="1">IF(AND(F17&gt;=$AC$4,F17&lt;=$AU$4),IF(""=IFERROR(INDEX(INDIRECT("Data!C"&amp;$K$5,FALSE),MATCH(F17,Data!$A:$A,0)),$BX$12),$BX$11,IFERROR(INDEX(INDIRECT("Data!C"&amp;$K$5,FALSE),MATCH(F17,Data!$A:$A,0)),$BX$12)),"-")</f>
        <v>223</v>
      </c>
      <c r="P17" s="71">
        <f ca="1">IF(AND(G17&gt;=$AC$4,G17&lt;=$AU$4),IF(""=IFERROR(INDEX(INDIRECT("Data!C"&amp;$K$5,FALSE),MATCH(G17,Data!$A:$A,0)),$BX$12),$BX$11,IFERROR(INDEX(INDIRECT("Data!C"&amp;$K$5,FALSE),MATCH(G17,Data!$A:$A,0)),$BX$12)),"-")</f>
        <v>219</v>
      </c>
      <c r="Q17" s="71">
        <f ca="1">IF(AND(H17&gt;=$AC$4,H17&lt;=$AU$4),IF(""=IFERROR(INDEX(INDIRECT("Data!C"&amp;$K$5,FALSE),MATCH(H17,Data!$A:$A,0)),$BX$12),$BX$11,IFERROR(INDEX(INDIRECT("Data!C"&amp;$K$5,FALSE),MATCH(H17,Data!$A:$A,0)),$BX$12)),"-")</f>
        <v>51</v>
      </c>
      <c r="R17" s="7"/>
      <c r="T17" s="34">
        <f t="shared" si="49"/>
        <v>41308</v>
      </c>
      <c r="U17" s="34">
        <f t="shared" si="44"/>
        <v>41309</v>
      </c>
      <c r="V17" s="34">
        <f t="shared" si="28"/>
        <v>41310</v>
      </c>
      <c r="W17" s="34">
        <f t="shared" si="29"/>
        <v>41311</v>
      </c>
      <c r="X17" s="34">
        <f t="shared" si="30"/>
        <v>41312</v>
      </c>
      <c r="Y17" s="34">
        <f t="shared" si="31"/>
        <v>41313</v>
      </c>
      <c r="Z17" s="34">
        <f t="shared" si="32"/>
        <v>41314</v>
      </c>
      <c r="AB17" s="24">
        <f t="array" ref="AB17">IFERROR(IF(MATCH(8,DAY(T17:Z17),0),Z17,""),"")</f>
        <v>41314</v>
      </c>
      <c r="AC17" s="71">
        <f ca="1">IF(AND(T17&gt;=$AC$4,T17&lt;=$AU$4),IF(""=IFERROR(INDEX(INDIRECT("Data!C"&amp;$K$5,FALSE),MATCH(T17,Data!$A:$A,0)),$BX$12),$BX$11,IFERROR(INDEX(INDIRECT("Data!C"&amp;$K$5,FALSE),MATCH(T17,Data!$A:$A,0)),$BX$12)),"-")</f>
        <v>40</v>
      </c>
      <c r="AD17" s="71">
        <f ca="1">IF(AND(U17&gt;=$AC$4,U17&lt;=$AU$4),IF(""=IFERROR(INDEX(INDIRECT("Data!C"&amp;$K$5,FALSE),MATCH(U17,Data!$A:$A,0)),$BX$12),$BX$11,IFERROR(INDEX(INDIRECT("Data!C"&amp;$K$5,FALSE),MATCH(U17,Data!$A:$A,0)),$BX$12)),"-")</f>
        <v>428</v>
      </c>
      <c r="AE17" s="71">
        <f ca="1">IF(AND(V17&gt;=$AC$4,V17&lt;=$AU$4),IF(""=IFERROR(INDEX(INDIRECT("Data!C"&amp;$K$5,FALSE),MATCH(V17,Data!$A:$A,0)),$BX$12),$BX$11,IFERROR(INDEX(INDIRECT("Data!C"&amp;$K$5,FALSE),MATCH(V17,Data!$A:$A,0)),$BX$12)),"-")</f>
        <v>393</v>
      </c>
      <c r="AF17" s="71">
        <f ca="1">IF(AND(W17&gt;=$AC$4,W17&lt;=$AU$4),IF(""=IFERROR(INDEX(INDIRECT("Data!C"&amp;$K$5,FALSE),MATCH(W17,Data!$A:$A,0)),$BX$12),$BX$11,IFERROR(INDEX(INDIRECT("Data!C"&amp;$K$5,FALSE),MATCH(W17,Data!$A:$A,0)),$BX$12)),"-")</f>
        <v>237</v>
      </c>
      <c r="AG17" s="71">
        <f ca="1">IF(AND(X17&gt;=$AC$4,X17&lt;=$AU$4),IF(""=IFERROR(INDEX(INDIRECT("Data!C"&amp;$K$5,FALSE),MATCH(X17,Data!$A:$A,0)),$BX$12),$BX$11,IFERROR(INDEX(INDIRECT("Data!C"&amp;$K$5,FALSE),MATCH(X17,Data!$A:$A,0)),$BX$12)),"-")</f>
        <v>288</v>
      </c>
      <c r="AH17" s="71">
        <f ca="1">IF(AND(Y17&gt;=$AC$4,Y17&lt;=$AU$4),IF(""=IFERROR(INDEX(INDIRECT("Data!C"&amp;$K$5,FALSE),MATCH(Y17,Data!$A:$A,0)),$BX$12),$BX$11,IFERROR(INDEX(INDIRECT("Data!C"&amp;$K$5,FALSE),MATCH(Y17,Data!$A:$A,0)),$BX$12)),"-")</f>
        <v>209</v>
      </c>
      <c r="AI17" s="71">
        <f ca="1">IF(AND(Z17&gt;=$AC$4,Z17&lt;=$AU$4),IF(""=IFERROR(INDEX(INDIRECT("Data!C"&amp;$K$5,FALSE),MATCH(Z17,Data!$A:$A,0)),$BX$12),$BX$11,IFERROR(INDEX(INDIRECT("Data!C"&amp;$K$5,FALSE),MATCH(Z17,Data!$A:$A,0)),$BX$12)),"-")</f>
        <v>61</v>
      </c>
      <c r="AJ17" s="7"/>
      <c r="AL17" s="34">
        <f t="shared" si="50"/>
        <v>41672</v>
      </c>
      <c r="AM17" s="34">
        <f t="shared" si="45"/>
        <v>41673</v>
      </c>
      <c r="AN17" s="34">
        <f t="shared" si="33"/>
        <v>41674</v>
      </c>
      <c r="AO17" s="34">
        <f t="shared" si="34"/>
        <v>41675</v>
      </c>
      <c r="AP17" s="34">
        <f t="shared" si="35"/>
        <v>41676</v>
      </c>
      <c r="AQ17" s="34">
        <f t="shared" si="36"/>
        <v>41677</v>
      </c>
      <c r="AR17" s="34">
        <f t="shared" si="37"/>
        <v>41678</v>
      </c>
      <c r="AT17" s="24">
        <f t="array" ref="AT17">IFERROR(IF(MATCH(8,DAY(AL17:AR17),0),AR17,""),"")</f>
        <v>41678</v>
      </c>
      <c r="AU17" s="71">
        <f ca="1">IF(AND(AL17&gt;=$AC$4,AL17&lt;=$AU$4),IF(""=IFERROR(INDEX(INDIRECT("Data!C"&amp;$K$5,FALSE),MATCH(AL17,Data!$A:$A,0)),$BX$12),$BX$11,IFERROR(INDEX(INDIRECT("Data!C"&amp;$K$5,FALSE),MATCH(AL17,Data!$A:$A,0)),$BX$12)),"-")</f>
        <v>40</v>
      </c>
      <c r="AV17" s="71">
        <f ca="1">IF(AND(AM17&gt;=$AC$4,AM17&lt;=$AU$4),IF(""=IFERROR(INDEX(INDIRECT("Data!C"&amp;$K$5,FALSE),MATCH(AM17,Data!$A:$A,0)),$BX$12),$BX$11,IFERROR(INDEX(INDIRECT("Data!C"&amp;$K$5,FALSE),MATCH(AM17,Data!$A:$A,0)),$BX$12)),"-")</f>
        <v>449</v>
      </c>
      <c r="AW17" s="71">
        <f ca="1">IF(AND(AN17&gt;=$AC$4,AN17&lt;=$AU$4),IF(""=IFERROR(INDEX(INDIRECT("Data!C"&amp;$K$5,FALSE),MATCH(AN17,Data!$A:$A,0)),$BX$12),$BX$11,IFERROR(INDEX(INDIRECT("Data!C"&amp;$K$5,FALSE),MATCH(AN17,Data!$A:$A,0)),$BX$12)),"-")</f>
        <v>406</v>
      </c>
      <c r="AX17" s="71">
        <f ca="1">IF(AND(AO17&gt;=$AC$4,AO17&lt;=$AU$4),IF(""=IFERROR(INDEX(INDIRECT("Data!C"&amp;$K$5,FALSE),MATCH(AO17,Data!$A:$A,0)),$BX$12),$BX$11,IFERROR(INDEX(INDIRECT("Data!C"&amp;$K$5,FALSE),MATCH(AO17,Data!$A:$A,0)),$BX$12)),"-")</f>
        <v>369</v>
      </c>
      <c r="AY17" s="71">
        <f ca="1">IF(AND(AP17&gt;=$AC$4,AP17&lt;=$AU$4),IF(""=IFERROR(INDEX(INDIRECT("Data!C"&amp;$K$5,FALSE),MATCH(AP17,Data!$A:$A,0)),$BX$12),$BX$11,IFERROR(INDEX(INDIRECT("Data!C"&amp;$K$5,FALSE),MATCH(AP17,Data!$A:$A,0)),$BX$12)),"-")</f>
        <v>272</v>
      </c>
      <c r="AZ17" s="71">
        <f ca="1">IF(AND(AQ17&gt;=$AC$4,AQ17&lt;=$AU$4),IF(""=IFERROR(INDEX(INDIRECT("Data!C"&amp;$K$5,FALSE),MATCH(AQ17,Data!$A:$A,0)),$BX$12),$BX$11,IFERROR(INDEX(INDIRECT("Data!C"&amp;$K$5,FALSE),MATCH(AQ17,Data!$A:$A,0)),$BX$12)),"-")</f>
        <v>228</v>
      </c>
      <c r="BA17" s="71">
        <f ca="1">IF(AND(AR17&gt;=$AC$4,AR17&lt;=$AU$4),IF(""=IFERROR(INDEX(INDIRECT("Data!C"&amp;$K$5,FALSE),MATCH(AR17,Data!$A:$A,0)),$BX$12),$BX$11,IFERROR(INDEX(INDIRECT("Data!C"&amp;$K$5,FALSE),MATCH(AR17,Data!$A:$A,0)),$BX$12)),"-")</f>
        <v>72</v>
      </c>
      <c r="BB17" s="7"/>
      <c r="BD17" s="34">
        <f t="shared" si="51"/>
        <v>42036</v>
      </c>
      <c r="BE17" s="34">
        <f t="shared" si="46"/>
        <v>42037</v>
      </c>
      <c r="BF17" s="34">
        <f t="shared" si="38"/>
        <v>42038</v>
      </c>
      <c r="BG17" s="34">
        <f t="shared" si="39"/>
        <v>42039</v>
      </c>
      <c r="BH17" s="34">
        <f t="shared" si="40"/>
        <v>42040</v>
      </c>
      <c r="BI17" s="34">
        <f t="shared" si="41"/>
        <v>42041</v>
      </c>
      <c r="BJ17" s="34">
        <f t="shared" si="42"/>
        <v>42042</v>
      </c>
      <c r="BL17" s="24" t="str">
        <f t="array" ref="BL17">IFERROR(IF(MATCH(8,DAY(BD17:BJ17),0),BJ17,""),"")</f>
        <v/>
      </c>
      <c r="BM17" s="71">
        <f ca="1">IF(AND(BD17&gt;=$AC$4,BD17&lt;=$AU$4),IF(""=IFERROR(INDEX(INDIRECT("Data!C"&amp;$K$5,FALSE),MATCH(BD17,Data!$A:$A,0)),$BX$12),$BX$11,IFERROR(INDEX(INDIRECT("Data!C"&amp;$K$5,FALSE),MATCH(BD17,Data!$A:$A,0)),$BX$12)),"-")</f>
        <v>27</v>
      </c>
      <c r="BN17" s="71">
        <f ca="1">IF(AND(BE17&gt;=$AC$4,BE17&lt;=$AU$4),IF(""=IFERROR(INDEX(INDIRECT("Data!C"&amp;$K$5,FALSE),MATCH(BE17,Data!$A:$A,0)),$BX$12),$BX$11,IFERROR(INDEX(INDIRECT("Data!C"&amp;$K$5,FALSE),MATCH(BE17,Data!$A:$A,0)),$BX$12)),"-")</f>
        <v>309</v>
      </c>
      <c r="BO17" s="71">
        <f ca="1">IF(AND(BF17&gt;=$AC$4,BF17&lt;=$AU$4),IF(""=IFERROR(INDEX(INDIRECT("Data!C"&amp;$K$5,FALSE),MATCH(BF17,Data!$A:$A,0)),$BX$12),$BX$11,IFERROR(INDEX(INDIRECT("Data!C"&amp;$K$5,FALSE),MATCH(BF17,Data!$A:$A,0)),$BX$12)),"-")</f>
        <v>258</v>
      </c>
      <c r="BP17" s="71">
        <f ca="1">IF(AND(BG17&gt;=$AC$4,BG17&lt;=$AU$4),IF(""=IFERROR(INDEX(INDIRECT("Data!C"&amp;$K$5,FALSE),MATCH(BG17,Data!$A:$A,0)),$BX$12),$BX$11,IFERROR(INDEX(INDIRECT("Data!C"&amp;$K$5,FALSE),MATCH(BG17,Data!$A:$A,0)),$BX$12)),"-")</f>
        <v>290</v>
      </c>
      <c r="BQ17" s="71">
        <f ca="1">IF(AND(BH17&gt;=$AC$4,BH17&lt;=$AU$4),IF(""=IFERROR(INDEX(INDIRECT("Data!C"&amp;$K$5,FALSE),MATCH(BH17,Data!$A:$A,0)),$BX$12),$BX$11,IFERROR(INDEX(INDIRECT("Data!C"&amp;$K$5,FALSE),MATCH(BH17,Data!$A:$A,0)),$BX$12)),"-")</f>
        <v>233</v>
      </c>
      <c r="BR17" s="71">
        <f ca="1">IF(AND(BI17&gt;=$AC$4,BI17&lt;=$AU$4),IF(""=IFERROR(INDEX(INDIRECT("Data!C"&amp;$K$5,FALSE),MATCH(BI17,Data!$A:$A,0)),$BX$12),$BX$11,IFERROR(INDEX(INDIRECT("Data!C"&amp;$K$5,FALSE),MATCH(BI17,Data!$A:$A,0)),$BX$12)),"-")</f>
        <v>270</v>
      </c>
      <c r="BS17" s="71">
        <f ca="1">IF(AND(BJ17&gt;=$AC$4,BJ17&lt;=$AU$4),IF(""=IFERROR(INDEX(INDIRECT("Data!C"&amp;$K$5,FALSE),MATCH(BJ17,Data!$A:$A,0)),$BX$12),$BX$11,IFERROR(INDEX(INDIRECT("Data!C"&amp;$K$5,FALSE),MATCH(BJ17,Data!$A:$A,0)),$BX$12)),"-")</f>
        <v>93</v>
      </c>
      <c r="BT17" s="7"/>
      <c r="BU17" s="58">
        <f t="shared" ca="1" si="47"/>
        <v>224.67857142857142</v>
      </c>
      <c r="BW17" s="63" t="s">
        <v>44</v>
      </c>
      <c r="BX17" s="59"/>
    </row>
    <row r="18" spans="2:78" ht="12" customHeight="1" x14ac:dyDescent="0.2">
      <c r="B18" s="34">
        <f t="shared" si="48"/>
        <v>40951</v>
      </c>
      <c r="C18" s="34">
        <f t="shared" si="43"/>
        <v>40952</v>
      </c>
      <c r="D18" s="34">
        <f t="shared" si="43"/>
        <v>40953</v>
      </c>
      <c r="E18" s="34">
        <f t="shared" si="43"/>
        <v>40954</v>
      </c>
      <c r="F18" s="34">
        <f t="shared" si="43"/>
        <v>40955</v>
      </c>
      <c r="G18" s="34">
        <f t="shared" si="43"/>
        <v>40956</v>
      </c>
      <c r="H18" s="34">
        <f t="shared" si="43"/>
        <v>40957</v>
      </c>
      <c r="J18" s="24" t="str">
        <f t="array" ref="J18">IFERROR(IF(MATCH(8,DAY(B18:H18),0),H18,""),"")</f>
        <v/>
      </c>
      <c r="K18" s="71">
        <f ca="1">IF(AND(B18&gt;=$AC$4,B18&lt;=$AU$4),IF(""=IFERROR(INDEX(INDIRECT("Data!C"&amp;$K$5,FALSE),MATCH(B18,Data!$A:$A,0)),$BX$12),$BX$11,IFERROR(INDEX(INDIRECT("Data!C"&amp;$K$5,FALSE),MATCH(B18,Data!$A:$A,0)),$BX$12)),"-")</f>
        <v>43</v>
      </c>
      <c r="L18" s="71">
        <f ca="1">IF(AND(C18&gt;=$AC$4,C18&lt;=$AU$4),IF(""=IFERROR(INDEX(INDIRECT("Data!C"&amp;$K$5,FALSE),MATCH(C18,Data!$A:$A,0)),$BX$12),$BX$11,IFERROR(INDEX(INDIRECT("Data!C"&amp;$K$5,FALSE),MATCH(C18,Data!$A:$A,0)),$BX$12)),"-")</f>
        <v>263</v>
      </c>
      <c r="M18" s="71">
        <f ca="1">IF(AND(D18&gt;=$AC$4,D18&lt;=$AU$4),IF(""=IFERROR(INDEX(INDIRECT("Data!C"&amp;$K$5,FALSE),MATCH(D18,Data!$A:$A,0)),$BX$12),$BX$11,IFERROR(INDEX(INDIRECT("Data!C"&amp;$K$5,FALSE),MATCH(D18,Data!$A:$A,0)),$BX$12)),"-")</f>
        <v>233</v>
      </c>
      <c r="N18" s="71">
        <f ca="1">IF(AND(E18&gt;=$AC$4,E18&lt;=$AU$4),IF(""=IFERROR(INDEX(INDIRECT("Data!C"&amp;$K$5,FALSE),MATCH(E18,Data!$A:$A,0)),$BX$12),$BX$11,IFERROR(INDEX(INDIRECT("Data!C"&amp;$K$5,FALSE),MATCH(E18,Data!$A:$A,0)),$BX$12)),"-")</f>
        <v>331</v>
      </c>
      <c r="O18" s="71">
        <f ca="1">IF(AND(F18&gt;=$AC$4,F18&lt;=$AU$4),IF(""=IFERROR(INDEX(INDIRECT("Data!C"&amp;$K$5,FALSE),MATCH(F18,Data!$A:$A,0)),$BX$12),$BX$11,IFERROR(INDEX(INDIRECT("Data!C"&amp;$K$5,FALSE),MATCH(F18,Data!$A:$A,0)),$BX$12)),"-")</f>
        <v>295</v>
      </c>
      <c r="P18" s="71">
        <f ca="1">IF(AND(G18&gt;=$AC$4,G18&lt;=$AU$4),IF(""=IFERROR(INDEX(INDIRECT("Data!C"&amp;$K$5,FALSE),MATCH(G18,Data!$A:$A,0)),$BX$12),$BX$11,IFERROR(INDEX(INDIRECT("Data!C"&amp;$K$5,FALSE),MATCH(G18,Data!$A:$A,0)),$BX$12)),"-")</f>
        <v>172</v>
      </c>
      <c r="Q18" s="71">
        <f ca="1">IF(AND(H18&gt;=$AC$4,H18&lt;=$AU$4),IF(""=IFERROR(INDEX(INDIRECT("Data!C"&amp;$K$5,FALSE),MATCH(H18,Data!$A:$A,0)),$BX$12),$BX$11,IFERROR(INDEX(INDIRECT("Data!C"&amp;$K$5,FALSE),MATCH(H18,Data!$A:$A,0)),$BX$12)),"-")</f>
        <v>68</v>
      </c>
      <c r="R18" s="7"/>
      <c r="T18" s="34">
        <f t="shared" si="49"/>
        <v>41315</v>
      </c>
      <c r="U18" s="34">
        <f t="shared" si="44"/>
        <v>41316</v>
      </c>
      <c r="V18" s="34">
        <f t="shared" si="28"/>
        <v>41317</v>
      </c>
      <c r="W18" s="34">
        <f t="shared" si="29"/>
        <v>41318</v>
      </c>
      <c r="X18" s="34">
        <f t="shared" si="30"/>
        <v>41319</v>
      </c>
      <c r="Y18" s="34">
        <f t="shared" si="31"/>
        <v>41320</v>
      </c>
      <c r="Z18" s="34">
        <f t="shared" si="32"/>
        <v>41321</v>
      </c>
      <c r="AB18" s="24" t="str">
        <f t="array" ref="AB18">IFERROR(IF(MATCH(8,DAY(T18:Z18),0),Z18,""),"")</f>
        <v/>
      </c>
      <c r="AC18" s="71">
        <f ca="1">IF(AND(T18&gt;=$AC$4,T18&lt;=$AU$4),IF(""=IFERROR(INDEX(INDIRECT("Data!C"&amp;$K$5,FALSE),MATCH(T18,Data!$A:$A,0)),$BX$12),$BX$11,IFERROR(INDEX(INDIRECT("Data!C"&amp;$K$5,FALSE),MATCH(T18,Data!$A:$A,0)),$BX$12)),"-")</f>
        <v>30</v>
      </c>
      <c r="AD18" s="71">
        <f ca="1">IF(AND(U18&gt;=$AC$4,U18&lt;=$AU$4),IF(""=IFERROR(INDEX(INDIRECT("Data!C"&amp;$K$5,FALSE),MATCH(U18,Data!$A:$A,0)),$BX$12),$BX$11,IFERROR(INDEX(INDIRECT("Data!C"&amp;$K$5,FALSE),MATCH(U18,Data!$A:$A,0)),$BX$12)),"-")</f>
        <v>392</v>
      </c>
      <c r="AE18" s="71">
        <f ca="1">IF(AND(V18&gt;=$AC$4,V18&lt;=$AU$4),IF(""=IFERROR(INDEX(INDIRECT("Data!C"&amp;$K$5,FALSE),MATCH(V18,Data!$A:$A,0)),$BX$12),$BX$11,IFERROR(INDEX(INDIRECT("Data!C"&amp;$K$5,FALSE),MATCH(V18,Data!$A:$A,0)),$BX$12)),"-")</f>
        <v>316</v>
      </c>
      <c r="AF18" s="71">
        <f ca="1">IF(AND(W18&gt;=$AC$4,W18&lt;=$AU$4),IF(""=IFERROR(INDEX(INDIRECT("Data!C"&amp;$K$5,FALSE),MATCH(W18,Data!$A:$A,0)),$BX$12),$BX$11,IFERROR(INDEX(INDIRECT("Data!C"&amp;$K$5,FALSE),MATCH(W18,Data!$A:$A,0)),$BX$12)),"-")</f>
        <v>325</v>
      </c>
      <c r="AG18" s="71">
        <f ca="1">IF(AND(X18&gt;=$AC$4,X18&lt;=$AU$4),IF(""=IFERROR(INDEX(INDIRECT("Data!C"&amp;$K$5,FALSE),MATCH(X18,Data!$A:$A,0)),$BX$12),$BX$11,IFERROR(INDEX(INDIRECT("Data!C"&amp;$K$5,FALSE),MATCH(X18,Data!$A:$A,0)),$BX$12)),"-")</f>
        <v>265</v>
      </c>
      <c r="AH18" s="71">
        <f ca="1">IF(AND(Y18&gt;=$AC$4,Y18&lt;=$AU$4),IF(""=IFERROR(INDEX(INDIRECT("Data!C"&amp;$K$5,FALSE),MATCH(Y18,Data!$A:$A,0)),$BX$12),$BX$11,IFERROR(INDEX(INDIRECT("Data!C"&amp;$K$5,FALSE),MATCH(Y18,Data!$A:$A,0)),$BX$12)),"-")</f>
        <v>191</v>
      </c>
      <c r="AI18" s="71">
        <f ca="1">IF(AND(Z18&gt;=$AC$4,Z18&lt;=$AU$4),IF(""=IFERROR(INDEX(INDIRECT("Data!C"&amp;$K$5,FALSE),MATCH(Z18,Data!$A:$A,0)),$BX$12),$BX$11,IFERROR(INDEX(INDIRECT("Data!C"&amp;$K$5,FALSE),MATCH(Z18,Data!$A:$A,0)),$BX$12)),"-")</f>
        <v>74</v>
      </c>
      <c r="AJ18" s="7"/>
      <c r="AL18" s="34">
        <f t="shared" si="50"/>
        <v>41679</v>
      </c>
      <c r="AM18" s="34">
        <f t="shared" si="45"/>
        <v>41680</v>
      </c>
      <c r="AN18" s="34">
        <f t="shared" si="33"/>
        <v>41681</v>
      </c>
      <c r="AO18" s="34">
        <f t="shared" si="34"/>
        <v>41682</v>
      </c>
      <c r="AP18" s="34">
        <f t="shared" si="35"/>
        <v>41683</v>
      </c>
      <c r="AQ18" s="34">
        <f t="shared" si="36"/>
        <v>41684</v>
      </c>
      <c r="AR18" s="34">
        <f t="shared" si="37"/>
        <v>41685</v>
      </c>
      <c r="AT18" s="24" t="str">
        <f t="array" ref="AT18">IFERROR(IF(MATCH(8,DAY(AL18:AR18),0),AR18,""),"")</f>
        <v/>
      </c>
      <c r="AU18" s="71">
        <f ca="1">IF(AND(AL18&gt;=$AC$4,AL18&lt;=$AU$4),IF(""=IFERROR(INDEX(INDIRECT("Data!C"&amp;$K$5,FALSE),MATCH(AL18,Data!$A:$A,0)),$BX$12),$BX$11,IFERROR(INDEX(INDIRECT("Data!C"&amp;$K$5,FALSE),MATCH(AL18,Data!$A:$A,0)),$BX$12)),"-")</f>
        <v>30</v>
      </c>
      <c r="AV18" s="71">
        <f ca="1">IF(AND(AM18&gt;=$AC$4,AM18&lt;=$AU$4),IF(""=IFERROR(INDEX(INDIRECT("Data!C"&amp;$K$5,FALSE),MATCH(AM18,Data!$A:$A,0)),$BX$12),$BX$11,IFERROR(INDEX(INDIRECT("Data!C"&amp;$K$5,FALSE),MATCH(AM18,Data!$A:$A,0)),$BX$12)),"-")</f>
        <v>413</v>
      </c>
      <c r="AW18" s="71">
        <f ca="1">IF(AND(AN18&gt;=$AC$4,AN18&lt;=$AU$4),IF(""=IFERROR(INDEX(INDIRECT("Data!C"&amp;$K$5,FALSE),MATCH(AN18,Data!$A:$A,0)),$BX$12),$BX$11,IFERROR(INDEX(INDIRECT("Data!C"&amp;$K$5,FALSE),MATCH(AN18,Data!$A:$A,0)),$BX$12)),"-")</f>
        <v>410</v>
      </c>
      <c r="AX18" s="71">
        <f ca="1">IF(AND(AO18&gt;=$AC$4,AO18&lt;=$AU$4),IF(""=IFERROR(INDEX(INDIRECT("Data!C"&amp;$K$5,FALSE),MATCH(AO18,Data!$A:$A,0)),$BX$12),$BX$11,IFERROR(INDEX(INDIRECT("Data!C"&amp;$K$5,FALSE),MATCH(AO18,Data!$A:$A,0)),$BX$12)),"-")</f>
        <v>271</v>
      </c>
      <c r="AY18" s="71">
        <f ca="1">IF(AND(AP18&gt;=$AC$4,AP18&lt;=$AU$4),IF(""=IFERROR(INDEX(INDIRECT("Data!C"&amp;$K$5,FALSE),MATCH(AP18,Data!$A:$A,0)),$BX$12),$BX$11,IFERROR(INDEX(INDIRECT("Data!C"&amp;$K$5,FALSE),MATCH(AP18,Data!$A:$A,0)),$BX$12)),"-")</f>
        <v>207</v>
      </c>
      <c r="AZ18" s="71">
        <f ca="1">IF(AND(AQ18&gt;=$AC$4,AQ18&lt;=$AU$4),IF(""=IFERROR(INDEX(INDIRECT("Data!C"&amp;$K$5,FALSE),MATCH(AQ18,Data!$A:$A,0)),$BX$12),$BX$11,IFERROR(INDEX(INDIRECT("Data!C"&amp;$K$5,FALSE),MATCH(AQ18,Data!$A:$A,0)),$BX$12)),"-")</f>
        <v>236</v>
      </c>
      <c r="BA18" s="71">
        <f ca="1">IF(AND(AR18&gt;=$AC$4,AR18&lt;=$AU$4),IF(""=IFERROR(INDEX(INDIRECT("Data!C"&amp;$K$5,FALSE),MATCH(AR18,Data!$A:$A,0)),$BX$12),$BX$11,IFERROR(INDEX(INDIRECT("Data!C"&amp;$K$5,FALSE),MATCH(AR18,Data!$A:$A,0)),$BX$12)),"-")</f>
        <v>70</v>
      </c>
      <c r="BB18" s="7"/>
      <c r="BD18" s="34">
        <f t="shared" si="51"/>
        <v>42043</v>
      </c>
      <c r="BE18" s="34">
        <f t="shared" si="46"/>
        <v>42044</v>
      </c>
      <c r="BF18" s="34">
        <f t="shared" si="38"/>
        <v>42045</v>
      </c>
      <c r="BG18" s="34">
        <f t="shared" si="39"/>
        <v>42046</v>
      </c>
      <c r="BH18" s="34">
        <f t="shared" si="40"/>
        <v>42047</v>
      </c>
      <c r="BI18" s="34">
        <f t="shared" si="41"/>
        <v>42048</v>
      </c>
      <c r="BJ18" s="34">
        <f t="shared" si="42"/>
        <v>42049</v>
      </c>
      <c r="BL18" s="24">
        <f t="array" ref="BL18">IFERROR(IF(MATCH(8,DAY(BD18:BJ18),0),BJ18,""),"")</f>
        <v>42049</v>
      </c>
      <c r="BM18" s="71">
        <f ca="1">IF(AND(BD18&gt;=$AC$4,BD18&lt;=$AU$4),IF(""=IFERROR(INDEX(INDIRECT("Data!C"&amp;$K$5,FALSE),MATCH(BD18,Data!$A:$A,0)),$BX$12),$BX$11,IFERROR(INDEX(INDIRECT("Data!C"&amp;$K$5,FALSE),MATCH(BD18,Data!$A:$A,0)),$BX$12)),"-")</f>
        <v>36</v>
      </c>
      <c r="BN18" s="71">
        <f ca="1">IF(AND(BE18&gt;=$AC$4,BE18&lt;=$AU$4),IF(""=IFERROR(INDEX(INDIRECT("Data!C"&amp;$K$5,FALSE),MATCH(BE18,Data!$A:$A,0)),$BX$12),$BX$11,IFERROR(INDEX(INDIRECT("Data!C"&amp;$K$5,FALSE),MATCH(BE18,Data!$A:$A,0)),$BX$12)),"-")</f>
        <v>430</v>
      </c>
      <c r="BO18" s="71">
        <f ca="1">IF(AND(BF18&gt;=$AC$4,BF18&lt;=$AU$4),IF(""=IFERROR(INDEX(INDIRECT("Data!C"&amp;$K$5,FALSE),MATCH(BF18,Data!$A:$A,0)),$BX$12),$BX$11,IFERROR(INDEX(INDIRECT("Data!C"&amp;$K$5,FALSE),MATCH(BF18,Data!$A:$A,0)),$BX$12)),"-")</f>
        <v>425</v>
      </c>
      <c r="BP18" s="71">
        <f ca="1">IF(AND(BG18&gt;=$AC$4,BG18&lt;=$AU$4),IF(""=IFERROR(INDEX(INDIRECT("Data!C"&amp;$K$5,FALSE),MATCH(BG18,Data!$A:$A,0)),$BX$12),$BX$11,IFERROR(INDEX(INDIRECT("Data!C"&amp;$K$5,FALSE),MATCH(BG18,Data!$A:$A,0)),$BX$12)),"-")</f>
        <v>390</v>
      </c>
      <c r="BQ18" s="71">
        <f ca="1">IF(AND(BH18&gt;=$AC$4,BH18&lt;=$AU$4),IF(""=IFERROR(INDEX(INDIRECT("Data!C"&amp;$K$5,FALSE),MATCH(BH18,Data!$A:$A,0)),$BX$12),$BX$11,IFERROR(INDEX(INDIRECT("Data!C"&amp;$K$5,FALSE),MATCH(BH18,Data!$A:$A,0)),$BX$12)),"-")</f>
        <v>237</v>
      </c>
      <c r="BR18" s="71">
        <f ca="1">IF(AND(BI18&gt;=$AC$4,BI18&lt;=$AU$4),IF(""=IFERROR(INDEX(INDIRECT("Data!C"&amp;$K$5,FALSE),MATCH(BI18,Data!$A:$A,0)),$BX$12),$BX$11,IFERROR(INDEX(INDIRECT("Data!C"&amp;$K$5,FALSE),MATCH(BI18,Data!$A:$A,0)),$BX$12)),"-")</f>
        <v>263</v>
      </c>
      <c r="BS18" s="71">
        <f ca="1">IF(AND(BJ18&gt;=$AC$4,BJ18&lt;=$AU$4),IF(""=IFERROR(INDEX(INDIRECT("Data!C"&amp;$K$5,FALSE),MATCH(BJ18,Data!$A:$A,0)),$BX$12),$BX$11,IFERROR(INDEX(INDIRECT("Data!C"&amp;$K$5,FALSE),MATCH(BJ18,Data!$A:$A,0)),$BX$12)),"-")</f>
        <v>62</v>
      </c>
      <c r="BT18" s="7"/>
      <c r="BU18" s="58">
        <f t="shared" ca="1" si="47"/>
        <v>231.35714285714286</v>
      </c>
      <c r="BW18" s="92" t="s">
        <v>45</v>
      </c>
      <c r="BX18" s="59"/>
    </row>
    <row r="19" spans="2:78" ht="12" customHeight="1" x14ac:dyDescent="0.2">
      <c r="B19" s="34">
        <f t="shared" si="48"/>
        <v>40958</v>
      </c>
      <c r="C19" s="34">
        <f t="shared" si="43"/>
        <v>40959</v>
      </c>
      <c r="D19" s="34">
        <f t="shared" si="43"/>
        <v>40960</v>
      </c>
      <c r="E19" s="34">
        <f t="shared" si="43"/>
        <v>40961</v>
      </c>
      <c r="F19" s="34">
        <f t="shared" si="43"/>
        <v>40962</v>
      </c>
      <c r="G19" s="34">
        <f t="shared" si="43"/>
        <v>40963</v>
      </c>
      <c r="H19" s="34">
        <f t="shared" si="43"/>
        <v>40964</v>
      </c>
      <c r="J19" s="24" t="str">
        <f t="array" ref="J19">IFERROR(IF(MATCH(8,DAY(B19:H19),0),H19,""),"")</f>
        <v/>
      </c>
      <c r="K19" s="71">
        <f ca="1">IF(AND(B19&gt;=$AC$4,B19&lt;=$AU$4),IF(""=IFERROR(INDEX(INDIRECT("Data!C"&amp;$K$5,FALSE),MATCH(B19,Data!$A:$A,0)),$BX$12),$BX$11,IFERROR(INDEX(INDIRECT("Data!C"&amp;$K$5,FALSE),MATCH(B19,Data!$A:$A,0)),$BX$12)),"-")</f>
        <v>39</v>
      </c>
      <c r="L19" s="71">
        <f ca="1">IF(AND(C19&gt;=$AC$4,C19&lt;=$AU$4),IF(""=IFERROR(INDEX(INDIRECT("Data!C"&amp;$K$5,FALSE),MATCH(C19,Data!$A:$A,0)),$BX$12),$BX$11,IFERROR(INDEX(INDIRECT("Data!C"&amp;$K$5,FALSE),MATCH(C19,Data!$A:$A,0)),$BX$12)),"-")</f>
        <v>385</v>
      </c>
      <c r="M19" s="71">
        <f ca="1">IF(AND(D19&gt;=$AC$4,D19&lt;=$AU$4),IF(""=IFERROR(INDEX(INDIRECT("Data!C"&amp;$K$5,FALSE),MATCH(D19,Data!$A:$A,0)),$BX$12),$BX$11,IFERROR(INDEX(INDIRECT("Data!C"&amp;$K$5,FALSE),MATCH(D19,Data!$A:$A,0)),$BX$12)),"-")</f>
        <v>425</v>
      </c>
      <c r="N19" s="71">
        <f ca="1">IF(AND(E19&gt;=$AC$4,E19&lt;=$AU$4),IF(""=IFERROR(INDEX(INDIRECT("Data!C"&amp;$K$5,FALSE),MATCH(E19,Data!$A:$A,0)),$BX$12),$BX$11,IFERROR(INDEX(INDIRECT("Data!C"&amp;$K$5,FALSE),MATCH(E19,Data!$A:$A,0)),$BX$12)),"-")</f>
        <v>364</v>
      </c>
      <c r="O19" s="71">
        <f ca="1">IF(AND(F19&gt;=$AC$4,F19&lt;=$AU$4),IF(""=IFERROR(INDEX(INDIRECT("Data!C"&amp;$K$5,FALSE),MATCH(F19,Data!$A:$A,0)),$BX$12),$BX$11,IFERROR(INDEX(INDIRECT("Data!C"&amp;$K$5,FALSE),MATCH(F19,Data!$A:$A,0)),$BX$12)),"-")</f>
        <v>226</v>
      </c>
      <c r="P19" s="71">
        <f ca="1">IF(AND(G19&gt;=$AC$4,G19&lt;=$AU$4),IF(""=IFERROR(INDEX(INDIRECT("Data!C"&amp;$K$5,FALSE),MATCH(G19,Data!$A:$A,0)),$BX$12),$BX$11,IFERROR(INDEX(INDIRECT("Data!C"&amp;$K$5,FALSE),MATCH(G19,Data!$A:$A,0)),$BX$12)),"-")</f>
        <v>264</v>
      </c>
      <c r="Q19" s="71">
        <f ca="1">IF(AND(H19&gt;=$AC$4,H19&lt;=$AU$4),IF(""=IFERROR(INDEX(INDIRECT("Data!C"&amp;$K$5,FALSE),MATCH(H19,Data!$A:$A,0)),$BX$12),$BX$11,IFERROR(INDEX(INDIRECT("Data!C"&amp;$K$5,FALSE),MATCH(H19,Data!$A:$A,0)),$BX$12)),"-")</f>
        <v>74</v>
      </c>
      <c r="R19" s="7"/>
      <c r="T19" s="34">
        <f t="shared" si="49"/>
        <v>41322</v>
      </c>
      <c r="U19" s="34">
        <f t="shared" si="44"/>
        <v>41323</v>
      </c>
      <c r="V19" s="34">
        <f t="shared" si="28"/>
        <v>41324</v>
      </c>
      <c r="W19" s="34">
        <f t="shared" si="29"/>
        <v>41325</v>
      </c>
      <c r="X19" s="34">
        <f t="shared" si="30"/>
        <v>41326</v>
      </c>
      <c r="Y19" s="34">
        <f t="shared" si="31"/>
        <v>41327</v>
      </c>
      <c r="Z19" s="34">
        <f t="shared" si="32"/>
        <v>41328</v>
      </c>
      <c r="AB19" s="24" t="str">
        <f t="array" ref="AB19">IFERROR(IF(MATCH(8,DAY(T19:Z19),0),Z19,""),"")</f>
        <v/>
      </c>
      <c r="AC19" s="71">
        <f ca="1">IF(AND(T19&gt;=$AC$4,T19&lt;=$AU$4),IF(""=IFERROR(INDEX(INDIRECT("Data!C"&amp;$K$5,FALSE),MATCH(T19,Data!$A:$A,0)),$BX$12),$BX$11,IFERROR(INDEX(INDIRECT("Data!C"&amp;$K$5,FALSE),MATCH(T19,Data!$A:$A,0)),$BX$12)),"-")</f>
        <v>37</v>
      </c>
      <c r="AD19" s="71">
        <f ca="1">IF(AND(U19&gt;=$AC$4,U19&lt;=$AU$4),IF(""=IFERROR(INDEX(INDIRECT("Data!C"&amp;$K$5,FALSE),MATCH(U19,Data!$A:$A,0)),$BX$12),$BX$11,IFERROR(INDEX(INDIRECT("Data!C"&amp;$K$5,FALSE),MATCH(U19,Data!$A:$A,0)),$BX$12)),"-")</f>
        <v>314</v>
      </c>
      <c r="AE19" s="71">
        <f ca="1">IF(AND(V19&gt;=$AC$4,V19&lt;=$AU$4),IF(""=IFERROR(INDEX(INDIRECT("Data!C"&amp;$K$5,FALSE),MATCH(V19,Data!$A:$A,0)),$BX$12),$BX$11,IFERROR(INDEX(INDIRECT("Data!C"&amp;$K$5,FALSE),MATCH(V19,Data!$A:$A,0)),$BX$12)),"-")</f>
        <v>306</v>
      </c>
      <c r="AF19" s="71">
        <f ca="1">IF(AND(W19&gt;=$AC$4,W19&lt;=$AU$4),IF(""=IFERROR(INDEX(INDIRECT("Data!C"&amp;$K$5,FALSE),MATCH(W19,Data!$A:$A,0)),$BX$12),$BX$11,IFERROR(INDEX(INDIRECT("Data!C"&amp;$K$5,FALSE),MATCH(W19,Data!$A:$A,0)),$BX$12)),"-")</f>
        <v>361</v>
      </c>
      <c r="AG19" s="71">
        <f ca="1">IF(AND(X19&gt;=$AC$4,X19&lt;=$AU$4),IF(""=IFERROR(INDEX(INDIRECT("Data!C"&amp;$K$5,FALSE),MATCH(X19,Data!$A:$A,0)),$BX$12),$BX$11,IFERROR(INDEX(INDIRECT("Data!C"&amp;$K$5,FALSE),MATCH(X19,Data!$A:$A,0)),$BX$12)),"-")</f>
        <v>237</v>
      </c>
      <c r="AH19" s="71">
        <f ca="1">IF(AND(Y19&gt;=$AC$4,Y19&lt;=$AU$4),IF(""=IFERROR(INDEX(INDIRECT("Data!C"&amp;$K$5,FALSE),MATCH(Y19,Data!$A:$A,0)),$BX$12),$BX$11,IFERROR(INDEX(INDIRECT("Data!C"&amp;$K$5,FALSE),MATCH(Y19,Data!$A:$A,0)),$BX$12)),"-")</f>
        <v>185</v>
      </c>
      <c r="AI19" s="71">
        <f ca="1">IF(AND(Z19&gt;=$AC$4,Z19&lt;=$AU$4),IF(""=IFERROR(INDEX(INDIRECT("Data!C"&amp;$K$5,FALSE),MATCH(Z19,Data!$A:$A,0)),$BX$12),$BX$11,IFERROR(INDEX(INDIRECT("Data!C"&amp;$K$5,FALSE),MATCH(Z19,Data!$A:$A,0)),$BX$12)),"-")</f>
        <v>90</v>
      </c>
      <c r="AJ19" s="7"/>
      <c r="AL19" s="34">
        <f t="shared" si="50"/>
        <v>41686</v>
      </c>
      <c r="AM19" s="34">
        <f t="shared" si="45"/>
        <v>41687</v>
      </c>
      <c r="AN19" s="34">
        <f t="shared" si="33"/>
        <v>41688</v>
      </c>
      <c r="AO19" s="34">
        <f t="shared" si="34"/>
        <v>41689</v>
      </c>
      <c r="AP19" s="34">
        <f t="shared" si="35"/>
        <v>41690</v>
      </c>
      <c r="AQ19" s="34">
        <f t="shared" si="36"/>
        <v>41691</v>
      </c>
      <c r="AR19" s="34">
        <f t="shared" si="37"/>
        <v>41692</v>
      </c>
      <c r="AT19" s="24" t="str">
        <f t="array" ref="AT19">IFERROR(IF(MATCH(8,DAY(AL19:AR19),0),AR19,""),"")</f>
        <v/>
      </c>
      <c r="AU19" s="71">
        <f ca="1">IF(AND(AL19&gt;=$AC$4,AL19&lt;=$AU$4),IF(""=IFERROR(INDEX(INDIRECT("Data!C"&amp;$K$5,FALSE),MATCH(AL19,Data!$A:$A,0)),$BX$12),$BX$11,IFERROR(INDEX(INDIRECT("Data!C"&amp;$K$5,FALSE),MATCH(AL19,Data!$A:$A,0)),$BX$12)),"-")</f>
        <v>48</v>
      </c>
      <c r="AV19" s="71">
        <f ca="1">IF(AND(AM19&gt;=$AC$4,AM19&lt;=$AU$4),IF(""=IFERROR(INDEX(INDIRECT("Data!C"&amp;$K$5,FALSE),MATCH(AM19,Data!$A:$A,0)),$BX$12),$BX$11,IFERROR(INDEX(INDIRECT("Data!C"&amp;$K$5,FALSE),MATCH(AM19,Data!$A:$A,0)),$BX$12)),"-")</f>
        <v>401</v>
      </c>
      <c r="AW19" s="71">
        <f ca="1">IF(AND(AN19&gt;=$AC$4,AN19&lt;=$AU$4),IF(""=IFERROR(INDEX(INDIRECT("Data!C"&amp;$K$5,FALSE),MATCH(AN19,Data!$A:$A,0)),$BX$12),$BX$11,IFERROR(INDEX(INDIRECT("Data!C"&amp;$K$5,FALSE),MATCH(AN19,Data!$A:$A,0)),$BX$12)),"-")</f>
        <v>300</v>
      </c>
      <c r="AX19" s="71">
        <f ca="1">IF(AND(AO19&gt;=$AC$4,AO19&lt;=$AU$4),IF(""=IFERROR(INDEX(INDIRECT("Data!C"&amp;$K$5,FALSE),MATCH(AO19,Data!$A:$A,0)),$BX$12),$BX$11,IFERROR(INDEX(INDIRECT("Data!C"&amp;$K$5,FALSE),MATCH(AO19,Data!$A:$A,0)),$BX$12)),"-")</f>
        <v>285</v>
      </c>
      <c r="AY19" s="71">
        <f ca="1">IF(AND(AP19&gt;=$AC$4,AP19&lt;=$AU$4),IF(""=IFERROR(INDEX(INDIRECT("Data!C"&amp;$K$5,FALSE),MATCH(AP19,Data!$A:$A,0)),$BX$12),$BX$11,IFERROR(INDEX(INDIRECT("Data!C"&amp;$K$5,FALSE),MATCH(AP19,Data!$A:$A,0)),$BX$12)),"-")</f>
        <v>247</v>
      </c>
      <c r="AZ19" s="71">
        <f ca="1">IF(AND(AQ19&gt;=$AC$4,AQ19&lt;=$AU$4),IF(""=IFERROR(INDEX(INDIRECT("Data!C"&amp;$K$5,FALSE),MATCH(AQ19,Data!$A:$A,0)),$BX$12),$BX$11,IFERROR(INDEX(INDIRECT("Data!C"&amp;$K$5,FALSE),MATCH(AQ19,Data!$A:$A,0)),$BX$12)),"-")</f>
        <v>292</v>
      </c>
      <c r="BA19" s="71">
        <f ca="1">IF(AND(AR19&gt;=$AC$4,AR19&lt;=$AU$4),IF(""=IFERROR(INDEX(INDIRECT("Data!C"&amp;$K$5,FALSE),MATCH(AR19,Data!$A:$A,0)),$BX$12),$BX$11,IFERROR(INDEX(INDIRECT("Data!C"&amp;$K$5,FALSE),MATCH(AR19,Data!$A:$A,0)),$BX$12)),"-")</f>
        <v>66</v>
      </c>
      <c r="BB19" s="7"/>
      <c r="BD19" s="34">
        <f t="shared" si="51"/>
        <v>42050</v>
      </c>
      <c r="BE19" s="34">
        <f t="shared" si="46"/>
        <v>42051</v>
      </c>
      <c r="BF19" s="34">
        <f t="shared" si="38"/>
        <v>42052</v>
      </c>
      <c r="BG19" s="34">
        <f t="shared" si="39"/>
        <v>42053</v>
      </c>
      <c r="BH19" s="34">
        <f t="shared" si="40"/>
        <v>42054</v>
      </c>
      <c r="BI19" s="34">
        <f t="shared" si="41"/>
        <v>42055</v>
      </c>
      <c r="BJ19" s="34">
        <f t="shared" si="42"/>
        <v>42056</v>
      </c>
      <c r="BL19" s="24" t="str">
        <f t="array" ref="BL19">IFERROR(IF(MATCH(8,DAY(BD19:BJ19),0),BJ19,""),"")</f>
        <v/>
      </c>
      <c r="BM19" s="71">
        <f ca="1">IF(AND(BD19&gt;=$AC$4,BD19&lt;=$AU$4),IF(""=IFERROR(INDEX(INDIRECT("Data!C"&amp;$K$5,FALSE),MATCH(BD19,Data!$A:$A,0)),$BX$12),$BX$11,IFERROR(INDEX(INDIRECT("Data!C"&amp;$K$5,FALSE),MATCH(BD19,Data!$A:$A,0)),$BX$12)),"-")</f>
        <v>46</v>
      </c>
      <c r="BN19" s="71">
        <f ca="1">IF(AND(BE19&gt;=$AC$4,BE19&lt;=$AU$4),IF(""=IFERROR(INDEX(INDIRECT("Data!C"&amp;$K$5,FALSE),MATCH(BE19,Data!$A:$A,0)),$BX$12),$BX$11,IFERROR(INDEX(INDIRECT("Data!C"&amp;$K$5,FALSE),MATCH(BE19,Data!$A:$A,0)),$BX$12)),"-")</f>
        <v>322</v>
      </c>
      <c r="BO19" s="71">
        <f ca="1">IF(AND(BF19&gt;=$AC$4,BF19&lt;=$AU$4),IF(""=IFERROR(INDEX(INDIRECT("Data!C"&amp;$K$5,FALSE),MATCH(BF19,Data!$A:$A,0)),$BX$12),$BX$11,IFERROR(INDEX(INDIRECT("Data!C"&amp;$K$5,FALSE),MATCH(BF19,Data!$A:$A,0)),$BX$12)),"-")</f>
        <v>379</v>
      </c>
      <c r="BP19" s="71">
        <f ca="1">IF(AND(BG19&gt;=$AC$4,BG19&lt;=$AU$4),IF(""=IFERROR(INDEX(INDIRECT("Data!C"&amp;$K$5,FALSE),MATCH(BG19,Data!$A:$A,0)),$BX$12),$BX$11,IFERROR(INDEX(INDIRECT("Data!C"&amp;$K$5,FALSE),MATCH(BG19,Data!$A:$A,0)),$BX$12)),"-")</f>
        <v>294</v>
      </c>
      <c r="BQ19" s="71">
        <f ca="1">IF(AND(BH19&gt;=$AC$4,BH19&lt;=$AU$4),IF(""=IFERROR(INDEX(INDIRECT("Data!C"&amp;$K$5,FALSE),MATCH(BH19,Data!$A:$A,0)),$BX$12),$BX$11,IFERROR(INDEX(INDIRECT("Data!C"&amp;$K$5,FALSE),MATCH(BH19,Data!$A:$A,0)),$BX$12)),"-")</f>
        <v>244</v>
      </c>
      <c r="BR19" s="71">
        <f ca="1">IF(AND(BI19&gt;=$AC$4,BI19&lt;=$AU$4),IF(""=IFERROR(INDEX(INDIRECT("Data!C"&amp;$K$5,FALSE),MATCH(BI19,Data!$A:$A,0)),$BX$12),$BX$11,IFERROR(INDEX(INDIRECT("Data!C"&amp;$K$5,FALSE),MATCH(BI19,Data!$A:$A,0)),$BX$12)),"-")</f>
        <v>276</v>
      </c>
      <c r="BS19" s="71">
        <f ca="1">IF(AND(BJ19&gt;=$AC$4,BJ19&lt;=$AU$4),IF(""=IFERROR(INDEX(INDIRECT("Data!C"&amp;$K$5,FALSE),MATCH(BJ19,Data!$A:$A,0)),$BX$12),$BX$11,IFERROR(INDEX(INDIRECT("Data!C"&amp;$K$5,FALSE),MATCH(BJ19,Data!$A:$A,0)),$BX$12)),"-")</f>
        <v>72</v>
      </c>
      <c r="BT19" s="7"/>
      <c r="BU19" s="58">
        <f t="shared" ca="1" si="47"/>
        <v>234.96428571428572</v>
      </c>
      <c r="BW19" s="92" t="s">
        <v>46</v>
      </c>
      <c r="BX19" s="59"/>
      <c r="BZ19" s="1"/>
    </row>
    <row r="20" spans="2:78" ht="12" customHeight="1" x14ac:dyDescent="0.2">
      <c r="B20" s="34">
        <f t="shared" si="48"/>
        <v>40965</v>
      </c>
      <c r="C20" s="34">
        <f t="shared" si="43"/>
        <v>40966</v>
      </c>
      <c r="D20" s="34">
        <f t="shared" si="43"/>
        <v>40967</v>
      </c>
      <c r="E20" s="34">
        <f t="shared" si="43"/>
        <v>40968</v>
      </c>
      <c r="F20" s="34">
        <f t="shared" si="43"/>
        <v>40969</v>
      </c>
      <c r="G20" s="34">
        <f t="shared" si="43"/>
        <v>40970</v>
      </c>
      <c r="H20" s="34">
        <f t="shared" si="43"/>
        <v>40971</v>
      </c>
      <c r="J20" s="24" t="str">
        <f t="array" ref="J20">IFERROR(IF(MATCH(8,DAY(B20:H20),0),H20,""),"")</f>
        <v/>
      </c>
      <c r="K20" s="71">
        <f ca="1">IF(AND(B20&gt;=$AC$4,B20&lt;=$AU$4),IF(""=IFERROR(INDEX(INDIRECT("Data!C"&amp;$K$5,FALSE),MATCH(B20,Data!$A:$A,0)),$BX$12),$BX$11,IFERROR(INDEX(INDIRECT("Data!C"&amp;$K$5,FALSE),MATCH(B20,Data!$A:$A,0)),$BX$12)),"-")</f>
        <v>48</v>
      </c>
      <c r="L20" s="71">
        <f ca="1">IF(AND(C20&gt;=$AC$4,C20&lt;=$AU$4),IF(""=IFERROR(INDEX(INDIRECT("Data!C"&amp;$K$5,FALSE),MATCH(C20,Data!$A:$A,0)),$BX$12),$BX$11,IFERROR(INDEX(INDIRECT("Data!C"&amp;$K$5,FALSE),MATCH(C20,Data!$A:$A,0)),$BX$12)),"-")</f>
        <v>364</v>
      </c>
      <c r="M20" s="71">
        <f ca="1">IF(AND(D20&gt;=$AC$4,D20&lt;=$AU$4),IF(""=IFERROR(INDEX(INDIRECT("Data!C"&amp;$K$5,FALSE),MATCH(D20,Data!$A:$A,0)),$BX$12),$BX$11,IFERROR(INDEX(INDIRECT("Data!C"&amp;$K$5,FALSE),MATCH(D20,Data!$A:$A,0)),$BX$12)),"-")</f>
        <v>438</v>
      </c>
      <c r="N20" s="71">
        <f ca="1">IF(AND(E20&gt;=$AC$4,E20&lt;=$AU$4),IF(""=IFERROR(INDEX(INDIRECT("Data!C"&amp;$K$5,FALSE),MATCH(E20,Data!$A:$A,0)),$BX$12),$BX$11,IFERROR(INDEX(INDIRECT("Data!C"&amp;$K$5,FALSE),MATCH(E20,Data!$A:$A,0)),$BX$12)),"-")</f>
        <v>300</v>
      </c>
      <c r="O20" s="71">
        <f ca="1">IF(AND(F20&gt;=$AC$4,F20&lt;=$AU$4),IF(""=IFERROR(INDEX(INDIRECT("Data!C"&amp;$K$5,FALSE),MATCH(F20,Data!$A:$A,0)),$BX$12),$BX$11,IFERROR(INDEX(INDIRECT("Data!C"&amp;$K$5,FALSE),MATCH(F20,Data!$A:$A,0)),$BX$12)),"-")</f>
        <v>281</v>
      </c>
      <c r="P20" s="71">
        <f ca="1">IF(AND(G20&gt;=$AC$4,G20&lt;=$AU$4),IF(""=IFERROR(INDEX(INDIRECT("Data!C"&amp;$K$5,FALSE),MATCH(G20,Data!$A:$A,0)),$BX$12),$BX$11,IFERROR(INDEX(INDIRECT("Data!C"&amp;$K$5,FALSE),MATCH(G20,Data!$A:$A,0)),$BX$12)),"-")</f>
        <v>297</v>
      </c>
      <c r="Q20" s="71">
        <f ca="1">IF(AND(H20&gt;=$AC$4,H20&lt;=$AU$4),IF(""=IFERROR(INDEX(INDIRECT("Data!C"&amp;$K$5,FALSE),MATCH(H20,Data!$A:$A,0)),$BX$12),$BX$11,IFERROR(INDEX(INDIRECT("Data!C"&amp;$K$5,FALSE),MATCH(H20,Data!$A:$A,0)),$BX$12)),"-")</f>
        <v>83</v>
      </c>
      <c r="R20" s="7"/>
      <c r="T20" s="34">
        <f t="shared" si="49"/>
        <v>41329</v>
      </c>
      <c r="U20" s="34">
        <f t="shared" si="44"/>
        <v>41330</v>
      </c>
      <c r="V20" s="34">
        <f t="shared" si="28"/>
        <v>41331</v>
      </c>
      <c r="W20" s="34">
        <f t="shared" si="29"/>
        <v>41332</v>
      </c>
      <c r="X20" s="34">
        <f t="shared" si="30"/>
        <v>41333</v>
      </c>
      <c r="Y20" s="34">
        <f t="shared" si="31"/>
        <v>41334</v>
      </c>
      <c r="Z20" s="34">
        <f t="shared" si="32"/>
        <v>41335</v>
      </c>
      <c r="AB20" s="24" t="str">
        <f t="array" ref="AB20">IFERROR(IF(MATCH(8,DAY(T20:Z20),0),Z20,""),"")</f>
        <v/>
      </c>
      <c r="AC20" s="71">
        <f ca="1">IF(AND(T20&gt;=$AC$4,T20&lt;=$AU$4),IF(""=IFERROR(INDEX(INDIRECT("Data!C"&amp;$K$5,FALSE),MATCH(T20,Data!$A:$A,0)),$BX$12),$BX$11,IFERROR(INDEX(INDIRECT("Data!C"&amp;$K$5,FALSE),MATCH(T20,Data!$A:$A,0)),$BX$12)),"-")</f>
        <v>36</v>
      </c>
      <c r="AD20" s="71">
        <f ca="1">IF(AND(U20&gt;=$AC$4,U20&lt;=$AU$4),IF(""=IFERROR(INDEX(INDIRECT("Data!C"&amp;$K$5,FALSE),MATCH(U20,Data!$A:$A,0)),$BX$12),$BX$11,IFERROR(INDEX(INDIRECT("Data!C"&amp;$K$5,FALSE),MATCH(U20,Data!$A:$A,0)),$BX$12)),"-")</f>
        <v>319</v>
      </c>
      <c r="AE20" s="71">
        <f ca="1">IF(AND(V20&gt;=$AC$4,V20&lt;=$AU$4),IF(""=IFERROR(INDEX(INDIRECT("Data!C"&amp;$K$5,FALSE),MATCH(V20,Data!$A:$A,0)),$BX$12),$BX$11,IFERROR(INDEX(INDIRECT("Data!C"&amp;$K$5,FALSE),MATCH(V20,Data!$A:$A,0)),$BX$12)),"-")</f>
        <v>292</v>
      </c>
      <c r="AF20" s="71">
        <f ca="1">IF(AND(W20&gt;=$AC$4,W20&lt;=$AU$4),IF(""=IFERROR(INDEX(INDIRECT("Data!C"&amp;$K$5,FALSE),MATCH(W20,Data!$A:$A,0)),$BX$12),$BX$11,IFERROR(INDEX(INDIRECT("Data!C"&amp;$K$5,FALSE),MATCH(W20,Data!$A:$A,0)),$BX$12)),"-")</f>
        <v>374</v>
      </c>
      <c r="AG20" s="71">
        <f ca="1">IF(AND(X20&gt;=$AC$4,X20&lt;=$AU$4),IF(""=IFERROR(INDEX(INDIRECT("Data!C"&amp;$K$5,FALSE),MATCH(X20,Data!$A:$A,0)),$BX$12),$BX$11,IFERROR(INDEX(INDIRECT("Data!C"&amp;$K$5,FALSE),MATCH(X20,Data!$A:$A,0)),$BX$12)),"-")</f>
        <v>309</v>
      </c>
      <c r="AH20" s="71">
        <f ca="1">IF(AND(Y20&gt;=$AC$4,Y20&lt;=$AU$4),IF(""=IFERROR(INDEX(INDIRECT("Data!C"&amp;$K$5,FALSE),MATCH(Y20,Data!$A:$A,0)),$BX$12),$BX$11,IFERROR(INDEX(INDIRECT("Data!C"&amp;$K$5,FALSE),MATCH(Y20,Data!$A:$A,0)),$BX$12)),"-")</f>
        <v>187</v>
      </c>
      <c r="AI20" s="71">
        <f ca="1">IF(AND(Z20&gt;=$AC$4,Z20&lt;=$AU$4),IF(""=IFERROR(INDEX(INDIRECT("Data!C"&amp;$K$5,FALSE),MATCH(Z20,Data!$A:$A,0)),$BX$12),$BX$11,IFERROR(INDEX(INDIRECT("Data!C"&amp;$K$5,FALSE),MATCH(Z20,Data!$A:$A,0)),$BX$12)),"-")</f>
        <v>62</v>
      </c>
      <c r="AJ20" s="7"/>
      <c r="AL20" s="34">
        <f t="shared" si="50"/>
        <v>41693</v>
      </c>
      <c r="AM20" s="34">
        <f t="shared" si="45"/>
        <v>41694</v>
      </c>
      <c r="AN20" s="34">
        <f t="shared" si="33"/>
        <v>41695</v>
      </c>
      <c r="AO20" s="34">
        <f t="shared" si="34"/>
        <v>41696</v>
      </c>
      <c r="AP20" s="34">
        <f t="shared" si="35"/>
        <v>41697</v>
      </c>
      <c r="AQ20" s="34">
        <f t="shared" si="36"/>
        <v>41698</v>
      </c>
      <c r="AR20" s="34">
        <f t="shared" si="37"/>
        <v>41699</v>
      </c>
      <c r="AT20" s="24" t="str">
        <f t="array" ref="AT20">IFERROR(IF(MATCH(8,DAY(AL20:AR20),0),AR20,""),"")</f>
        <v/>
      </c>
      <c r="AU20" s="71">
        <f ca="1">IF(AND(AL20&gt;=$AC$4,AL20&lt;=$AU$4),IF(""=IFERROR(INDEX(INDIRECT("Data!C"&amp;$K$5,FALSE),MATCH(AL20,Data!$A:$A,0)),$BX$12),$BX$11,IFERROR(INDEX(INDIRECT("Data!C"&amp;$K$5,FALSE),MATCH(AL20,Data!$A:$A,0)),$BX$12)),"-")</f>
        <v>42</v>
      </c>
      <c r="AV20" s="71">
        <f ca="1">IF(AND(AM20&gt;=$AC$4,AM20&lt;=$AU$4),IF(""=IFERROR(INDEX(INDIRECT("Data!C"&amp;$K$5,FALSE),MATCH(AM20,Data!$A:$A,0)),$BX$12),$BX$11,IFERROR(INDEX(INDIRECT("Data!C"&amp;$K$5,FALSE),MATCH(AM20,Data!$A:$A,0)),$BX$12)),"-")</f>
        <v>458</v>
      </c>
      <c r="AW20" s="71">
        <f ca="1">IF(AND(AN20&gt;=$AC$4,AN20&lt;=$AU$4),IF(""=IFERROR(INDEX(INDIRECT("Data!C"&amp;$K$5,FALSE),MATCH(AN20,Data!$A:$A,0)),$BX$12),$BX$11,IFERROR(INDEX(INDIRECT("Data!C"&amp;$K$5,FALSE),MATCH(AN20,Data!$A:$A,0)),$BX$12)),"-")</f>
        <v>369</v>
      </c>
      <c r="AX20" s="71">
        <f ca="1">IF(AND(AO20&gt;=$AC$4,AO20&lt;=$AU$4),IF(""=IFERROR(INDEX(INDIRECT("Data!C"&amp;$K$5,FALSE),MATCH(AO20,Data!$A:$A,0)),$BX$12),$BX$11,IFERROR(INDEX(INDIRECT("Data!C"&amp;$K$5,FALSE),MATCH(AO20,Data!$A:$A,0)),$BX$12)),"-")</f>
        <v>336</v>
      </c>
      <c r="AY20" s="71">
        <f ca="1">IF(AND(AP20&gt;=$AC$4,AP20&lt;=$AU$4),IF(""=IFERROR(INDEX(INDIRECT("Data!C"&amp;$K$5,FALSE),MATCH(AP20,Data!$A:$A,0)),$BX$12),$BX$11,IFERROR(INDEX(INDIRECT("Data!C"&amp;$K$5,FALSE),MATCH(AP20,Data!$A:$A,0)),$BX$12)),"-")</f>
        <v>285</v>
      </c>
      <c r="AZ20" s="71">
        <f ca="1">IF(AND(AQ20&gt;=$AC$4,AQ20&lt;=$AU$4),IF(""=IFERROR(INDEX(INDIRECT("Data!C"&amp;$K$5,FALSE),MATCH(AQ20,Data!$A:$A,0)),$BX$12),$BX$11,IFERROR(INDEX(INDIRECT("Data!C"&amp;$K$5,FALSE),MATCH(AQ20,Data!$A:$A,0)),$BX$12)),"-")</f>
        <v>255</v>
      </c>
      <c r="BA20" s="71">
        <f ca="1">IF(AND(AR20&gt;=$AC$4,AR20&lt;=$AU$4),IF(""=IFERROR(INDEX(INDIRECT("Data!C"&amp;$K$5,FALSE),MATCH(AR20,Data!$A:$A,0)),$BX$12),$BX$11,IFERROR(INDEX(INDIRECT("Data!C"&amp;$K$5,FALSE),MATCH(AR20,Data!$A:$A,0)),$BX$12)),"-")</f>
        <v>63</v>
      </c>
      <c r="BB20" s="7"/>
      <c r="BD20" s="34">
        <f t="shared" si="51"/>
        <v>42057</v>
      </c>
      <c r="BE20" s="34">
        <f t="shared" si="46"/>
        <v>42058</v>
      </c>
      <c r="BF20" s="34">
        <f t="shared" si="38"/>
        <v>42059</v>
      </c>
      <c r="BG20" s="34">
        <f t="shared" si="39"/>
        <v>42060</v>
      </c>
      <c r="BH20" s="34">
        <f t="shared" si="40"/>
        <v>42061</v>
      </c>
      <c r="BI20" s="34">
        <f t="shared" si="41"/>
        <v>42062</v>
      </c>
      <c r="BJ20" s="34">
        <f t="shared" si="42"/>
        <v>42063</v>
      </c>
      <c r="BL20" s="24" t="str">
        <f t="array" ref="BL20">IFERROR(IF(MATCH(8,DAY(BD20:BJ20),0),BJ20,""),"")</f>
        <v/>
      </c>
      <c r="BM20" s="71">
        <f ca="1">IF(AND(BD20&gt;=$AC$4,BD20&lt;=$AU$4),IF(""=IFERROR(INDEX(INDIRECT("Data!C"&amp;$K$5,FALSE),MATCH(BD20,Data!$A:$A,0)),$BX$12),$BX$11,IFERROR(INDEX(INDIRECT("Data!C"&amp;$K$5,FALSE),MATCH(BD20,Data!$A:$A,0)),$BX$12)),"-")</f>
        <v>47</v>
      </c>
      <c r="BN20" s="71">
        <f ca="1">IF(AND(BE20&gt;=$AC$4,BE20&lt;=$AU$4),IF(""=IFERROR(INDEX(INDIRECT("Data!C"&amp;$K$5,FALSE),MATCH(BE20,Data!$A:$A,0)),$BX$12),$BX$11,IFERROR(INDEX(INDIRECT("Data!C"&amp;$K$5,FALSE),MATCH(BE20,Data!$A:$A,0)),$BX$12)),"-")</f>
        <v>395</v>
      </c>
      <c r="BO20" s="71">
        <f ca="1">IF(AND(BF20&gt;=$AC$4,BF20&lt;=$AU$4),IF(""=IFERROR(INDEX(INDIRECT("Data!C"&amp;$K$5,FALSE),MATCH(BF20,Data!$A:$A,0)),$BX$12),$BX$11,IFERROR(INDEX(INDIRECT("Data!C"&amp;$K$5,FALSE),MATCH(BF20,Data!$A:$A,0)),$BX$12)),"-")</f>
        <v>389</v>
      </c>
      <c r="BP20" s="71">
        <f ca="1">IF(AND(BG20&gt;=$AC$4,BG20&lt;=$AU$4),IF(""=IFERROR(INDEX(INDIRECT("Data!C"&amp;$K$5,FALSE),MATCH(BG20,Data!$A:$A,0)),$BX$12),$BX$11,IFERROR(INDEX(INDIRECT("Data!C"&amp;$K$5,FALSE),MATCH(BG20,Data!$A:$A,0)),$BX$12)),"-")</f>
        <v>354</v>
      </c>
      <c r="BQ20" s="71">
        <f ca="1">IF(AND(BH20&gt;=$AC$4,BH20&lt;=$AU$4),IF(""=IFERROR(INDEX(INDIRECT("Data!C"&amp;$K$5,FALSE),MATCH(BH20,Data!$A:$A,0)),$BX$12),$BX$11,IFERROR(INDEX(INDIRECT("Data!C"&amp;$K$5,FALSE),MATCH(BH20,Data!$A:$A,0)),$BX$12)),"-")</f>
        <v>283</v>
      </c>
      <c r="BR20" s="71">
        <f ca="1">IF(AND(BI20&gt;=$AC$4,BI20&lt;=$AU$4),IF(""=IFERROR(INDEX(INDIRECT("Data!C"&amp;$K$5,FALSE),MATCH(BI20,Data!$A:$A,0)),$BX$12),$BX$11,IFERROR(INDEX(INDIRECT("Data!C"&amp;$K$5,FALSE),MATCH(BI20,Data!$A:$A,0)),$BX$12)),"-")</f>
        <v>239</v>
      </c>
      <c r="BS20" s="71">
        <f ca="1">IF(AND(BJ20&gt;=$AC$4,BJ20&lt;=$AU$4),IF(""=IFERROR(INDEX(INDIRECT("Data!C"&amp;$K$5,FALSE),MATCH(BJ20,Data!$A:$A,0)),$BX$12),$BX$11,IFERROR(INDEX(INDIRECT("Data!C"&amp;$K$5,FALSE),MATCH(BJ20,Data!$A:$A,0)),$BX$12)),"-")</f>
        <v>58</v>
      </c>
      <c r="BT20" s="7"/>
      <c r="BU20" s="58">
        <f t="shared" ca="1" si="47"/>
        <v>248.67857142857142</v>
      </c>
      <c r="BW20" s="92" t="s">
        <v>47</v>
      </c>
    </row>
    <row r="21" spans="2:78" ht="12" customHeight="1" x14ac:dyDescent="0.2">
      <c r="B21" s="34">
        <f t="shared" si="48"/>
        <v>40972</v>
      </c>
      <c r="C21" s="34">
        <f t="shared" si="43"/>
        <v>40973</v>
      </c>
      <c r="D21" s="34">
        <f t="shared" si="43"/>
        <v>40974</v>
      </c>
      <c r="E21" s="34">
        <f t="shared" si="43"/>
        <v>40975</v>
      </c>
      <c r="F21" s="34">
        <f t="shared" si="43"/>
        <v>40976</v>
      </c>
      <c r="G21" s="34">
        <f t="shared" si="43"/>
        <v>40977</v>
      </c>
      <c r="H21" s="34">
        <f t="shared" si="43"/>
        <v>40978</v>
      </c>
      <c r="J21" s="24">
        <f t="array" ref="J21">IFERROR(IF(MATCH(8,DAY(B21:H21),0),H21,""),"")</f>
        <v>40978</v>
      </c>
      <c r="K21" s="71">
        <f ca="1">IF(AND(B21&gt;=$AC$4,B21&lt;=$AU$4),IF(""=IFERROR(INDEX(INDIRECT("Data!C"&amp;$K$5,FALSE),MATCH(B21,Data!$A:$A,0)),$BX$12),$BX$11,IFERROR(INDEX(INDIRECT("Data!C"&amp;$K$5,FALSE),MATCH(B21,Data!$A:$A,0)),$BX$12)),"-")</f>
        <v>48</v>
      </c>
      <c r="L21" s="71">
        <f ca="1">IF(AND(C21&gt;=$AC$4,C21&lt;=$AU$4),IF(""=IFERROR(INDEX(INDIRECT("Data!C"&amp;$K$5,FALSE),MATCH(C21,Data!$A:$A,0)),$BX$12),$BX$11,IFERROR(INDEX(INDIRECT("Data!C"&amp;$K$5,FALSE),MATCH(C21,Data!$A:$A,0)),$BX$12)),"-")</f>
        <v>475</v>
      </c>
      <c r="M21" s="71">
        <f ca="1">IF(AND(D21&gt;=$AC$4,D21&lt;=$AU$4),IF(""=IFERROR(INDEX(INDIRECT("Data!C"&amp;$K$5,FALSE),MATCH(D21,Data!$A:$A,0)),$BX$12),$BX$11,IFERROR(INDEX(INDIRECT("Data!C"&amp;$K$5,FALSE),MATCH(D21,Data!$A:$A,0)),$BX$12)),"-")</f>
        <v>333</v>
      </c>
      <c r="N21" s="71">
        <f ca="1">IF(AND(E21&gt;=$AC$4,E21&lt;=$AU$4),IF(""=IFERROR(INDEX(INDIRECT("Data!C"&amp;$K$5,FALSE),MATCH(E21,Data!$A:$A,0)),$BX$12),$BX$11,IFERROR(INDEX(INDIRECT("Data!C"&amp;$K$5,FALSE),MATCH(E21,Data!$A:$A,0)),$BX$12)),"-")</f>
        <v>322</v>
      </c>
      <c r="O21" s="71">
        <f ca="1">IF(AND(F21&gt;=$AC$4,F21&lt;=$AU$4),IF(""=IFERROR(INDEX(INDIRECT("Data!C"&amp;$K$5,FALSE),MATCH(F21,Data!$A:$A,0)),$BX$12),$BX$11,IFERROR(INDEX(INDIRECT("Data!C"&amp;$K$5,FALSE),MATCH(F21,Data!$A:$A,0)),$BX$12)),"-")</f>
        <v>201</v>
      </c>
      <c r="P21" s="71">
        <f ca="1">IF(AND(G21&gt;=$AC$4,G21&lt;=$AU$4),IF(""=IFERROR(INDEX(INDIRECT("Data!C"&amp;$K$5,FALSE),MATCH(G21,Data!$A:$A,0)),$BX$12),$BX$11,IFERROR(INDEX(INDIRECT("Data!C"&amp;$K$5,FALSE),MATCH(G21,Data!$A:$A,0)),$BX$12)),"-")</f>
        <v>264</v>
      </c>
      <c r="Q21" s="71">
        <f ca="1">IF(AND(H21&gt;=$AC$4,H21&lt;=$AU$4),IF(""=IFERROR(INDEX(INDIRECT("Data!C"&amp;$K$5,FALSE),MATCH(H21,Data!$A:$A,0)),$BX$12),$BX$11,IFERROR(INDEX(INDIRECT("Data!C"&amp;$K$5,FALSE),MATCH(H21,Data!$A:$A,0)),$BX$12)),"-")</f>
        <v>68</v>
      </c>
      <c r="R21" s="7"/>
      <c r="T21" s="34">
        <f t="shared" si="49"/>
        <v>41336</v>
      </c>
      <c r="U21" s="34">
        <f t="shared" si="44"/>
        <v>41337</v>
      </c>
      <c r="V21" s="34">
        <f t="shared" si="28"/>
        <v>41338</v>
      </c>
      <c r="W21" s="34">
        <f t="shared" si="29"/>
        <v>41339</v>
      </c>
      <c r="X21" s="34">
        <f t="shared" si="30"/>
        <v>41340</v>
      </c>
      <c r="Y21" s="34">
        <f t="shared" si="31"/>
        <v>41341</v>
      </c>
      <c r="Z21" s="34">
        <f t="shared" si="32"/>
        <v>41342</v>
      </c>
      <c r="AB21" s="24">
        <f t="array" ref="AB21">IFERROR(IF(MATCH(8,DAY(T21:Z21),0),Z21,""),"")</f>
        <v>41342</v>
      </c>
      <c r="AC21" s="71">
        <f ca="1">IF(AND(T21&gt;=$AC$4,T21&lt;=$AU$4),IF(""=IFERROR(INDEX(INDIRECT("Data!C"&amp;$K$5,FALSE),MATCH(T21,Data!$A:$A,0)),$BX$12),$BX$11,IFERROR(INDEX(INDIRECT("Data!C"&amp;$K$5,FALSE),MATCH(T21,Data!$A:$A,0)),$BX$12)),"-")</f>
        <v>33</v>
      </c>
      <c r="AD21" s="71">
        <f ca="1">IF(AND(U21&gt;=$AC$4,U21&lt;=$AU$4),IF(""=IFERROR(INDEX(INDIRECT("Data!C"&amp;$K$5,FALSE),MATCH(U21,Data!$A:$A,0)),$BX$12),$BX$11,IFERROR(INDEX(INDIRECT("Data!C"&amp;$K$5,FALSE),MATCH(U21,Data!$A:$A,0)),$BX$12)),"-")</f>
        <v>427</v>
      </c>
      <c r="AE21" s="71">
        <f ca="1">IF(AND(V21&gt;=$AC$4,V21&lt;=$AU$4),IF(""=IFERROR(INDEX(INDIRECT("Data!C"&amp;$K$5,FALSE),MATCH(V21,Data!$A:$A,0)),$BX$12),$BX$11,IFERROR(INDEX(INDIRECT("Data!C"&amp;$K$5,FALSE),MATCH(V21,Data!$A:$A,0)),$BX$12)),"-")</f>
        <v>380</v>
      </c>
      <c r="AF21" s="71">
        <f ca="1">IF(AND(W21&gt;=$AC$4,W21&lt;=$AU$4),IF(""=IFERROR(INDEX(INDIRECT("Data!C"&amp;$K$5,FALSE),MATCH(W21,Data!$A:$A,0)),$BX$12),$BX$11,IFERROR(INDEX(INDIRECT("Data!C"&amp;$K$5,FALSE),MATCH(W21,Data!$A:$A,0)),$BX$12)),"-")</f>
        <v>264</v>
      </c>
      <c r="AG21" s="71">
        <f ca="1">IF(AND(X21&gt;=$AC$4,X21&lt;=$AU$4),IF(""=IFERROR(INDEX(INDIRECT("Data!C"&amp;$K$5,FALSE),MATCH(X21,Data!$A:$A,0)),$BX$12),$BX$11,IFERROR(INDEX(INDIRECT("Data!C"&amp;$K$5,FALSE),MATCH(X21,Data!$A:$A,0)),$BX$12)),"-")</f>
        <v>227</v>
      </c>
      <c r="AH21" s="71">
        <f ca="1">IF(AND(Y21&gt;=$AC$4,Y21&lt;=$AU$4),IF(""=IFERROR(INDEX(INDIRECT("Data!C"&amp;$K$5,FALSE),MATCH(Y21,Data!$A:$A,0)),$BX$12),$BX$11,IFERROR(INDEX(INDIRECT("Data!C"&amp;$K$5,FALSE),MATCH(Y21,Data!$A:$A,0)),$BX$12)),"-")</f>
        <v>257</v>
      </c>
      <c r="AI21" s="71">
        <f ca="1">IF(AND(Z21&gt;=$AC$4,Z21&lt;=$AU$4),IF(""=IFERROR(INDEX(INDIRECT("Data!C"&amp;$K$5,FALSE),MATCH(Z21,Data!$A:$A,0)),$BX$12),$BX$11,IFERROR(INDEX(INDIRECT("Data!C"&amp;$K$5,FALSE),MATCH(Z21,Data!$A:$A,0)),$BX$12)),"-")</f>
        <v>61</v>
      </c>
      <c r="AJ21" s="7"/>
      <c r="AL21" s="34">
        <f t="shared" si="50"/>
        <v>41700</v>
      </c>
      <c r="AM21" s="34">
        <f t="shared" si="45"/>
        <v>41701</v>
      </c>
      <c r="AN21" s="34">
        <f t="shared" si="33"/>
        <v>41702</v>
      </c>
      <c r="AO21" s="34">
        <f t="shared" si="34"/>
        <v>41703</v>
      </c>
      <c r="AP21" s="34">
        <f t="shared" si="35"/>
        <v>41704</v>
      </c>
      <c r="AQ21" s="34">
        <f t="shared" si="36"/>
        <v>41705</v>
      </c>
      <c r="AR21" s="34">
        <f t="shared" si="37"/>
        <v>41706</v>
      </c>
      <c r="AT21" s="24">
        <f t="array" ref="AT21">IFERROR(IF(MATCH(8,DAY(AL21:AR21),0),AR21,""),"")</f>
        <v>41706</v>
      </c>
      <c r="AU21" s="71">
        <f ca="1">IF(AND(AL21&gt;=$AC$4,AL21&lt;=$AU$4),IF(""=IFERROR(INDEX(INDIRECT("Data!C"&amp;$K$5,FALSE),MATCH(AL21,Data!$A:$A,0)),$BX$12),$BX$11,IFERROR(INDEX(INDIRECT("Data!C"&amp;$K$5,FALSE),MATCH(AL21,Data!$A:$A,0)),$BX$12)),"-")</f>
        <v>39</v>
      </c>
      <c r="AV21" s="71">
        <f ca="1">IF(AND(AM21&gt;=$AC$4,AM21&lt;=$AU$4),IF(""=IFERROR(INDEX(INDIRECT("Data!C"&amp;$K$5,FALSE),MATCH(AM21,Data!$A:$A,0)),$BX$12),$BX$11,IFERROR(INDEX(INDIRECT("Data!C"&amp;$K$5,FALSE),MATCH(AM21,Data!$A:$A,0)),$BX$12)),"-")</f>
        <v>391</v>
      </c>
      <c r="AW21" s="71">
        <f ca="1">IF(AND(AN21&gt;=$AC$4,AN21&lt;=$AU$4),IF(""=IFERROR(INDEX(INDIRECT("Data!C"&amp;$K$5,FALSE),MATCH(AN21,Data!$A:$A,0)),$BX$12),$BX$11,IFERROR(INDEX(INDIRECT("Data!C"&amp;$K$5,FALSE),MATCH(AN21,Data!$A:$A,0)),$BX$12)),"-")</f>
        <v>378</v>
      </c>
      <c r="AX21" s="71">
        <f ca="1">IF(AND(AO21&gt;=$AC$4,AO21&lt;=$AU$4),IF(""=IFERROR(INDEX(INDIRECT("Data!C"&amp;$K$5,FALSE),MATCH(AO21,Data!$A:$A,0)),$BX$12),$BX$11,IFERROR(INDEX(INDIRECT("Data!C"&amp;$K$5,FALSE),MATCH(AO21,Data!$A:$A,0)),$BX$12)),"-")</f>
        <v>317</v>
      </c>
      <c r="AY21" s="71">
        <f ca="1">IF(AND(AP21&gt;=$AC$4,AP21&lt;=$AU$4),IF(""=IFERROR(INDEX(INDIRECT("Data!C"&amp;$K$5,FALSE),MATCH(AP21,Data!$A:$A,0)),$BX$12),$BX$11,IFERROR(INDEX(INDIRECT("Data!C"&amp;$K$5,FALSE),MATCH(AP21,Data!$A:$A,0)),$BX$12)),"-")</f>
        <v>247</v>
      </c>
      <c r="AZ21" s="71">
        <f ca="1">IF(AND(AQ21&gt;=$AC$4,AQ21&lt;=$AU$4),IF(""=IFERROR(INDEX(INDIRECT("Data!C"&amp;$K$5,FALSE),MATCH(AQ21,Data!$A:$A,0)),$BX$12),$BX$11,IFERROR(INDEX(INDIRECT("Data!C"&amp;$K$5,FALSE),MATCH(AQ21,Data!$A:$A,0)),$BX$12)),"-")</f>
        <v>162</v>
      </c>
      <c r="BA21" s="71">
        <f ca="1">IF(AND(AR21&gt;=$AC$4,AR21&lt;=$AU$4),IF(""=IFERROR(INDEX(INDIRECT("Data!C"&amp;$K$5,FALSE),MATCH(AR21,Data!$A:$A,0)),$BX$12),$BX$11,IFERROR(INDEX(INDIRECT("Data!C"&amp;$K$5,FALSE),MATCH(AR21,Data!$A:$A,0)),$BX$12)),"-")</f>
        <v>67</v>
      </c>
      <c r="BB21" s="7"/>
      <c r="BD21" s="34">
        <f t="shared" si="51"/>
        <v>42064</v>
      </c>
      <c r="BE21" s="34">
        <f t="shared" si="46"/>
        <v>42065</v>
      </c>
      <c r="BF21" s="34">
        <f t="shared" si="38"/>
        <v>42066</v>
      </c>
      <c r="BG21" s="34">
        <f t="shared" si="39"/>
        <v>42067</v>
      </c>
      <c r="BH21" s="34">
        <f t="shared" si="40"/>
        <v>42068</v>
      </c>
      <c r="BI21" s="34">
        <f t="shared" si="41"/>
        <v>42069</v>
      </c>
      <c r="BJ21" s="34">
        <f t="shared" si="42"/>
        <v>42070</v>
      </c>
      <c r="BL21" s="24" t="str">
        <f t="array" ref="BL21">IFERROR(IF(MATCH(8,DAY(BD21:BJ21),0),BJ21,""),"")</f>
        <v/>
      </c>
      <c r="BM21" s="71">
        <f ca="1">IF(AND(BD21&gt;=$AC$4,BD21&lt;=$AU$4),IF(""=IFERROR(INDEX(INDIRECT("Data!C"&amp;$K$5,FALSE),MATCH(BD21,Data!$A:$A,0)),$BX$12),$BX$11,IFERROR(INDEX(INDIRECT("Data!C"&amp;$K$5,FALSE),MATCH(BD21,Data!$A:$A,0)),$BX$12)),"-")</f>
        <v>35</v>
      </c>
      <c r="BN21" s="71">
        <f ca="1">IF(AND(BE21&gt;=$AC$4,BE21&lt;=$AU$4),IF(""=IFERROR(INDEX(INDIRECT("Data!C"&amp;$K$5,FALSE),MATCH(BE21,Data!$A:$A,0)),$BX$12),$BX$11,IFERROR(INDEX(INDIRECT("Data!C"&amp;$K$5,FALSE),MATCH(BE21,Data!$A:$A,0)),$BX$12)),"-")</f>
        <v>404</v>
      </c>
      <c r="BO21" s="71">
        <f ca="1">IF(AND(BF21&gt;=$AC$4,BF21&lt;=$AU$4),IF(""=IFERROR(INDEX(INDIRECT("Data!C"&amp;$K$5,FALSE),MATCH(BF21,Data!$A:$A,0)),$BX$12),$BX$11,IFERROR(INDEX(INDIRECT("Data!C"&amp;$K$5,FALSE),MATCH(BF21,Data!$A:$A,0)),$BX$12)),"-")</f>
        <v>214</v>
      </c>
      <c r="BP21" s="71">
        <f ca="1">IF(AND(BG21&gt;=$AC$4,BG21&lt;=$AU$4),IF(""=IFERROR(INDEX(INDIRECT("Data!C"&amp;$K$5,FALSE),MATCH(BG21,Data!$A:$A,0)),$BX$12),$BX$11,IFERROR(INDEX(INDIRECT("Data!C"&amp;$K$5,FALSE),MATCH(BG21,Data!$A:$A,0)),$BX$12)),"-")</f>
        <v>232</v>
      </c>
      <c r="BQ21" s="71">
        <f ca="1">IF(AND(BH21&gt;=$AC$4,BH21&lt;=$AU$4),IF(""=IFERROR(INDEX(INDIRECT("Data!C"&amp;$K$5,FALSE),MATCH(BH21,Data!$A:$A,0)),$BX$12),$BX$11,IFERROR(INDEX(INDIRECT("Data!C"&amp;$K$5,FALSE),MATCH(BH21,Data!$A:$A,0)),$BX$12)),"-")</f>
        <v>256</v>
      </c>
      <c r="BR21" s="71">
        <f ca="1">IF(AND(BI21&gt;=$AC$4,BI21&lt;=$AU$4),IF(""=IFERROR(INDEX(INDIRECT("Data!C"&amp;$K$5,FALSE),MATCH(BI21,Data!$A:$A,0)),$BX$12),$BX$11,IFERROR(INDEX(INDIRECT("Data!C"&amp;$K$5,FALSE),MATCH(BI21,Data!$A:$A,0)),$BX$12)),"-")</f>
        <v>196</v>
      </c>
      <c r="BS21" s="71">
        <f ca="1">IF(AND(BJ21&gt;=$AC$4,BJ21&lt;=$AU$4),IF(""=IFERROR(INDEX(INDIRECT("Data!C"&amp;$K$5,FALSE),MATCH(BJ21,Data!$A:$A,0)),$BX$12),$BX$11,IFERROR(INDEX(INDIRECT("Data!C"&amp;$K$5,FALSE),MATCH(BJ21,Data!$A:$A,0)),$BX$12)),"-")</f>
        <v>43</v>
      </c>
      <c r="BT21" s="7"/>
      <c r="BU21" s="58">
        <f t="shared" ca="1" si="47"/>
        <v>226.46428571428572</v>
      </c>
      <c r="BW21" s="92" t="s">
        <v>48</v>
      </c>
    </row>
    <row r="22" spans="2:78" ht="12" customHeight="1" x14ac:dyDescent="0.2">
      <c r="B22" s="34">
        <f t="shared" si="48"/>
        <v>40979</v>
      </c>
      <c r="C22" s="34">
        <f t="shared" si="43"/>
        <v>40980</v>
      </c>
      <c r="D22" s="34">
        <f t="shared" si="43"/>
        <v>40981</v>
      </c>
      <c r="E22" s="34">
        <f t="shared" si="43"/>
        <v>40982</v>
      </c>
      <c r="F22" s="34">
        <f t="shared" si="43"/>
        <v>40983</v>
      </c>
      <c r="G22" s="34">
        <f t="shared" si="43"/>
        <v>40984</v>
      </c>
      <c r="H22" s="34">
        <f t="shared" si="43"/>
        <v>40985</v>
      </c>
      <c r="J22" s="24" t="str">
        <f t="array" ref="J22">IFERROR(IF(MATCH(8,DAY(B22:H22),0),H22,""),"")</f>
        <v/>
      </c>
      <c r="K22" s="71">
        <f ca="1">IF(AND(B22&gt;=$AC$4,B22&lt;=$AU$4),IF(""=IFERROR(INDEX(INDIRECT("Data!C"&amp;$K$5,FALSE),MATCH(B22,Data!$A:$A,0)),$BX$12),$BX$11,IFERROR(INDEX(INDIRECT("Data!C"&amp;$K$5,FALSE),MATCH(B22,Data!$A:$A,0)),$BX$12)),"-")</f>
        <v>32</v>
      </c>
      <c r="L22" s="71">
        <f ca="1">IF(AND(C22&gt;=$AC$4,C22&lt;=$AU$4),IF(""=IFERROR(INDEX(INDIRECT("Data!C"&amp;$K$5,FALSE),MATCH(C22,Data!$A:$A,0)),$BX$12),$BX$11,IFERROR(INDEX(INDIRECT("Data!C"&amp;$K$5,FALSE),MATCH(C22,Data!$A:$A,0)),$BX$12)),"-")</f>
        <v>292</v>
      </c>
      <c r="M22" s="71">
        <f ca="1">IF(AND(D22&gt;=$AC$4,D22&lt;=$AU$4),IF(""=IFERROR(INDEX(INDIRECT("Data!C"&amp;$K$5,FALSE),MATCH(D22,Data!$A:$A,0)),$BX$12),$BX$11,IFERROR(INDEX(INDIRECT("Data!C"&amp;$K$5,FALSE),MATCH(D22,Data!$A:$A,0)),$BX$12)),"-")</f>
        <v>369</v>
      </c>
      <c r="N22" s="71">
        <f ca="1">IF(AND(E22&gt;=$AC$4,E22&lt;=$AU$4),IF(""=IFERROR(INDEX(INDIRECT("Data!C"&amp;$K$5,FALSE),MATCH(E22,Data!$A:$A,0)),$BX$12),$BX$11,IFERROR(INDEX(INDIRECT("Data!C"&amp;$K$5,FALSE),MATCH(E22,Data!$A:$A,0)),$BX$12)),"-")</f>
        <v>276</v>
      </c>
      <c r="O22" s="71">
        <f ca="1">IF(AND(F22&gt;=$AC$4,F22&lt;=$AU$4),IF(""=IFERROR(INDEX(INDIRECT("Data!C"&amp;$K$5,FALSE),MATCH(F22,Data!$A:$A,0)),$BX$12),$BX$11,IFERROR(INDEX(INDIRECT("Data!C"&amp;$K$5,FALSE),MATCH(F22,Data!$A:$A,0)),$BX$12)),"-")</f>
        <v>285</v>
      </c>
      <c r="P22" s="71">
        <f ca="1">IF(AND(G22&gt;=$AC$4,G22&lt;=$AU$4),IF(""=IFERROR(INDEX(INDIRECT("Data!C"&amp;$K$5,FALSE),MATCH(G22,Data!$A:$A,0)),$BX$12),$BX$11,IFERROR(INDEX(INDIRECT("Data!C"&amp;$K$5,FALSE),MATCH(G22,Data!$A:$A,0)),$BX$12)),"-")</f>
        <v>194</v>
      </c>
      <c r="Q22" s="71">
        <f ca="1">IF(AND(H22&gt;=$AC$4,H22&lt;=$AU$4),IF(""=IFERROR(INDEX(INDIRECT("Data!C"&amp;$K$5,FALSE),MATCH(H22,Data!$A:$A,0)),$BX$12),$BX$11,IFERROR(INDEX(INDIRECT("Data!C"&amp;$K$5,FALSE),MATCH(H22,Data!$A:$A,0)),$BX$12)),"-")</f>
        <v>65</v>
      </c>
      <c r="R22" s="7"/>
      <c r="T22" s="34">
        <f t="shared" si="49"/>
        <v>41343</v>
      </c>
      <c r="U22" s="34">
        <f t="shared" si="44"/>
        <v>41344</v>
      </c>
      <c r="V22" s="34">
        <f t="shared" si="28"/>
        <v>41345</v>
      </c>
      <c r="W22" s="34">
        <f t="shared" si="29"/>
        <v>41346</v>
      </c>
      <c r="X22" s="34">
        <f t="shared" si="30"/>
        <v>41347</v>
      </c>
      <c r="Y22" s="34">
        <f t="shared" si="31"/>
        <v>41348</v>
      </c>
      <c r="Z22" s="34">
        <f t="shared" si="32"/>
        <v>41349</v>
      </c>
      <c r="AB22" s="24" t="str">
        <f t="array" ref="AB22">IFERROR(IF(MATCH(8,DAY(T22:Z22),0),Z22,""),"")</f>
        <v/>
      </c>
      <c r="AC22" s="71">
        <f ca="1">IF(AND(T22&gt;=$AC$4,T22&lt;=$AU$4),IF(""=IFERROR(INDEX(INDIRECT("Data!C"&amp;$K$5,FALSE),MATCH(T22,Data!$A:$A,0)),$BX$12),$BX$11,IFERROR(INDEX(INDIRECT("Data!C"&amp;$K$5,FALSE),MATCH(T22,Data!$A:$A,0)),$BX$12)),"-")</f>
        <v>37</v>
      </c>
      <c r="AD22" s="71">
        <f ca="1">IF(AND(U22&gt;=$AC$4,U22&lt;=$AU$4),IF(""=IFERROR(INDEX(INDIRECT("Data!C"&amp;$K$5,FALSE),MATCH(U22,Data!$A:$A,0)),$BX$12),$BX$11,IFERROR(INDEX(INDIRECT("Data!C"&amp;$K$5,FALSE),MATCH(U22,Data!$A:$A,0)),$BX$12)),"-")</f>
        <v>310</v>
      </c>
      <c r="AE22" s="71">
        <f ca="1">IF(AND(V22&gt;=$AC$4,V22&lt;=$AU$4),IF(""=IFERROR(INDEX(INDIRECT("Data!C"&amp;$K$5,FALSE),MATCH(V22,Data!$A:$A,0)),$BX$12),$BX$11,IFERROR(INDEX(INDIRECT("Data!C"&amp;$K$5,FALSE),MATCH(V22,Data!$A:$A,0)),$BX$12)),"-")</f>
        <v>253</v>
      </c>
      <c r="AF22" s="71">
        <f ca="1">IF(AND(W22&gt;=$AC$4,W22&lt;=$AU$4),IF(""=IFERROR(INDEX(INDIRECT("Data!C"&amp;$K$5,FALSE),MATCH(W22,Data!$A:$A,0)),$BX$12),$BX$11,IFERROR(INDEX(INDIRECT("Data!C"&amp;$K$5,FALSE),MATCH(W22,Data!$A:$A,0)),$BX$12)),"-")</f>
        <v>188</v>
      </c>
      <c r="AG22" s="71">
        <f ca="1">IF(AND(X22&gt;=$AC$4,X22&lt;=$AU$4),IF(""=IFERROR(INDEX(INDIRECT("Data!C"&amp;$K$5,FALSE),MATCH(X22,Data!$A:$A,0)),$BX$12),$BX$11,IFERROR(INDEX(INDIRECT("Data!C"&amp;$K$5,FALSE),MATCH(X22,Data!$A:$A,0)),$BX$12)),"-")</f>
        <v>215</v>
      </c>
      <c r="AH22" s="71">
        <f ca="1">IF(AND(Y22&gt;=$AC$4,Y22&lt;=$AU$4),IF(""=IFERROR(INDEX(INDIRECT("Data!C"&amp;$K$5,FALSE),MATCH(Y22,Data!$A:$A,0)),$BX$12),$BX$11,IFERROR(INDEX(INDIRECT("Data!C"&amp;$K$5,FALSE),MATCH(Y22,Data!$A:$A,0)),$BX$12)),"-")</f>
        <v>204</v>
      </c>
      <c r="AI22" s="71">
        <f ca="1">IF(AND(Z22&gt;=$AC$4,Z22&lt;=$AU$4),IF(""=IFERROR(INDEX(INDIRECT("Data!C"&amp;$K$5,FALSE),MATCH(Z22,Data!$A:$A,0)),$BX$12),$BX$11,IFERROR(INDEX(INDIRECT("Data!C"&amp;$K$5,FALSE),MATCH(Z22,Data!$A:$A,0)),$BX$12)),"-")</f>
        <v>44</v>
      </c>
      <c r="AJ22" s="7"/>
      <c r="AL22" s="34">
        <f t="shared" si="50"/>
        <v>41707</v>
      </c>
      <c r="AM22" s="34">
        <f t="shared" si="45"/>
        <v>41708</v>
      </c>
      <c r="AN22" s="34">
        <f t="shared" si="33"/>
        <v>41709</v>
      </c>
      <c r="AO22" s="34">
        <f t="shared" si="34"/>
        <v>41710</v>
      </c>
      <c r="AP22" s="34">
        <f t="shared" si="35"/>
        <v>41711</v>
      </c>
      <c r="AQ22" s="34">
        <f t="shared" si="36"/>
        <v>41712</v>
      </c>
      <c r="AR22" s="34">
        <f t="shared" si="37"/>
        <v>41713</v>
      </c>
      <c r="AT22" s="24" t="str">
        <f t="array" ref="AT22">IFERROR(IF(MATCH(8,DAY(AL22:AR22),0),AR22,""),"")</f>
        <v/>
      </c>
      <c r="AU22" s="71">
        <f ca="1">IF(AND(AL22&gt;=$AC$4,AL22&lt;=$AU$4),IF(""=IFERROR(INDEX(INDIRECT("Data!C"&amp;$K$5,FALSE),MATCH(AL22,Data!$A:$A,0)),$BX$12),$BX$11,IFERROR(INDEX(INDIRECT("Data!C"&amp;$K$5,FALSE),MATCH(AL22,Data!$A:$A,0)),$BX$12)),"-")</f>
        <v>30</v>
      </c>
      <c r="AV22" s="71">
        <f ca="1">IF(AND(AM22&gt;=$AC$4,AM22&lt;=$AU$4),IF(""=IFERROR(INDEX(INDIRECT("Data!C"&amp;$K$5,FALSE),MATCH(AM22,Data!$A:$A,0)),$BX$12),$BX$11,IFERROR(INDEX(INDIRECT("Data!C"&amp;$K$5,FALSE),MATCH(AM22,Data!$A:$A,0)),$BX$12)),"-")</f>
        <v>258</v>
      </c>
      <c r="AW22" s="71">
        <f ca="1">IF(AND(AN22&gt;=$AC$4,AN22&lt;=$AU$4),IF(""=IFERROR(INDEX(INDIRECT("Data!C"&amp;$K$5,FALSE),MATCH(AN22,Data!$A:$A,0)),$BX$12),$BX$11,IFERROR(INDEX(INDIRECT("Data!C"&amp;$K$5,FALSE),MATCH(AN22,Data!$A:$A,0)),$BX$12)),"-")</f>
        <v>260</v>
      </c>
      <c r="AX22" s="71">
        <f ca="1">IF(AND(AO22&gt;=$AC$4,AO22&lt;=$AU$4),IF(""=IFERROR(INDEX(INDIRECT("Data!C"&amp;$K$5,FALSE),MATCH(AO22,Data!$A:$A,0)),$BX$12),$BX$11,IFERROR(INDEX(INDIRECT("Data!C"&amp;$K$5,FALSE),MATCH(AO22,Data!$A:$A,0)),$BX$12)),"-")</f>
        <v>237</v>
      </c>
      <c r="AY22" s="71">
        <f ca="1">IF(AND(AP22&gt;=$AC$4,AP22&lt;=$AU$4),IF(""=IFERROR(INDEX(INDIRECT("Data!C"&amp;$K$5,FALSE),MATCH(AP22,Data!$A:$A,0)),$BX$12),$BX$11,IFERROR(INDEX(INDIRECT("Data!C"&amp;$K$5,FALSE),MATCH(AP22,Data!$A:$A,0)),$BX$12)),"-")</f>
        <v>235</v>
      </c>
      <c r="AZ22" s="71">
        <f ca="1">IF(AND(AQ22&gt;=$AC$4,AQ22&lt;=$AU$4),IF(""=IFERROR(INDEX(INDIRECT("Data!C"&amp;$K$5,FALSE),MATCH(AQ22,Data!$A:$A,0)),$BX$12),$BX$11,IFERROR(INDEX(INDIRECT("Data!C"&amp;$K$5,FALSE),MATCH(AQ22,Data!$A:$A,0)),$BX$12)),"-")</f>
        <v>145</v>
      </c>
      <c r="BA22" s="71">
        <f ca="1">IF(AND(AR22&gt;=$AC$4,AR22&lt;=$AU$4),IF(""=IFERROR(INDEX(INDIRECT("Data!C"&amp;$K$5,FALSE),MATCH(AR22,Data!$A:$A,0)),$BX$12),$BX$11,IFERROR(INDEX(INDIRECT("Data!C"&amp;$K$5,FALSE),MATCH(AR22,Data!$A:$A,0)),$BX$12)),"-")</f>
        <v>35</v>
      </c>
      <c r="BB22" s="7"/>
      <c r="BD22" s="34">
        <f t="shared" si="51"/>
        <v>42071</v>
      </c>
      <c r="BE22" s="34">
        <f t="shared" si="46"/>
        <v>42072</v>
      </c>
      <c r="BF22" s="34">
        <f t="shared" si="38"/>
        <v>42073</v>
      </c>
      <c r="BG22" s="34">
        <f t="shared" si="39"/>
        <v>42074</v>
      </c>
      <c r="BH22" s="34">
        <f t="shared" si="40"/>
        <v>42075</v>
      </c>
      <c r="BI22" s="34">
        <f t="shared" si="41"/>
        <v>42076</v>
      </c>
      <c r="BJ22" s="34">
        <f t="shared" si="42"/>
        <v>42077</v>
      </c>
      <c r="BL22" s="24">
        <f t="array" ref="BL22">IFERROR(IF(MATCH(8,DAY(BD22:BJ22),0),BJ22,""),"")</f>
        <v>42077</v>
      </c>
      <c r="BM22" s="71">
        <f ca="1">IF(AND(BD22&gt;=$AC$4,BD22&lt;=$AU$4),IF(""=IFERROR(INDEX(INDIRECT("Data!C"&amp;$K$5,FALSE),MATCH(BD22,Data!$A:$A,0)),$BX$12),$BX$11,IFERROR(INDEX(INDIRECT("Data!C"&amp;$K$5,FALSE),MATCH(BD22,Data!$A:$A,0)),$BX$12)),"-")</f>
        <v>36</v>
      </c>
      <c r="BN22" s="71">
        <f ca="1">IF(AND(BE22&gt;=$AC$4,BE22&lt;=$AU$4),IF(""=IFERROR(INDEX(INDIRECT("Data!C"&amp;$K$5,FALSE),MATCH(BE22,Data!$A:$A,0)),$BX$12),$BX$11,IFERROR(INDEX(INDIRECT("Data!C"&amp;$K$5,FALSE),MATCH(BE22,Data!$A:$A,0)),$BX$12)),"-")</f>
        <v>334</v>
      </c>
      <c r="BO22" s="71">
        <f ca="1">IF(AND(BF22&gt;=$AC$4,BF22&lt;=$AU$4),IF(""=IFERROR(INDEX(INDIRECT("Data!C"&amp;$K$5,FALSE),MATCH(BF22,Data!$A:$A,0)),$BX$12),$BX$11,IFERROR(INDEX(INDIRECT("Data!C"&amp;$K$5,FALSE),MATCH(BF22,Data!$A:$A,0)),$BX$12)),"-")</f>
        <v>162</v>
      </c>
      <c r="BP22" s="71">
        <f ca="1">IF(AND(BG22&gt;=$AC$4,BG22&lt;=$AU$4),IF(""=IFERROR(INDEX(INDIRECT("Data!C"&amp;$K$5,FALSE),MATCH(BG22,Data!$A:$A,0)),$BX$12),$BX$11,IFERROR(INDEX(INDIRECT("Data!C"&amp;$K$5,FALSE),MATCH(BG22,Data!$A:$A,0)),$BX$12)),"-")</f>
        <v>171</v>
      </c>
      <c r="BQ22" s="71">
        <f ca="1">IF(AND(BH22&gt;=$AC$4,BH22&lt;=$AU$4),IF(""=IFERROR(INDEX(INDIRECT("Data!C"&amp;$K$5,FALSE),MATCH(BH22,Data!$A:$A,0)),$BX$12),$BX$11,IFERROR(INDEX(INDIRECT("Data!C"&amp;$K$5,FALSE),MATCH(BH22,Data!$A:$A,0)),$BX$12)),"-")</f>
        <v>136</v>
      </c>
      <c r="BR22" s="71">
        <f ca="1">IF(AND(BI22&gt;=$AC$4,BI22&lt;=$AU$4),IF(""=IFERROR(INDEX(INDIRECT("Data!C"&amp;$K$5,FALSE),MATCH(BI22,Data!$A:$A,0)),$BX$12),$BX$11,IFERROR(INDEX(INDIRECT("Data!C"&amp;$K$5,FALSE),MATCH(BI22,Data!$A:$A,0)),$BX$12)),"-")</f>
        <v>169</v>
      </c>
      <c r="BS22" s="71">
        <f ca="1">IF(AND(BJ22&gt;=$AC$4,BJ22&lt;=$AU$4),IF(""=IFERROR(INDEX(INDIRECT("Data!C"&amp;$K$5,FALSE),MATCH(BJ22,Data!$A:$A,0)),$BX$12),$BX$11,IFERROR(INDEX(INDIRECT("Data!C"&amp;$K$5,FALSE),MATCH(BJ22,Data!$A:$A,0)),$BX$12)),"-")</f>
        <v>65</v>
      </c>
      <c r="BT22" s="7"/>
      <c r="BU22" s="58">
        <f t="shared" ca="1" si="47"/>
        <v>179.89285714285714</v>
      </c>
      <c r="BW22" s="92" t="s">
        <v>49</v>
      </c>
      <c r="BX22" s="12"/>
    </row>
    <row r="23" spans="2:78" ht="12" customHeight="1" x14ac:dyDescent="0.2">
      <c r="B23" s="34">
        <f t="shared" si="48"/>
        <v>40986</v>
      </c>
      <c r="C23" s="34">
        <f t="shared" si="43"/>
        <v>40987</v>
      </c>
      <c r="D23" s="34">
        <f t="shared" si="43"/>
        <v>40988</v>
      </c>
      <c r="E23" s="34">
        <f t="shared" si="43"/>
        <v>40989</v>
      </c>
      <c r="F23" s="34">
        <f t="shared" si="43"/>
        <v>40990</v>
      </c>
      <c r="G23" s="34">
        <f t="shared" si="43"/>
        <v>40991</v>
      </c>
      <c r="H23" s="34">
        <f t="shared" si="43"/>
        <v>40992</v>
      </c>
      <c r="J23" s="24" t="str">
        <f t="array" ref="J23">IFERROR(IF(MATCH(8,DAY(B23:H23),0),H23,""),"")</f>
        <v/>
      </c>
      <c r="K23" s="71">
        <f ca="1">IF(AND(B23&gt;=$AC$4,B23&lt;=$AU$4),IF(""=IFERROR(INDEX(INDIRECT("Data!C"&amp;$K$5,FALSE),MATCH(B23,Data!$A:$A,0)),$BX$12),$BX$11,IFERROR(INDEX(INDIRECT("Data!C"&amp;$K$5,FALSE),MATCH(B23,Data!$A:$A,0)),$BX$12)),"-")</f>
        <v>23</v>
      </c>
      <c r="L23" s="71">
        <f ca="1">IF(AND(C23&gt;=$AC$4,C23&lt;=$AU$4),IF(""=IFERROR(INDEX(INDIRECT("Data!C"&amp;$K$5,FALSE),MATCH(C23,Data!$A:$A,0)),$BX$12),$BX$11,IFERROR(INDEX(INDIRECT("Data!C"&amp;$K$5,FALSE),MATCH(C23,Data!$A:$A,0)),$BX$12)),"-")</f>
        <v>369</v>
      </c>
      <c r="M23" s="71">
        <f ca="1">IF(AND(D23&gt;=$AC$4,D23&lt;=$AU$4),IF(""=IFERROR(INDEX(INDIRECT("Data!C"&amp;$K$5,FALSE),MATCH(D23,Data!$A:$A,0)),$BX$12),$BX$11,IFERROR(INDEX(INDIRECT("Data!C"&amp;$K$5,FALSE),MATCH(D23,Data!$A:$A,0)),$BX$12)),"-")</f>
        <v>215</v>
      </c>
      <c r="N23" s="71">
        <f ca="1">IF(AND(E23&gt;=$AC$4,E23&lt;=$AU$4),IF(""=IFERROR(INDEX(INDIRECT("Data!C"&amp;$K$5,FALSE),MATCH(E23,Data!$A:$A,0)),$BX$12),$BX$11,IFERROR(INDEX(INDIRECT("Data!C"&amp;$K$5,FALSE),MATCH(E23,Data!$A:$A,0)),$BX$12)),"-")</f>
        <v>306</v>
      </c>
      <c r="O23" s="71">
        <f ca="1">IF(AND(F23&gt;=$AC$4,F23&lt;=$AU$4),IF(""=IFERROR(INDEX(INDIRECT("Data!C"&amp;$K$5,FALSE),MATCH(F23,Data!$A:$A,0)),$BX$12),$BX$11,IFERROR(INDEX(INDIRECT("Data!C"&amp;$K$5,FALSE),MATCH(F23,Data!$A:$A,0)),$BX$12)),"-")</f>
        <v>273</v>
      </c>
      <c r="P23" s="71">
        <f ca="1">IF(AND(G23&gt;=$AC$4,G23&lt;=$AU$4),IF(""=IFERROR(INDEX(INDIRECT("Data!C"&amp;$K$5,FALSE),MATCH(G23,Data!$A:$A,0)),$BX$12),$BX$11,IFERROR(INDEX(INDIRECT("Data!C"&amp;$K$5,FALSE),MATCH(G23,Data!$A:$A,0)),$BX$12)),"-")</f>
        <v>136</v>
      </c>
      <c r="Q23" s="71">
        <f ca="1">IF(AND(H23&gt;=$AC$4,H23&lt;=$AU$4),IF(""=IFERROR(INDEX(INDIRECT("Data!C"&amp;$K$5,FALSE),MATCH(H23,Data!$A:$A,0)),$BX$12),$BX$11,IFERROR(INDEX(INDIRECT("Data!C"&amp;$K$5,FALSE),MATCH(H23,Data!$A:$A,0)),$BX$12)),"-")</f>
        <v>66</v>
      </c>
      <c r="R23" s="7"/>
      <c r="T23" s="34">
        <f t="shared" si="49"/>
        <v>41350</v>
      </c>
      <c r="U23" s="34">
        <f t="shared" si="44"/>
        <v>41351</v>
      </c>
      <c r="V23" s="34">
        <f t="shared" si="28"/>
        <v>41352</v>
      </c>
      <c r="W23" s="34">
        <f t="shared" si="29"/>
        <v>41353</v>
      </c>
      <c r="X23" s="34">
        <f t="shared" si="30"/>
        <v>41354</v>
      </c>
      <c r="Y23" s="34">
        <f t="shared" si="31"/>
        <v>41355</v>
      </c>
      <c r="Z23" s="34">
        <f t="shared" si="32"/>
        <v>41356</v>
      </c>
      <c r="AB23" s="24" t="str">
        <f t="array" ref="AB23">IFERROR(IF(MATCH(8,DAY(T23:Z23),0),Z23,""),"")</f>
        <v/>
      </c>
      <c r="AC23" s="71">
        <f ca="1">IF(AND(T23&gt;=$AC$4,T23&lt;=$AU$4),IF(""=IFERROR(INDEX(INDIRECT("Data!C"&amp;$K$5,FALSE),MATCH(T23,Data!$A:$A,0)),$BX$12),$BX$11,IFERROR(INDEX(INDIRECT("Data!C"&amp;$K$5,FALSE),MATCH(T23,Data!$A:$A,0)),$BX$12)),"-")</f>
        <v>24</v>
      </c>
      <c r="AD23" s="71">
        <f ca="1">IF(AND(U23&gt;=$AC$4,U23&lt;=$AU$4),IF(""=IFERROR(INDEX(INDIRECT("Data!C"&amp;$K$5,FALSE),MATCH(U23,Data!$A:$A,0)),$BX$12),$BX$11,IFERROR(INDEX(INDIRECT("Data!C"&amp;$K$5,FALSE),MATCH(U23,Data!$A:$A,0)),$BX$12)),"-")</f>
        <v>326</v>
      </c>
      <c r="AE23" s="71">
        <f ca="1">IF(AND(V23&gt;=$AC$4,V23&lt;=$AU$4),IF(""=IFERROR(INDEX(INDIRECT("Data!C"&amp;$K$5,FALSE),MATCH(V23,Data!$A:$A,0)),$BX$12),$BX$11,IFERROR(INDEX(INDIRECT("Data!C"&amp;$K$5,FALSE),MATCH(V23,Data!$A:$A,0)),$BX$12)),"-")</f>
        <v>243</v>
      </c>
      <c r="AF23" s="71">
        <f ca="1">IF(AND(W23&gt;=$AC$4,W23&lt;=$AU$4),IF(""=IFERROR(INDEX(INDIRECT("Data!C"&amp;$K$5,FALSE),MATCH(W23,Data!$A:$A,0)),$BX$12),$BX$11,IFERROR(INDEX(INDIRECT("Data!C"&amp;$K$5,FALSE),MATCH(W23,Data!$A:$A,0)),$BX$12)),"-")</f>
        <v>146</v>
      </c>
      <c r="AG23" s="71">
        <f ca="1">IF(AND(X23&gt;=$AC$4,X23&lt;=$AU$4),IF(""=IFERROR(INDEX(INDIRECT("Data!C"&amp;$K$5,FALSE),MATCH(X23,Data!$A:$A,0)),$BX$12),$BX$11,IFERROR(INDEX(INDIRECT("Data!C"&amp;$K$5,FALSE),MATCH(X23,Data!$A:$A,0)),$BX$12)),"-")</f>
        <v>151</v>
      </c>
      <c r="AH23" s="71">
        <f ca="1">IF(AND(Y23&gt;=$AC$4,Y23&lt;=$AU$4),IF(""=IFERROR(INDEX(INDIRECT("Data!C"&amp;$K$5,FALSE),MATCH(Y23,Data!$A:$A,0)),$BX$12),$BX$11,IFERROR(INDEX(INDIRECT("Data!C"&amp;$K$5,FALSE),MATCH(Y23,Data!$A:$A,0)),$BX$12)),"-")</f>
        <v>211</v>
      </c>
      <c r="AI23" s="71">
        <f ca="1">IF(AND(Z23&gt;=$AC$4,Z23&lt;=$AU$4),IF(""=IFERROR(INDEX(INDIRECT("Data!C"&amp;$K$5,FALSE),MATCH(Z23,Data!$A:$A,0)),$BX$12),$BX$11,IFERROR(INDEX(INDIRECT("Data!C"&amp;$K$5,FALSE),MATCH(Z23,Data!$A:$A,0)),$BX$12)),"-")</f>
        <v>55</v>
      </c>
      <c r="AJ23" s="7"/>
      <c r="AL23" s="34">
        <f t="shared" si="50"/>
        <v>41714</v>
      </c>
      <c r="AM23" s="34">
        <f t="shared" si="45"/>
        <v>41715</v>
      </c>
      <c r="AN23" s="34">
        <f t="shared" si="33"/>
        <v>41716</v>
      </c>
      <c r="AO23" s="34">
        <f t="shared" si="34"/>
        <v>41717</v>
      </c>
      <c r="AP23" s="34">
        <f t="shared" si="35"/>
        <v>41718</v>
      </c>
      <c r="AQ23" s="34">
        <f t="shared" si="36"/>
        <v>41719</v>
      </c>
      <c r="AR23" s="34">
        <f t="shared" si="37"/>
        <v>41720</v>
      </c>
      <c r="AT23" s="24" t="str">
        <f t="array" ref="AT23">IFERROR(IF(MATCH(8,DAY(AL23:AR23),0),AR23,""),"")</f>
        <v/>
      </c>
      <c r="AU23" s="71">
        <f ca="1">IF(AND(AL23&gt;=$AC$4,AL23&lt;=$AU$4),IF(""=IFERROR(INDEX(INDIRECT("Data!C"&amp;$K$5,FALSE),MATCH(AL23,Data!$A:$A,0)),$BX$12),$BX$11,IFERROR(INDEX(INDIRECT("Data!C"&amp;$K$5,FALSE),MATCH(AL23,Data!$A:$A,0)),$BX$12)),"-")</f>
        <v>36</v>
      </c>
      <c r="AV23" s="71">
        <f ca="1">IF(AND(AM23&gt;=$AC$4,AM23&lt;=$AU$4),IF(""=IFERROR(INDEX(INDIRECT("Data!C"&amp;$K$5,FALSE),MATCH(AM23,Data!$A:$A,0)),$BX$12),$BX$11,IFERROR(INDEX(INDIRECT("Data!C"&amp;$K$5,FALSE),MATCH(AM23,Data!$A:$A,0)),$BX$12)),"-")</f>
        <v>176</v>
      </c>
      <c r="AW23" s="71">
        <f ca="1">IF(AND(AN23&gt;=$AC$4,AN23&lt;=$AU$4),IF(""=IFERROR(INDEX(INDIRECT("Data!C"&amp;$K$5,FALSE),MATCH(AN23,Data!$A:$A,0)),$BX$12),$BX$11,IFERROR(INDEX(INDIRECT("Data!C"&amp;$K$5,FALSE),MATCH(AN23,Data!$A:$A,0)),$BX$12)),"-")</f>
        <v>152</v>
      </c>
      <c r="AX23" s="71">
        <f ca="1">IF(AND(AO23&gt;=$AC$4,AO23&lt;=$AU$4),IF(""=IFERROR(INDEX(INDIRECT("Data!C"&amp;$K$5,FALSE),MATCH(AO23,Data!$A:$A,0)),$BX$12),$BX$11,IFERROR(INDEX(INDIRECT("Data!C"&amp;$K$5,FALSE),MATCH(AO23,Data!$A:$A,0)),$BX$12)),"-")</f>
        <v>170</v>
      </c>
      <c r="AY23" s="71">
        <f ca="1">IF(AND(AP23&gt;=$AC$4,AP23&lt;=$AU$4),IF(""=IFERROR(INDEX(INDIRECT("Data!C"&amp;$K$5,FALSE),MATCH(AP23,Data!$A:$A,0)),$BX$12),$BX$11,IFERROR(INDEX(INDIRECT("Data!C"&amp;$K$5,FALSE),MATCH(AP23,Data!$A:$A,0)),$BX$12)),"-")</f>
        <v>224</v>
      </c>
      <c r="AZ23" s="71">
        <f ca="1">IF(AND(AQ23&gt;=$AC$4,AQ23&lt;=$AU$4),IF(""=IFERROR(INDEX(INDIRECT("Data!C"&amp;$K$5,FALSE),MATCH(AQ23,Data!$A:$A,0)),$BX$12),$BX$11,IFERROR(INDEX(INDIRECT("Data!C"&amp;$K$5,FALSE),MATCH(AQ23,Data!$A:$A,0)),$BX$12)),"-")</f>
        <v>190</v>
      </c>
      <c r="BA23" s="71">
        <f ca="1">IF(AND(AR23&gt;=$AC$4,AR23&lt;=$AU$4),IF(""=IFERROR(INDEX(INDIRECT("Data!C"&amp;$K$5,FALSE),MATCH(AR23,Data!$A:$A,0)),$BX$12),$BX$11,IFERROR(INDEX(INDIRECT("Data!C"&amp;$K$5,FALSE),MATCH(AR23,Data!$A:$A,0)),$BX$12)),"-")</f>
        <v>54</v>
      </c>
      <c r="BB23" s="7"/>
      <c r="BD23" s="34">
        <f t="shared" si="51"/>
        <v>42078</v>
      </c>
      <c r="BE23" s="34">
        <f t="shared" si="46"/>
        <v>42079</v>
      </c>
      <c r="BF23" s="34">
        <f t="shared" si="38"/>
        <v>42080</v>
      </c>
      <c r="BG23" s="34">
        <f t="shared" si="39"/>
        <v>42081</v>
      </c>
      <c r="BH23" s="34">
        <f t="shared" si="40"/>
        <v>42082</v>
      </c>
      <c r="BI23" s="34">
        <f t="shared" si="41"/>
        <v>42083</v>
      </c>
      <c r="BJ23" s="34">
        <f t="shared" si="42"/>
        <v>42084</v>
      </c>
      <c r="BL23" s="24" t="str">
        <f t="array" ref="BL23">IFERROR(IF(MATCH(8,DAY(BD23:BJ23),0),BJ23,""),"")</f>
        <v/>
      </c>
      <c r="BM23" s="71">
        <f ca="1">IF(AND(BD23&gt;=$AC$4,BD23&lt;=$AU$4),IF(""=IFERROR(INDEX(INDIRECT("Data!C"&amp;$K$5,FALSE),MATCH(BD23,Data!$A:$A,0)),$BX$12),$BX$11,IFERROR(INDEX(INDIRECT("Data!C"&amp;$K$5,FALSE),MATCH(BD23,Data!$A:$A,0)),$BX$12)),"-")</f>
        <v>24</v>
      </c>
      <c r="BN23" s="71">
        <f ca="1">IF(AND(BE23&gt;=$AC$4,BE23&lt;=$AU$4),IF(""=IFERROR(INDEX(INDIRECT("Data!C"&amp;$K$5,FALSE),MATCH(BE23,Data!$A:$A,0)),$BX$12),$BX$11,IFERROR(INDEX(INDIRECT("Data!C"&amp;$K$5,FALSE),MATCH(BE23,Data!$A:$A,0)),$BX$12)),"-")</f>
        <v>281</v>
      </c>
      <c r="BO23" s="71">
        <f ca="1">IF(AND(BF23&gt;=$AC$4,BF23&lt;=$AU$4),IF(""=IFERROR(INDEX(INDIRECT("Data!C"&amp;$K$5,FALSE),MATCH(BF23,Data!$A:$A,0)),$BX$12),$BX$11,IFERROR(INDEX(INDIRECT("Data!C"&amp;$K$5,FALSE),MATCH(BF23,Data!$A:$A,0)),$BX$12)),"-")</f>
        <v>160</v>
      </c>
      <c r="BP23" s="71">
        <f ca="1">IF(AND(BG23&gt;=$AC$4,BG23&lt;=$AU$4),IF(""=IFERROR(INDEX(INDIRECT("Data!C"&amp;$K$5,FALSE),MATCH(BG23,Data!$A:$A,0)),$BX$12),$BX$11,IFERROR(INDEX(INDIRECT("Data!C"&amp;$K$5,FALSE),MATCH(BG23,Data!$A:$A,0)),$BX$12)),"-")</f>
        <v>242</v>
      </c>
      <c r="BQ23" s="71">
        <f ca="1">IF(AND(BH23&gt;=$AC$4,BH23&lt;=$AU$4),IF(""=IFERROR(INDEX(INDIRECT("Data!C"&amp;$K$5,FALSE),MATCH(BH23,Data!$A:$A,0)),$BX$12),$BX$11,IFERROR(INDEX(INDIRECT("Data!C"&amp;$K$5,FALSE),MATCH(BH23,Data!$A:$A,0)),$BX$12)),"-")</f>
        <v>184</v>
      </c>
      <c r="BR23" s="71">
        <f ca="1">IF(AND(BI23&gt;=$AC$4,BI23&lt;=$AU$4),IF(""=IFERROR(INDEX(INDIRECT("Data!C"&amp;$K$5,FALSE),MATCH(BI23,Data!$A:$A,0)),$BX$12),$BX$11,IFERROR(INDEX(INDIRECT("Data!C"&amp;$K$5,FALSE),MATCH(BI23,Data!$A:$A,0)),$BX$12)),"-")</f>
        <v>162</v>
      </c>
      <c r="BS23" s="71">
        <f ca="1">IF(AND(BJ23&gt;=$AC$4,BJ23&lt;=$AU$4),IF(""=IFERROR(INDEX(INDIRECT("Data!C"&amp;$K$5,FALSE),MATCH(BJ23,Data!$A:$A,0)),$BX$12),$BX$11,IFERROR(INDEX(INDIRECT("Data!C"&amp;$K$5,FALSE),MATCH(BJ23,Data!$A:$A,0)),$BX$12)),"-")</f>
        <v>48</v>
      </c>
      <c r="BT23" s="7"/>
      <c r="BU23" s="58">
        <f t="shared" ca="1" si="47"/>
        <v>165.96428571428572</v>
      </c>
      <c r="BW23" s="92" t="s">
        <v>51</v>
      </c>
      <c r="BX23" s="12"/>
    </row>
    <row r="24" spans="2:78" ht="12" customHeight="1" x14ac:dyDescent="0.2">
      <c r="B24" s="34">
        <f t="shared" si="48"/>
        <v>40993</v>
      </c>
      <c r="C24" s="34">
        <f t="shared" si="43"/>
        <v>40994</v>
      </c>
      <c r="D24" s="34">
        <f t="shared" si="43"/>
        <v>40995</v>
      </c>
      <c r="E24" s="34">
        <f t="shared" si="43"/>
        <v>40996</v>
      </c>
      <c r="F24" s="34">
        <f t="shared" si="43"/>
        <v>40997</v>
      </c>
      <c r="G24" s="34">
        <f t="shared" si="43"/>
        <v>40998</v>
      </c>
      <c r="H24" s="34">
        <f t="shared" si="43"/>
        <v>40999</v>
      </c>
      <c r="J24" s="24" t="str">
        <f t="array" ref="J24">IFERROR(IF(MATCH(8,DAY(B24:H24),0),H24,""),"")</f>
        <v/>
      </c>
      <c r="K24" s="71">
        <f ca="1">IF(AND(B24&gt;=$AC$4,B24&lt;=$AU$4),IF(""=IFERROR(INDEX(INDIRECT("Data!C"&amp;$K$5,FALSE),MATCH(B24,Data!$A:$A,0)),$BX$12),$BX$11,IFERROR(INDEX(INDIRECT("Data!C"&amp;$K$5,FALSE),MATCH(B24,Data!$A:$A,0)),$BX$12)),"-")</f>
        <v>17</v>
      </c>
      <c r="L24" s="71">
        <f ca="1">IF(AND(C24&gt;=$AC$4,C24&lt;=$AU$4),IF(""=IFERROR(INDEX(INDIRECT("Data!C"&amp;$K$5,FALSE),MATCH(C24,Data!$A:$A,0)),$BX$12),$BX$11,IFERROR(INDEX(INDIRECT("Data!C"&amp;$K$5,FALSE),MATCH(C24,Data!$A:$A,0)),$BX$12)),"-")</f>
        <v>341</v>
      </c>
      <c r="M24" s="71">
        <f ca="1">IF(AND(D24&gt;=$AC$4,D24&lt;=$AU$4),IF(""=IFERROR(INDEX(INDIRECT("Data!C"&amp;$K$5,FALSE),MATCH(D24,Data!$A:$A,0)),$BX$12),$BX$11,IFERROR(INDEX(INDIRECT("Data!C"&amp;$K$5,FALSE),MATCH(D24,Data!$A:$A,0)),$BX$12)),"-")</f>
        <v>322</v>
      </c>
      <c r="N24" s="71">
        <f ca="1">IF(AND(E24&gt;=$AC$4,E24&lt;=$AU$4),IF(""=IFERROR(INDEX(INDIRECT("Data!C"&amp;$K$5,FALSE),MATCH(E24,Data!$A:$A,0)),$BX$12),$BX$11,IFERROR(INDEX(INDIRECT("Data!C"&amp;$K$5,FALSE),MATCH(E24,Data!$A:$A,0)),$BX$12)),"-")</f>
        <v>227</v>
      </c>
      <c r="O24" s="71">
        <f ca="1">IF(AND(F24&gt;=$AC$4,F24&lt;=$AU$4),IF(""=IFERROR(INDEX(INDIRECT("Data!C"&amp;$K$5,FALSE),MATCH(F24,Data!$A:$A,0)),$BX$12),$BX$11,IFERROR(INDEX(INDIRECT("Data!C"&amp;$K$5,FALSE),MATCH(F24,Data!$A:$A,0)),$BX$12)),"-")</f>
        <v>221</v>
      </c>
      <c r="P24" s="71">
        <f ca="1">IF(AND(G24&gt;=$AC$4,G24&lt;=$AU$4),IF(""=IFERROR(INDEX(INDIRECT("Data!C"&amp;$K$5,FALSE),MATCH(G24,Data!$A:$A,0)),$BX$12),$BX$11,IFERROR(INDEX(INDIRECT("Data!C"&amp;$K$5,FALSE),MATCH(G24,Data!$A:$A,0)),$BX$12)),"-")</f>
        <v>100</v>
      </c>
      <c r="Q24" s="71">
        <f ca="1">IF(AND(H24&gt;=$AC$4,H24&lt;=$AU$4),IF(""=IFERROR(INDEX(INDIRECT("Data!C"&amp;$K$5,FALSE),MATCH(H24,Data!$A:$A,0)),$BX$12),$BX$11,IFERROR(INDEX(INDIRECT("Data!C"&amp;$K$5,FALSE),MATCH(H24,Data!$A:$A,0)),$BX$12)),"-")</f>
        <v>66</v>
      </c>
      <c r="R24" s="7"/>
      <c r="T24" s="34">
        <f t="shared" si="49"/>
        <v>41357</v>
      </c>
      <c r="U24" s="34">
        <f t="shared" si="44"/>
        <v>41358</v>
      </c>
      <c r="V24" s="34">
        <f t="shared" si="28"/>
        <v>41359</v>
      </c>
      <c r="W24" s="34">
        <f t="shared" si="29"/>
        <v>41360</v>
      </c>
      <c r="X24" s="34">
        <f t="shared" si="30"/>
        <v>41361</v>
      </c>
      <c r="Y24" s="34">
        <f t="shared" si="31"/>
        <v>41362</v>
      </c>
      <c r="Z24" s="34">
        <f t="shared" si="32"/>
        <v>41363</v>
      </c>
      <c r="AB24" s="24" t="str">
        <f t="array" ref="AB24">IFERROR(IF(MATCH(8,DAY(T24:Z24),0),Z24,""),"")</f>
        <v/>
      </c>
      <c r="AC24" s="71">
        <f ca="1">IF(AND(T24&gt;=$AC$4,T24&lt;=$AU$4),IF(""=IFERROR(INDEX(INDIRECT("Data!C"&amp;$K$5,FALSE),MATCH(T24,Data!$A:$A,0)),$BX$12),$BX$11,IFERROR(INDEX(INDIRECT("Data!C"&amp;$K$5,FALSE),MATCH(T24,Data!$A:$A,0)),$BX$12)),"-")</f>
        <v>22</v>
      </c>
      <c r="AD24" s="71">
        <f ca="1">IF(AND(U24&gt;=$AC$4,U24&lt;=$AU$4),IF(""=IFERROR(INDEX(INDIRECT("Data!C"&amp;$K$5,FALSE),MATCH(U24,Data!$A:$A,0)),$BX$12),$BX$11,IFERROR(INDEX(INDIRECT("Data!C"&amp;$K$5,FALSE),MATCH(U24,Data!$A:$A,0)),$BX$12)),"-")</f>
        <v>287</v>
      </c>
      <c r="AE24" s="71">
        <f ca="1">IF(AND(V24&gt;=$AC$4,V24&lt;=$AU$4),IF(""=IFERROR(INDEX(INDIRECT("Data!C"&amp;$K$5,FALSE),MATCH(V24,Data!$A:$A,0)),$BX$12),$BX$11,IFERROR(INDEX(INDIRECT("Data!C"&amp;$K$5,FALSE),MATCH(V24,Data!$A:$A,0)),$BX$12)),"-")</f>
        <v>156</v>
      </c>
      <c r="AF24" s="71">
        <f ca="1">IF(AND(W24&gt;=$AC$4,W24&lt;=$AU$4),IF(""=IFERROR(INDEX(INDIRECT("Data!C"&amp;$K$5,FALSE),MATCH(W24,Data!$A:$A,0)),$BX$12),$BX$11,IFERROR(INDEX(INDIRECT("Data!C"&amp;$K$5,FALSE),MATCH(W24,Data!$A:$A,0)),$BX$12)),"-")</f>
        <v>138</v>
      </c>
      <c r="AG24" s="71">
        <f ca="1">IF(AND(X24&gt;=$AC$4,X24&lt;=$AU$4),IF(""=IFERROR(INDEX(INDIRECT("Data!C"&amp;$K$5,FALSE),MATCH(X24,Data!$A:$A,0)),$BX$12),$BX$11,IFERROR(INDEX(INDIRECT("Data!C"&amp;$K$5,FALSE),MATCH(X24,Data!$A:$A,0)),$BX$12)),"-")</f>
        <v>126</v>
      </c>
      <c r="AH24" s="71">
        <f ca="1">IF(AND(Y24&gt;=$AC$4,Y24&lt;=$AU$4),IF(""=IFERROR(INDEX(INDIRECT("Data!C"&amp;$K$5,FALSE),MATCH(Y24,Data!$A:$A,0)),$BX$12),$BX$11,IFERROR(INDEX(INDIRECT("Data!C"&amp;$K$5,FALSE),MATCH(Y24,Data!$A:$A,0)),$BX$12)),"-")</f>
        <v>84</v>
      </c>
      <c r="AI24" s="71">
        <f ca="1">IF(AND(Z24&gt;=$AC$4,Z24&lt;=$AU$4),IF(""=IFERROR(INDEX(INDIRECT("Data!C"&amp;$K$5,FALSE),MATCH(Z24,Data!$A:$A,0)),$BX$12),$BX$11,IFERROR(INDEX(INDIRECT("Data!C"&amp;$K$5,FALSE),MATCH(Z24,Data!$A:$A,0)),$BX$12)),"-")</f>
        <v>24</v>
      </c>
      <c r="AJ24" s="7"/>
      <c r="AL24" s="34">
        <f t="shared" si="50"/>
        <v>41721</v>
      </c>
      <c r="AM24" s="34">
        <f t="shared" si="45"/>
        <v>41722</v>
      </c>
      <c r="AN24" s="34">
        <f t="shared" si="33"/>
        <v>41723</v>
      </c>
      <c r="AO24" s="34">
        <f t="shared" si="34"/>
        <v>41724</v>
      </c>
      <c r="AP24" s="34">
        <f t="shared" si="35"/>
        <v>41725</v>
      </c>
      <c r="AQ24" s="34">
        <f t="shared" si="36"/>
        <v>41726</v>
      </c>
      <c r="AR24" s="34">
        <f t="shared" si="37"/>
        <v>41727</v>
      </c>
      <c r="AT24" s="24" t="str">
        <f t="array" ref="AT24">IFERROR(IF(MATCH(8,DAY(AL24:AR24),0),AR24,""),"")</f>
        <v/>
      </c>
      <c r="AU24" s="71">
        <f ca="1">IF(AND(AL24&gt;=$AC$4,AL24&lt;=$AU$4),IF(""=IFERROR(INDEX(INDIRECT("Data!C"&amp;$K$5,FALSE),MATCH(AL24,Data!$A:$A,0)),$BX$12),$BX$11,IFERROR(INDEX(INDIRECT("Data!C"&amp;$K$5,FALSE),MATCH(AL24,Data!$A:$A,0)),$BX$12)),"-")</f>
        <v>30</v>
      </c>
      <c r="AV24" s="71">
        <f ca="1">IF(AND(AM24&gt;=$AC$4,AM24&lt;=$AU$4),IF(""=IFERROR(INDEX(INDIRECT("Data!C"&amp;$K$5,FALSE),MATCH(AM24,Data!$A:$A,0)),$BX$12),$BX$11,IFERROR(INDEX(INDIRECT("Data!C"&amp;$K$5,FALSE),MATCH(AM24,Data!$A:$A,0)),$BX$12)),"-")</f>
        <v>167</v>
      </c>
      <c r="AW24" s="71">
        <f ca="1">IF(AND(AN24&gt;=$AC$4,AN24&lt;=$AU$4),IF(""=IFERROR(INDEX(INDIRECT("Data!C"&amp;$K$5,FALSE),MATCH(AN24,Data!$A:$A,0)),$BX$12),$BX$11,IFERROR(INDEX(INDIRECT("Data!C"&amp;$K$5,FALSE),MATCH(AN24,Data!$A:$A,0)),$BX$12)),"-")</f>
        <v>265</v>
      </c>
      <c r="AX24" s="71">
        <f ca="1">IF(AND(AO24&gt;=$AC$4,AO24&lt;=$AU$4),IF(""=IFERROR(INDEX(INDIRECT("Data!C"&amp;$K$5,FALSE),MATCH(AO24,Data!$A:$A,0)),$BX$12),$BX$11,IFERROR(INDEX(INDIRECT("Data!C"&amp;$K$5,FALSE),MATCH(AO24,Data!$A:$A,0)),$BX$12)),"-")</f>
        <v>168</v>
      </c>
      <c r="AY24" s="71">
        <f ca="1">IF(AND(AP24&gt;=$AC$4,AP24&lt;=$AU$4),IF(""=IFERROR(INDEX(INDIRECT("Data!C"&amp;$K$5,FALSE),MATCH(AP24,Data!$A:$A,0)),$BX$12),$BX$11,IFERROR(INDEX(INDIRECT("Data!C"&amp;$K$5,FALSE),MATCH(AP24,Data!$A:$A,0)),$BX$12)),"-")</f>
        <v>210</v>
      </c>
      <c r="AZ24" s="71">
        <f ca="1">IF(AND(AQ24&gt;=$AC$4,AQ24&lt;=$AU$4),IF(""=IFERROR(INDEX(INDIRECT("Data!C"&amp;$K$5,FALSE),MATCH(AQ24,Data!$A:$A,0)),$BX$12),$BX$11,IFERROR(INDEX(INDIRECT("Data!C"&amp;$K$5,FALSE),MATCH(AQ24,Data!$A:$A,0)),$BX$12)),"-")</f>
        <v>176</v>
      </c>
      <c r="BA24" s="71">
        <f ca="1">IF(AND(AR24&gt;=$AC$4,AR24&lt;=$AU$4),IF(""=IFERROR(INDEX(INDIRECT("Data!C"&amp;$K$5,FALSE),MATCH(AR24,Data!$A:$A,0)),$BX$12),$BX$11,IFERROR(INDEX(INDIRECT("Data!C"&amp;$K$5,FALSE),MATCH(AR24,Data!$A:$A,0)),$BX$12)),"-")</f>
        <v>37</v>
      </c>
      <c r="BB24" s="7"/>
      <c r="BD24" s="34">
        <f t="shared" si="51"/>
        <v>42085</v>
      </c>
      <c r="BE24" s="34">
        <f t="shared" si="46"/>
        <v>42086</v>
      </c>
      <c r="BF24" s="34">
        <f t="shared" si="38"/>
        <v>42087</v>
      </c>
      <c r="BG24" s="34">
        <f t="shared" si="39"/>
        <v>42088</v>
      </c>
      <c r="BH24" s="34">
        <f t="shared" si="40"/>
        <v>42089</v>
      </c>
      <c r="BI24" s="34">
        <f t="shared" si="41"/>
        <v>42090</v>
      </c>
      <c r="BJ24" s="34">
        <f t="shared" si="42"/>
        <v>42091</v>
      </c>
      <c r="BL24" s="24" t="str">
        <f t="array" ref="BL24">IFERROR(IF(MATCH(8,DAY(BD24:BJ24),0),BJ24,""),"")</f>
        <v/>
      </c>
      <c r="BM24" s="71">
        <f ca="1">IF(AND(BD24&gt;=$AC$4,BD24&lt;=$AU$4),IF(""=IFERROR(INDEX(INDIRECT("Data!C"&amp;$K$5,FALSE),MATCH(BD24,Data!$A:$A,0)),$BX$12),$BX$11,IFERROR(INDEX(INDIRECT("Data!C"&amp;$K$5,FALSE),MATCH(BD24,Data!$A:$A,0)),$BX$12)),"-")</f>
        <v>12</v>
      </c>
      <c r="BN24" s="71">
        <f ca="1">IF(AND(BE24&gt;=$AC$4,BE24&lt;=$AU$4),IF(""=IFERROR(INDEX(INDIRECT("Data!C"&amp;$K$5,FALSE),MATCH(BE24,Data!$A:$A,0)),$BX$12),$BX$11,IFERROR(INDEX(INDIRECT("Data!C"&amp;$K$5,FALSE),MATCH(BE24,Data!$A:$A,0)),$BX$12)),"-")</f>
        <v>193</v>
      </c>
      <c r="BO24" s="71">
        <f ca="1">IF(AND(BF24&gt;=$AC$4,BF24&lt;=$AU$4),IF(""=IFERROR(INDEX(INDIRECT("Data!C"&amp;$K$5,FALSE),MATCH(BF24,Data!$A:$A,0)),$BX$12),$BX$11,IFERROR(INDEX(INDIRECT("Data!C"&amp;$K$5,FALSE),MATCH(BF24,Data!$A:$A,0)),$BX$12)),"-")</f>
        <v>254</v>
      </c>
      <c r="BP24" s="71">
        <f ca="1">IF(AND(BG24&gt;=$AC$4,BG24&lt;=$AU$4),IF(""=IFERROR(INDEX(INDIRECT("Data!C"&amp;$K$5,FALSE),MATCH(BG24,Data!$A:$A,0)),$BX$12),$BX$11,IFERROR(INDEX(INDIRECT("Data!C"&amp;$K$5,FALSE),MATCH(BG24,Data!$A:$A,0)),$BX$12)),"-")</f>
        <v>157</v>
      </c>
      <c r="BQ24" s="71">
        <f ca="1">IF(AND(BH24&gt;=$AC$4,BH24&lt;=$AU$4),IF(""=IFERROR(INDEX(INDIRECT("Data!C"&amp;$K$5,FALSE),MATCH(BH24,Data!$A:$A,0)),$BX$12),$BX$11,IFERROR(INDEX(INDIRECT("Data!C"&amp;$K$5,FALSE),MATCH(BH24,Data!$A:$A,0)),$BX$12)),"-")</f>
        <v>122</v>
      </c>
      <c r="BR24" s="71">
        <f ca="1">IF(AND(BI24&gt;=$AC$4,BI24&lt;=$AU$4),IF(""=IFERROR(INDEX(INDIRECT("Data!C"&amp;$K$5,FALSE),MATCH(BI24,Data!$A:$A,0)),$BX$12),$BX$11,IFERROR(INDEX(INDIRECT("Data!C"&amp;$K$5,FALSE),MATCH(BI24,Data!$A:$A,0)),$BX$12)),"-")</f>
        <v>71</v>
      </c>
      <c r="BS24" s="71">
        <f ca="1">IF(AND(BJ24&gt;=$AC$4,BJ24&lt;=$AU$4),IF(""=IFERROR(INDEX(INDIRECT("Data!C"&amp;$K$5,FALSE),MATCH(BJ24,Data!$A:$A,0)),$BX$12),$BX$11,IFERROR(INDEX(INDIRECT("Data!C"&amp;$K$5,FALSE),MATCH(BJ24,Data!$A:$A,0)),$BX$12)),"-")</f>
        <v>34</v>
      </c>
      <c r="BT24" s="7"/>
      <c r="BU24" s="58">
        <f t="shared" ca="1" si="47"/>
        <v>143.82142857142858</v>
      </c>
      <c r="BW24" s="92" t="s">
        <v>50</v>
      </c>
      <c r="BX24" s="12"/>
    </row>
    <row r="25" spans="2:78" ht="12" customHeight="1" x14ac:dyDescent="0.2">
      <c r="B25" s="34">
        <f t="shared" si="48"/>
        <v>41000</v>
      </c>
      <c r="C25" s="34">
        <f t="shared" si="43"/>
        <v>41001</v>
      </c>
      <c r="D25" s="34">
        <f t="shared" si="43"/>
        <v>41002</v>
      </c>
      <c r="E25" s="34">
        <f t="shared" si="43"/>
        <v>41003</v>
      </c>
      <c r="F25" s="34">
        <f t="shared" si="43"/>
        <v>41004</v>
      </c>
      <c r="G25" s="34">
        <f t="shared" si="43"/>
        <v>41005</v>
      </c>
      <c r="H25" s="34">
        <f t="shared" si="43"/>
        <v>41006</v>
      </c>
      <c r="J25" s="24" t="str">
        <f t="array" ref="J25">IFERROR(IF(MATCH(8,DAY(B25:H25),0),H25,""),"")</f>
        <v/>
      </c>
      <c r="K25" s="71">
        <f ca="1">IF(AND(B25&gt;=$AC$4,B25&lt;=$AU$4),IF(""=IFERROR(INDEX(INDIRECT("Data!C"&amp;$K$5,FALSE),MATCH(B25,Data!$A:$A,0)),$BX$12),$BX$11,IFERROR(INDEX(INDIRECT("Data!C"&amp;$K$5,FALSE),MATCH(B25,Data!$A:$A,0)),$BX$12)),"-")</f>
        <v>13</v>
      </c>
      <c r="L25" s="71">
        <f ca="1">IF(AND(C25&gt;=$AC$4,C25&lt;=$AU$4),IF(""=IFERROR(INDEX(INDIRECT("Data!C"&amp;$K$5,FALSE),MATCH(C25,Data!$A:$A,0)),$BX$12),$BX$11,IFERROR(INDEX(INDIRECT("Data!C"&amp;$K$5,FALSE),MATCH(C25,Data!$A:$A,0)),$BX$12)),"-")</f>
        <v>181</v>
      </c>
      <c r="M25" s="71">
        <f ca="1">IF(AND(D25&gt;=$AC$4,D25&lt;=$AU$4),IF(""=IFERROR(INDEX(INDIRECT("Data!C"&amp;$K$5,FALSE),MATCH(D25,Data!$A:$A,0)),$BX$12),$BX$11,IFERROR(INDEX(INDIRECT("Data!C"&amp;$K$5,FALSE),MATCH(D25,Data!$A:$A,0)),$BX$12)),"-")</f>
        <v>111</v>
      </c>
      <c r="N25" s="71">
        <f ca="1">IF(AND(E25&gt;=$AC$4,E25&lt;=$AU$4),IF(""=IFERROR(INDEX(INDIRECT("Data!C"&amp;$K$5,FALSE),MATCH(E25,Data!$A:$A,0)),$BX$12),$BX$11,IFERROR(INDEX(INDIRECT("Data!C"&amp;$K$5,FALSE),MATCH(E25,Data!$A:$A,0)),$BX$12)),"-")</f>
        <v>164</v>
      </c>
      <c r="O25" s="71">
        <f ca="1">IF(AND(F25&gt;=$AC$4,F25&lt;=$AU$4),IF(""=IFERROR(INDEX(INDIRECT("Data!C"&amp;$K$5,FALSE),MATCH(F25,Data!$A:$A,0)),$BX$12),$BX$11,IFERROR(INDEX(INDIRECT("Data!C"&amp;$K$5,FALSE),MATCH(F25,Data!$A:$A,0)),$BX$12)),"-")</f>
        <v>140</v>
      </c>
      <c r="P25" s="71">
        <f ca="1">IF(AND(G25&gt;=$AC$4,G25&lt;=$AU$4),IF(""=IFERROR(INDEX(INDIRECT("Data!C"&amp;$K$5,FALSE),MATCH(G25,Data!$A:$A,0)),$BX$12),$BX$11,IFERROR(INDEX(INDIRECT("Data!C"&amp;$K$5,FALSE),MATCH(G25,Data!$A:$A,0)),$BX$12)),"-")</f>
        <v>109</v>
      </c>
      <c r="Q25" s="71">
        <f ca="1">IF(AND(H25&gt;=$AC$4,H25&lt;=$AU$4),IF(""=IFERROR(INDEX(INDIRECT("Data!C"&amp;$K$5,FALSE),MATCH(H25,Data!$A:$A,0)),$BX$12),$BX$11,IFERROR(INDEX(INDIRECT("Data!C"&amp;$K$5,FALSE),MATCH(H25,Data!$A:$A,0)),$BX$12)),"-")</f>
        <v>59</v>
      </c>
      <c r="R25" s="7"/>
      <c r="T25" s="34">
        <f t="shared" si="49"/>
        <v>41364</v>
      </c>
      <c r="U25" s="34">
        <f t="shared" si="44"/>
        <v>41365</v>
      </c>
      <c r="V25" s="34">
        <f t="shared" si="28"/>
        <v>41366</v>
      </c>
      <c r="W25" s="34">
        <f t="shared" si="29"/>
        <v>41367</v>
      </c>
      <c r="X25" s="34">
        <f t="shared" si="30"/>
        <v>41368</v>
      </c>
      <c r="Y25" s="34">
        <f t="shared" si="31"/>
        <v>41369</v>
      </c>
      <c r="Z25" s="34">
        <f t="shared" si="32"/>
        <v>41370</v>
      </c>
      <c r="AB25" s="24" t="str">
        <f t="array" ref="AB25">IFERROR(IF(MATCH(8,DAY(T25:Z25),0),Z25,""),"")</f>
        <v/>
      </c>
      <c r="AC25" s="71">
        <f ca="1">IF(AND(T25&gt;=$AC$4,T25&lt;=$AU$4),IF(""=IFERROR(INDEX(INDIRECT("Data!C"&amp;$K$5,FALSE),MATCH(T25,Data!$A:$A,0)),$BX$12),$BX$11,IFERROR(INDEX(INDIRECT("Data!C"&amp;$K$5,FALSE),MATCH(T25,Data!$A:$A,0)),$BX$12)),"-")</f>
        <v>15</v>
      </c>
      <c r="AD25" s="71">
        <f ca="1">IF(AND(U25&gt;=$AC$4,U25&lt;=$AU$4),IF(""=IFERROR(INDEX(INDIRECT("Data!C"&amp;$K$5,FALSE),MATCH(U25,Data!$A:$A,0)),$BX$12),$BX$11,IFERROR(INDEX(INDIRECT("Data!C"&amp;$K$5,FALSE),MATCH(U25,Data!$A:$A,0)),$BX$12)),"-")</f>
        <v>174</v>
      </c>
      <c r="AE25" s="71">
        <f ca="1">IF(AND(V25&gt;=$AC$4,V25&lt;=$AU$4),IF(""=IFERROR(INDEX(INDIRECT("Data!C"&amp;$K$5,FALSE),MATCH(V25,Data!$A:$A,0)),$BX$12),$BX$11,IFERROR(INDEX(INDIRECT("Data!C"&amp;$K$5,FALSE),MATCH(V25,Data!$A:$A,0)),$BX$12)),"-")</f>
        <v>186</v>
      </c>
      <c r="AF25" s="71">
        <f ca="1">IF(AND(W25&gt;=$AC$4,W25&lt;=$AU$4),IF(""=IFERROR(INDEX(INDIRECT("Data!C"&amp;$K$5,FALSE),MATCH(W25,Data!$A:$A,0)),$BX$12),$BX$11,IFERROR(INDEX(INDIRECT("Data!C"&amp;$K$5,FALSE),MATCH(W25,Data!$A:$A,0)),$BX$12)),"-")</f>
        <v>154</v>
      </c>
      <c r="AG25" s="71">
        <f ca="1">IF(AND(X25&gt;=$AC$4,X25&lt;=$AU$4),IF(""=IFERROR(INDEX(INDIRECT("Data!C"&amp;$K$5,FALSE),MATCH(X25,Data!$A:$A,0)),$BX$12),$BX$11,IFERROR(INDEX(INDIRECT("Data!C"&amp;$K$5,FALSE),MATCH(X25,Data!$A:$A,0)),$BX$12)),"-")</f>
        <v>144</v>
      </c>
      <c r="AH25" s="71">
        <f ca="1">IF(AND(Y25&gt;=$AC$4,Y25&lt;=$AU$4),IF(""=IFERROR(INDEX(INDIRECT("Data!C"&amp;$K$5,FALSE),MATCH(Y25,Data!$A:$A,0)),$BX$12),$BX$11,IFERROR(INDEX(INDIRECT("Data!C"&amp;$K$5,FALSE),MATCH(Y25,Data!$A:$A,0)),$BX$12)),"-")</f>
        <v>133</v>
      </c>
      <c r="AI25" s="71">
        <f ca="1">IF(AND(Z25&gt;=$AC$4,Z25&lt;=$AU$4),IF(""=IFERROR(INDEX(INDIRECT("Data!C"&amp;$K$5,FALSE),MATCH(Z25,Data!$A:$A,0)),$BX$12),$BX$11,IFERROR(INDEX(INDIRECT("Data!C"&amp;$K$5,FALSE),MATCH(Z25,Data!$A:$A,0)),$BX$12)),"-")</f>
        <v>34</v>
      </c>
      <c r="AJ25" s="7"/>
      <c r="AL25" s="34">
        <f t="shared" si="50"/>
        <v>41728</v>
      </c>
      <c r="AM25" s="34">
        <f t="shared" si="45"/>
        <v>41729</v>
      </c>
      <c r="AN25" s="34">
        <f t="shared" si="33"/>
        <v>41730</v>
      </c>
      <c r="AO25" s="34">
        <f t="shared" si="34"/>
        <v>41731</v>
      </c>
      <c r="AP25" s="34">
        <f t="shared" si="35"/>
        <v>41732</v>
      </c>
      <c r="AQ25" s="34">
        <f t="shared" si="36"/>
        <v>41733</v>
      </c>
      <c r="AR25" s="34">
        <f t="shared" si="37"/>
        <v>41734</v>
      </c>
      <c r="AT25" s="24" t="str">
        <f t="array" ref="AT25">IFERROR(IF(MATCH(8,DAY(AL25:AR25),0),AR25,""),"")</f>
        <v/>
      </c>
      <c r="AU25" s="71">
        <f ca="1">IF(AND(AL25&gt;=$AC$4,AL25&lt;=$AU$4),IF(""=IFERROR(INDEX(INDIRECT("Data!C"&amp;$K$5,FALSE),MATCH(AL25,Data!$A:$A,0)),$BX$12),$BX$11,IFERROR(INDEX(INDIRECT("Data!C"&amp;$K$5,FALSE),MATCH(AL25,Data!$A:$A,0)),$BX$12)),"-")</f>
        <v>14</v>
      </c>
      <c r="AV25" s="71">
        <f ca="1">IF(AND(AM25&gt;=$AC$4,AM25&lt;=$AU$4),IF(""=IFERROR(INDEX(INDIRECT("Data!C"&amp;$K$5,FALSE),MATCH(AM25,Data!$A:$A,0)),$BX$12),$BX$11,IFERROR(INDEX(INDIRECT("Data!C"&amp;$K$5,FALSE),MATCH(AM25,Data!$A:$A,0)),$BX$12)),"-")</f>
        <v>110</v>
      </c>
      <c r="AW25" s="71">
        <f ca="1">IF(AND(AN25&gt;=$AC$4,AN25&lt;=$AU$4),IF(""=IFERROR(INDEX(INDIRECT("Data!C"&amp;$K$5,FALSE),MATCH(AN25,Data!$A:$A,0)),$BX$12),$BX$11,IFERROR(INDEX(INDIRECT("Data!C"&amp;$K$5,FALSE),MATCH(AN25,Data!$A:$A,0)),$BX$12)),"-")</f>
        <v>159</v>
      </c>
      <c r="AX25" s="71">
        <f ca="1">IF(AND(AO25&gt;=$AC$4,AO25&lt;=$AU$4),IF(""=IFERROR(INDEX(INDIRECT("Data!C"&amp;$K$5,FALSE),MATCH(AO25,Data!$A:$A,0)),$BX$12),$BX$11,IFERROR(INDEX(INDIRECT("Data!C"&amp;$K$5,FALSE),MATCH(AO25,Data!$A:$A,0)),$BX$12)),"-")</f>
        <v>143</v>
      </c>
      <c r="AY25" s="71">
        <f ca="1">IF(AND(AP25&gt;=$AC$4,AP25&lt;=$AU$4),IF(""=IFERROR(INDEX(INDIRECT("Data!C"&amp;$K$5,FALSE),MATCH(AP25,Data!$A:$A,0)),$BX$12),$BX$11,IFERROR(INDEX(INDIRECT("Data!C"&amp;$K$5,FALSE),MATCH(AP25,Data!$A:$A,0)),$BX$12)),"-")</f>
        <v>133</v>
      </c>
      <c r="AZ25" s="71">
        <f ca="1">IF(AND(AQ25&gt;=$AC$4,AQ25&lt;=$AU$4),IF(""=IFERROR(INDEX(INDIRECT("Data!C"&amp;$K$5,FALSE),MATCH(AQ25,Data!$A:$A,0)),$BX$12),$BX$11,IFERROR(INDEX(INDIRECT("Data!C"&amp;$K$5,FALSE),MATCH(AQ25,Data!$A:$A,0)),$BX$12)),"-")</f>
        <v>128</v>
      </c>
      <c r="BA25" s="71">
        <f ca="1">IF(AND(AR25&gt;=$AC$4,AR25&lt;=$AU$4),IF(""=IFERROR(INDEX(INDIRECT("Data!C"&amp;$K$5,FALSE),MATCH(AR25,Data!$A:$A,0)),$BX$12),$BX$11,IFERROR(INDEX(INDIRECT("Data!C"&amp;$K$5,FALSE),MATCH(AR25,Data!$A:$A,0)),$BX$12)),"-")</f>
        <v>25</v>
      </c>
      <c r="BB25" s="7"/>
      <c r="BD25" s="34">
        <f t="shared" si="51"/>
        <v>42092</v>
      </c>
      <c r="BE25" s="34">
        <f t="shared" si="46"/>
        <v>42093</v>
      </c>
      <c r="BF25" s="34">
        <f t="shared" si="38"/>
        <v>42094</v>
      </c>
      <c r="BG25" s="34">
        <f t="shared" si="39"/>
        <v>42095</v>
      </c>
      <c r="BH25" s="34">
        <f t="shared" si="40"/>
        <v>42096</v>
      </c>
      <c r="BI25" s="34">
        <f t="shared" si="41"/>
        <v>42097</v>
      </c>
      <c r="BJ25" s="34">
        <f t="shared" si="42"/>
        <v>42098</v>
      </c>
      <c r="BL25" s="24" t="str">
        <f t="array" ref="BL25">IFERROR(IF(MATCH(8,DAY(BD25:BJ25),0),BJ25,""),"")</f>
        <v/>
      </c>
      <c r="BM25" s="71">
        <f ca="1">IF(AND(BD25&gt;=$AC$4,BD25&lt;=$AU$4),IF(""=IFERROR(INDEX(INDIRECT("Data!C"&amp;$K$5,FALSE),MATCH(BD25,Data!$A:$A,0)),$BX$12),$BX$11,IFERROR(INDEX(INDIRECT("Data!C"&amp;$K$5,FALSE),MATCH(BD25,Data!$A:$A,0)),$BX$12)),"-")</f>
        <v>18</v>
      </c>
      <c r="BN25" s="71">
        <f ca="1">IF(AND(BE25&gt;=$AC$4,BE25&lt;=$AU$4),IF(""=IFERROR(INDEX(INDIRECT("Data!C"&amp;$K$5,FALSE),MATCH(BE25,Data!$A:$A,0)),$BX$12),$BX$11,IFERROR(INDEX(INDIRECT("Data!C"&amp;$K$5,FALSE),MATCH(BE25,Data!$A:$A,0)),$BX$12)),"-")</f>
        <v>196</v>
      </c>
      <c r="BO25" s="71">
        <f ca="1">IF(AND(BF25&gt;=$AC$4,BF25&lt;=$AU$4),IF(""=IFERROR(INDEX(INDIRECT("Data!C"&amp;$K$5,FALSE),MATCH(BF25,Data!$A:$A,0)),$BX$12),$BX$11,IFERROR(INDEX(INDIRECT("Data!C"&amp;$K$5,FALSE),MATCH(BF25,Data!$A:$A,0)),$BX$12)),"-")</f>
        <v>130</v>
      </c>
      <c r="BP25" s="71">
        <f ca="1">IF(AND(BG25&gt;=$AC$4,BG25&lt;=$AU$4),IF(""=IFERROR(INDEX(INDIRECT("Data!C"&amp;$K$5,FALSE),MATCH(BG25,Data!$A:$A,0)),$BX$12),$BX$11,IFERROR(INDEX(INDIRECT("Data!C"&amp;$K$5,FALSE),MATCH(BG25,Data!$A:$A,0)),$BX$12)),"-")</f>
        <v>130</v>
      </c>
      <c r="BQ25" s="71">
        <f ca="1">IF(AND(BH25&gt;=$AC$4,BH25&lt;=$AU$4),IF(""=IFERROR(INDEX(INDIRECT("Data!C"&amp;$K$5,FALSE),MATCH(BH25,Data!$A:$A,0)),$BX$12),$BX$11,IFERROR(INDEX(INDIRECT("Data!C"&amp;$K$5,FALSE),MATCH(BH25,Data!$A:$A,0)),$BX$12)),"-")</f>
        <v>142</v>
      </c>
      <c r="BR25" s="71">
        <f ca="1">IF(AND(BI25&gt;=$AC$4,BI25&lt;=$AU$4),IF(""=IFERROR(INDEX(INDIRECT("Data!C"&amp;$K$5,FALSE),MATCH(BI25,Data!$A:$A,0)),$BX$12),$BX$11,IFERROR(INDEX(INDIRECT("Data!C"&amp;$K$5,FALSE),MATCH(BI25,Data!$A:$A,0)),$BX$12)),"-")</f>
        <v>120</v>
      </c>
      <c r="BS25" s="71">
        <f ca="1">IF(AND(BJ25&gt;=$AC$4,BJ25&lt;=$AU$4),IF(""=IFERROR(INDEX(INDIRECT("Data!C"&amp;$K$5,FALSE),MATCH(BJ25,Data!$A:$A,0)),$BX$12),$BX$11,IFERROR(INDEX(INDIRECT("Data!C"&amp;$K$5,FALSE),MATCH(BJ25,Data!$A:$A,0)),$BX$12)),"-")</f>
        <v>48</v>
      </c>
      <c r="BT25" s="7"/>
      <c r="BU25" s="58">
        <f t="shared" ca="1" si="47"/>
        <v>111.17857142857143</v>
      </c>
      <c r="BX25" s="12"/>
    </row>
    <row r="26" spans="2:78" ht="12" customHeight="1" x14ac:dyDescent="0.2">
      <c r="B26" s="34">
        <f t="shared" si="48"/>
        <v>41007</v>
      </c>
      <c r="C26" s="34">
        <f t="shared" si="43"/>
        <v>41008</v>
      </c>
      <c r="D26" s="34">
        <f t="shared" si="43"/>
        <v>41009</v>
      </c>
      <c r="E26" s="34">
        <f t="shared" si="43"/>
        <v>41010</v>
      </c>
      <c r="F26" s="34">
        <f t="shared" si="43"/>
        <v>41011</v>
      </c>
      <c r="G26" s="34">
        <f t="shared" si="43"/>
        <v>41012</v>
      </c>
      <c r="H26" s="34">
        <f t="shared" si="43"/>
        <v>41013</v>
      </c>
      <c r="J26" s="24">
        <f t="array" ref="J26">IFERROR(IF(MATCH(8,DAY(B26:H26),0),H26,""),"")</f>
        <v>41013</v>
      </c>
      <c r="K26" s="71">
        <f ca="1">IF(AND(B26&gt;=$AC$4,B26&lt;=$AU$4),IF(""=IFERROR(INDEX(INDIRECT("Data!C"&amp;$K$5,FALSE),MATCH(B26,Data!$A:$A,0)),$BX$12),$BX$11,IFERROR(INDEX(INDIRECT("Data!C"&amp;$K$5,FALSE),MATCH(B26,Data!$A:$A,0)),$BX$12)),"-")</f>
        <v>15</v>
      </c>
      <c r="L26" s="71">
        <f ca="1">IF(AND(C26&gt;=$AC$4,C26&lt;=$AU$4),IF(""=IFERROR(INDEX(INDIRECT("Data!C"&amp;$K$5,FALSE),MATCH(C26,Data!$A:$A,0)),$BX$12),$BX$11,IFERROR(INDEX(INDIRECT("Data!C"&amp;$K$5,FALSE),MATCH(C26,Data!$A:$A,0)),$BX$12)),"-")</f>
        <v>149</v>
      </c>
      <c r="M26" s="71">
        <f ca="1">IF(AND(D26&gt;=$AC$4,D26&lt;=$AU$4),IF(""=IFERROR(INDEX(INDIRECT("Data!C"&amp;$K$5,FALSE),MATCH(D26,Data!$A:$A,0)),$BX$12),$BX$11,IFERROR(INDEX(INDIRECT("Data!C"&amp;$K$5,FALSE),MATCH(D26,Data!$A:$A,0)),$BX$12)),"-")</f>
        <v>227</v>
      </c>
      <c r="N26" s="71">
        <f ca="1">IF(AND(E26&gt;=$AC$4,E26&lt;=$AU$4),IF(""=IFERROR(INDEX(INDIRECT("Data!C"&amp;$K$5,FALSE),MATCH(E26,Data!$A:$A,0)),$BX$12),$BX$11,IFERROR(INDEX(INDIRECT("Data!C"&amp;$K$5,FALSE),MATCH(E26,Data!$A:$A,0)),$BX$12)),"-")</f>
        <v>218</v>
      </c>
      <c r="O26" s="71">
        <f ca="1">IF(AND(F26&gt;=$AC$4,F26&lt;=$AU$4),IF(""=IFERROR(INDEX(INDIRECT("Data!C"&amp;$K$5,FALSE),MATCH(F26,Data!$A:$A,0)),$BX$12),$BX$11,IFERROR(INDEX(INDIRECT("Data!C"&amp;$K$5,FALSE),MATCH(F26,Data!$A:$A,0)),$BX$12)),"-")</f>
        <v>189</v>
      </c>
      <c r="P26" s="71">
        <f ca="1">IF(AND(G26&gt;=$AC$4,G26&lt;=$AU$4),IF(""=IFERROR(INDEX(INDIRECT("Data!C"&amp;$K$5,FALSE),MATCH(G26,Data!$A:$A,0)),$BX$12),$BX$11,IFERROR(INDEX(INDIRECT("Data!C"&amp;$K$5,FALSE),MATCH(G26,Data!$A:$A,0)),$BX$12)),"-")</f>
        <v>166</v>
      </c>
      <c r="Q26" s="71">
        <f ca="1">IF(AND(H26&gt;=$AC$4,H26&lt;=$AU$4),IF(""=IFERROR(INDEX(INDIRECT("Data!C"&amp;$K$5,FALSE),MATCH(H26,Data!$A:$A,0)),$BX$12),$BX$11,IFERROR(INDEX(INDIRECT("Data!C"&amp;$K$5,FALSE),MATCH(H26,Data!$A:$A,0)),$BX$12)),"-")</f>
        <v>55</v>
      </c>
      <c r="R26" s="7"/>
      <c r="T26" s="34">
        <f t="shared" si="49"/>
        <v>41371</v>
      </c>
      <c r="U26" s="34">
        <f t="shared" si="44"/>
        <v>41372</v>
      </c>
      <c r="V26" s="34">
        <f t="shared" si="28"/>
        <v>41373</v>
      </c>
      <c r="W26" s="34">
        <f t="shared" si="29"/>
        <v>41374</v>
      </c>
      <c r="X26" s="34">
        <f t="shared" si="30"/>
        <v>41375</v>
      </c>
      <c r="Y26" s="34">
        <f t="shared" si="31"/>
        <v>41376</v>
      </c>
      <c r="Z26" s="34">
        <f t="shared" si="32"/>
        <v>41377</v>
      </c>
      <c r="AB26" s="24">
        <f t="array" ref="AB26">IFERROR(IF(MATCH(8,DAY(T26:Z26),0),Z26,""),"")</f>
        <v>41377</v>
      </c>
      <c r="AC26" s="71">
        <f ca="1">IF(AND(T26&gt;=$AC$4,T26&lt;=$AU$4),IF(""=IFERROR(INDEX(INDIRECT("Data!C"&amp;$K$5,FALSE),MATCH(T26,Data!$A:$A,0)),$BX$12),$BX$11,IFERROR(INDEX(INDIRECT("Data!C"&amp;$K$5,FALSE),MATCH(T26,Data!$A:$A,0)),$BX$12)),"-")</f>
        <v>26</v>
      </c>
      <c r="AD26" s="71">
        <f ca="1">IF(AND(U26&gt;=$AC$4,U26&lt;=$AU$4),IF(""=IFERROR(INDEX(INDIRECT("Data!C"&amp;$K$5,FALSE),MATCH(U26,Data!$A:$A,0)),$BX$12),$BX$11,IFERROR(INDEX(INDIRECT("Data!C"&amp;$K$5,FALSE),MATCH(U26,Data!$A:$A,0)),$BX$12)),"-")</f>
        <v>136</v>
      </c>
      <c r="AE26" s="71">
        <f ca="1">IF(AND(V26&gt;=$AC$4,V26&lt;=$AU$4),IF(""=IFERROR(INDEX(INDIRECT("Data!C"&amp;$K$5,FALSE),MATCH(V26,Data!$A:$A,0)),$BX$12),$BX$11,IFERROR(INDEX(INDIRECT("Data!C"&amp;$K$5,FALSE),MATCH(V26,Data!$A:$A,0)),$BX$12)),"-")</f>
        <v>184</v>
      </c>
      <c r="AF26" s="71">
        <f ca="1">IF(AND(W26&gt;=$AC$4,W26&lt;=$AU$4),IF(""=IFERROR(INDEX(INDIRECT("Data!C"&amp;$K$5,FALSE),MATCH(W26,Data!$A:$A,0)),$BX$12),$BX$11,IFERROR(INDEX(INDIRECT("Data!C"&amp;$K$5,FALSE),MATCH(W26,Data!$A:$A,0)),$BX$12)),"-")</f>
        <v>167</v>
      </c>
      <c r="AG26" s="71">
        <f ca="1">IF(AND(X26&gt;=$AC$4,X26&lt;=$AU$4),IF(""=IFERROR(INDEX(INDIRECT("Data!C"&amp;$K$5,FALSE),MATCH(X26,Data!$A:$A,0)),$BX$12),$BX$11,IFERROR(INDEX(INDIRECT("Data!C"&amp;$K$5,FALSE),MATCH(X26,Data!$A:$A,0)),$BX$12)),"-")</f>
        <v>174</v>
      </c>
      <c r="AH26" s="71">
        <f ca="1">IF(AND(Y26&gt;=$AC$4,Y26&lt;=$AU$4),IF(""=IFERROR(INDEX(INDIRECT("Data!C"&amp;$K$5,FALSE),MATCH(Y26,Data!$A:$A,0)),$BX$12),$BX$11,IFERROR(INDEX(INDIRECT("Data!C"&amp;$K$5,FALSE),MATCH(Y26,Data!$A:$A,0)),$BX$12)),"-")</f>
        <v>145</v>
      </c>
      <c r="AI26" s="71">
        <f ca="1">IF(AND(Z26&gt;=$AC$4,Z26&lt;=$AU$4),IF(""=IFERROR(INDEX(INDIRECT("Data!C"&amp;$K$5,FALSE),MATCH(Z26,Data!$A:$A,0)),$BX$12),$BX$11,IFERROR(INDEX(INDIRECT("Data!C"&amp;$K$5,FALSE),MATCH(Z26,Data!$A:$A,0)),$BX$12)),"-")</f>
        <v>52</v>
      </c>
      <c r="AJ26" s="7"/>
      <c r="AL26" s="34">
        <f t="shared" si="50"/>
        <v>41735</v>
      </c>
      <c r="AM26" s="34">
        <f t="shared" si="45"/>
        <v>41736</v>
      </c>
      <c r="AN26" s="34">
        <f t="shared" si="33"/>
        <v>41737</v>
      </c>
      <c r="AO26" s="34">
        <f t="shared" si="34"/>
        <v>41738</v>
      </c>
      <c r="AP26" s="34">
        <f t="shared" si="35"/>
        <v>41739</v>
      </c>
      <c r="AQ26" s="34">
        <f t="shared" si="36"/>
        <v>41740</v>
      </c>
      <c r="AR26" s="34">
        <f t="shared" si="37"/>
        <v>41741</v>
      </c>
      <c r="AT26" s="24">
        <f t="array" ref="AT26">IFERROR(IF(MATCH(8,DAY(AL26:AR26),0),AR26,""),"")</f>
        <v>41741</v>
      </c>
      <c r="AU26" s="71">
        <f ca="1">IF(AND(AL26&gt;=$AC$4,AL26&lt;=$AU$4),IF(""=IFERROR(INDEX(INDIRECT("Data!C"&amp;$K$5,FALSE),MATCH(AL26,Data!$A:$A,0)),$BX$12),$BX$11,IFERROR(INDEX(INDIRECT("Data!C"&amp;$K$5,FALSE),MATCH(AL26,Data!$A:$A,0)),$BX$12)),"-")</f>
        <v>21</v>
      </c>
      <c r="AV26" s="71">
        <f ca="1">IF(AND(AM26&gt;=$AC$4,AM26&lt;=$AU$4),IF(""=IFERROR(INDEX(INDIRECT("Data!C"&amp;$K$5,FALSE),MATCH(AM26,Data!$A:$A,0)),$BX$12),$BX$11,IFERROR(INDEX(INDIRECT("Data!C"&amp;$K$5,FALSE),MATCH(AM26,Data!$A:$A,0)),$BX$12)),"-")</f>
        <v>234</v>
      </c>
      <c r="AW26" s="71">
        <f ca="1">IF(AND(AN26&gt;=$AC$4,AN26&lt;=$AU$4),IF(""=IFERROR(INDEX(INDIRECT("Data!C"&amp;$K$5,FALSE),MATCH(AN26,Data!$A:$A,0)),$BX$12),$BX$11,IFERROR(INDEX(INDIRECT("Data!C"&amp;$K$5,FALSE),MATCH(AN26,Data!$A:$A,0)),$BX$12)),"-")</f>
        <v>217</v>
      </c>
      <c r="AX26" s="71">
        <f ca="1">IF(AND(AO26&gt;=$AC$4,AO26&lt;=$AU$4),IF(""=IFERROR(INDEX(INDIRECT("Data!C"&amp;$K$5,FALSE),MATCH(AO26,Data!$A:$A,0)),$BX$12),$BX$11,IFERROR(INDEX(INDIRECT("Data!C"&amp;$K$5,FALSE),MATCH(AO26,Data!$A:$A,0)),$BX$12)),"-")</f>
        <v>168</v>
      </c>
      <c r="AY26" s="71">
        <f ca="1">IF(AND(AP26&gt;=$AC$4,AP26&lt;=$AU$4),IF(""=IFERROR(INDEX(INDIRECT("Data!C"&amp;$K$5,FALSE),MATCH(AP26,Data!$A:$A,0)),$BX$12),$BX$11,IFERROR(INDEX(INDIRECT("Data!C"&amp;$K$5,FALSE),MATCH(AP26,Data!$A:$A,0)),$BX$12)),"-")</f>
        <v>211</v>
      </c>
      <c r="AZ26" s="71">
        <f ca="1">IF(AND(AQ26&gt;=$AC$4,AQ26&lt;=$AU$4),IF(""=IFERROR(INDEX(INDIRECT("Data!C"&amp;$K$5,FALSE),MATCH(AQ26,Data!$A:$A,0)),$BX$12),$BX$11,IFERROR(INDEX(INDIRECT("Data!C"&amp;$K$5,FALSE),MATCH(AQ26,Data!$A:$A,0)),$BX$12)),"-")</f>
        <v>135</v>
      </c>
      <c r="BA26" s="71">
        <f ca="1">IF(AND(AR26&gt;=$AC$4,AR26&lt;=$AU$4),IF(""=IFERROR(INDEX(INDIRECT("Data!C"&amp;$K$5,FALSE),MATCH(AR26,Data!$A:$A,0)),$BX$12),$BX$11,IFERROR(INDEX(INDIRECT("Data!C"&amp;$K$5,FALSE),MATCH(AR26,Data!$A:$A,0)),$BX$12)),"-")</f>
        <v>40</v>
      </c>
      <c r="BB26" s="7"/>
      <c r="BD26" s="34">
        <f t="shared" si="51"/>
        <v>42099</v>
      </c>
      <c r="BE26" s="34">
        <f t="shared" si="46"/>
        <v>42100</v>
      </c>
      <c r="BF26" s="34">
        <f t="shared" si="38"/>
        <v>42101</v>
      </c>
      <c r="BG26" s="34">
        <f t="shared" si="39"/>
        <v>42102</v>
      </c>
      <c r="BH26" s="34">
        <f t="shared" si="40"/>
        <v>42103</v>
      </c>
      <c r="BI26" s="34">
        <f t="shared" si="41"/>
        <v>42104</v>
      </c>
      <c r="BJ26" s="34">
        <f t="shared" si="42"/>
        <v>42105</v>
      </c>
      <c r="BL26" s="24">
        <f t="array" ref="BL26">IFERROR(IF(MATCH(8,DAY(BD26:BJ26),0),BJ26,""),"")</f>
        <v>42105</v>
      </c>
      <c r="BM26" s="71">
        <f ca="1">IF(AND(BD26&gt;=$AC$4,BD26&lt;=$AU$4),IF(""=IFERROR(INDEX(INDIRECT("Data!C"&amp;$K$5,FALSE),MATCH(BD26,Data!$A:$A,0)),$BX$12),$BX$11,IFERROR(INDEX(INDIRECT("Data!C"&amp;$K$5,FALSE),MATCH(BD26,Data!$A:$A,0)),$BX$12)),"-")</f>
        <v>20</v>
      </c>
      <c r="BN26" s="71">
        <f ca="1">IF(AND(BE26&gt;=$AC$4,BE26&lt;=$AU$4),IF(""=IFERROR(INDEX(INDIRECT("Data!C"&amp;$K$5,FALSE),MATCH(BE26,Data!$A:$A,0)),$BX$12),$BX$11,IFERROR(INDEX(INDIRECT("Data!C"&amp;$K$5,FALSE),MATCH(BE26,Data!$A:$A,0)),$BX$12)),"-")</f>
        <v>301</v>
      </c>
      <c r="BO26" s="71">
        <f ca="1">IF(AND(BF26&gt;=$AC$4,BF26&lt;=$AU$4),IF(""=IFERROR(INDEX(INDIRECT("Data!C"&amp;$K$5,FALSE),MATCH(BF26,Data!$A:$A,0)),$BX$12),$BX$11,IFERROR(INDEX(INDIRECT("Data!C"&amp;$K$5,FALSE),MATCH(BF26,Data!$A:$A,0)),$BX$12)),"-")</f>
        <v>264</v>
      </c>
      <c r="BP26" s="71">
        <f ca="1">IF(AND(BG26&gt;=$AC$4,BG26&lt;=$AU$4),IF(""=IFERROR(INDEX(INDIRECT("Data!C"&amp;$K$5,FALSE),MATCH(BG26,Data!$A:$A,0)),$BX$12),$BX$11,IFERROR(INDEX(INDIRECT("Data!C"&amp;$K$5,FALSE),MATCH(BG26,Data!$A:$A,0)),$BX$12)),"-")</f>
        <v>247</v>
      </c>
      <c r="BQ26" s="71">
        <f ca="1">IF(AND(BH26&gt;=$AC$4,BH26&lt;=$AU$4),IF(""=IFERROR(INDEX(INDIRECT("Data!C"&amp;$K$5,FALSE),MATCH(BH26,Data!$A:$A,0)),$BX$12),$BX$11,IFERROR(INDEX(INDIRECT("Data!C"&amp;$K$5,FALSE),MATCH(BH26,Data!$A:$A,0)),$BX$12)),"-")</f>
        <v>128</v>
      </c>
      <c r="BR26" s="71">
        <f ca="1">IF(AND(BI26&gt;=$AC$4,BI26&lt;=$AU$4),IF(""=IFERROR(INDEX(INDIRECT("Data!C"&amp;$K$5,FALSE),MATCH(BI26,Data!$A:$A,0)),$BX$12),$BX$11,IFERROR(INDEX(INDIRECT("Data!C"&amp;$K$5,FALSE),MATCH(BI26,Data!$A:$A,0)),$BX$12)),"-")</f>
        <v>140</v>
      </c>
      <c r="BS26" s="71">
        <f ca="1">IF(AND(BJ26&gt;=$AC$4,BJ26&lt;=$AU$4),IF(""=IFERROR(INDEX(INDIRECT("Data!C"&amp;$K$5,FALSE),MATCH(BJ26,Data!$A:$A,0)),$BX$12),$BX$11,IFERROR(INDEX(INDIRECT("Data!C"&amp;$K$5,FALSE),MATCH(BJ26,Data!$A:$A,0)),$BX$12)),"-")</f>
        <v>37</v>
      </c>
      <c r="BT26" s="7"/>
      <c r="BU26" s="58">
        <f t="shared" ca="1" si="47"/>
        <v>145.21428571428572</v>
      </c>
      <c r="BX26" s="12"/>
    </row>
    <row r="27" spans="2:78" ht="12" customHeight="1" x14ac:dyDescent="0.2">
      <c r="B27" s="34">
        <f t="shared" si="48"/>
        <v>41014</v>
      </c>
      <c r="C27" s="34">
        <f t="shared" si="43"/>
        <v>41015</v>
      </c>
      <c r="D27" s="34">
        <f t="shared" si="43"/>
        <v>41016</v>
      </c>
      <c r="E27" s="34">
        <f t="shared" si="43"/>
        <v>41017</v>
      </c>
      <c r="F27" s="34">
        <f t="shared" si="43"/>
        <v>41018</v>
      </c>
      <c r="G27" s="34">
        <f t="shared" si="43"/>
        <v>41019</v>
      </c>
      <c r="H27" s="34">
        <f t="shared" si="43"/>
        <v>41020</v>
      </c>
      <c r="J27" s="24" t="str">
        <f t="array" ref="J27">IFERROR(IF(MATCH(8,DAY(B27:H27),0),H27,""),"")</f>
        <v/>
      </c>
      <c r="K27" s="71">
        <f ca="1">IF(AND(B27&gt;=$AC$4,B27&lt;=$AU$4),IF(""=IFERROR(INDEX(INDIRECT("Data!C"&amp;$K$5,FALSE),MATCH(B27,Data!$A:$A,0)),$BX$12),$BX$11,IFERROR(INDEX(INDIRECT("Data!C"&amp;$K$5,FALSE),MATCH(B27,Data!$A:$A,0)),$BX$12)),"-")</f>
        <v>16</v>
      </c>
      <c r="L27" s="71">
        <f ca="1">IF(AND(C27&gt;=$AC$4,C27&lt;=$AU$4),IF(""=IFERROR(INDEX(INDIRECT("Data!C"&amp;$K$5,FALSE),MATCH(C27,Data!$A:$A,0)),$BX$12),$BX$11,IFERROR(INDEX(INDIRECT("Data!C"&amp;$K$5,FALSE),MATCH(C27,Data!$A:$A,0)),$BX$12)),"-")</f>
        <v>109</v>
      </c>
      <c r="M27" s="71">
        <f ca="1">IF(AND(D27&gt;=$AC$4,D27&lt;=$AU$4),IF(""=IFERROR(INDEX(INDIRECT("Data!C"&amp;$K$5,FALSE),MATCH(D27,Data!$A:$A,0)),$BX$12),$BX$11,IFERROR(INDEX(INDIRECT("Data!C"&amp;$K$5,FALSE),MATCH(D27,Data!$A:$A,0)),$BX$12)),"-")</f>
        <v>228</v>
      </c>
      <c r="N27" s="71">
        <f ca="1">IF(AND(E27&gt;=$AC$4,E27&lt;=$AU$4),IF(""=IFERROR(INDEX(INDIRECT("Data!C"&amp;$K$5,FALSE),MATCH(E27,Data!$A:$A,0)),$BX$12),$BX$11,IFERROR(INDEX(INDIRECT("Data!C"&amp;$K$5,FALSE),MATCH(E27,Data!$A:$A,0)),$BX$12)),"-")</f>
        <v>158</v>
      </c>
      <c r="O27" s="71">
        <f ca="1">IF(AND(F27&gt;=$AC$4,F27&lt;=$AU$4),IF(""=IFERROR(INDEX(INDIRECT("Data!C"&amp;$K$5,FALSE),MATCH(F27,Data!$A:$A,0)),$BX$12),$BX$11,IFERROR(INDEX(INDIRECT("Data!C"&amp;$K$5,FALSE),MATCH(F27,Data!$A:$A,0)),$BX$12)),"-")</f>
        <v>139</v>
      </c>
      <c r="P27" s="71">
        <f ca="1">IF(AND(G27&gt;=$AC$4,G27&lt;=$AU$4),IF(""=IFERROR(INDEX(INDIRECT("Data!C"&amp;$K$5,FALSE),MATCH(G27,Data!$A:$A,0)),$BX$12),$BX$11,IFERROR(INDEX(INDIRECT("Data!C"&amp;$K$5,FALSE),MATCH(G27,Data!$A:$A,0)),$BX$12)),"-")</f>
        <v>68</v>
      </c>
      <c r="Q27" s="71">
        <f ca="1">IF(AND(H27&gt;=$AC$4,H27&lt;=$AU$4),IF(""=IFERROR(INDEX(INDIRECT("Data!C"&amp;$K$5,FALSE),MATCH(H27,Data!$A:$A,0)),$BX$12),$BX$11,IFERROR(INDEX(INDIRECT("Data!C"&amp;$K$5,FALSE),MATCH(H27,Data!$A:$A,0)),$BX$12)),"-")</f>
        <v>51</v>
      </c>
      <c r="R27" s="7"/>
      <c r="T27" s="34">
        <f t="shared" si="49"/>
        <v>41378</v>
      </c>
      <c r="U27" s="34">
        <f t="shared" si="44"/>
        <v>41379</v>
      </c>
      <c r="V27" s="34">
        <f t="shared" si="28"/>
        <v>41380</v>
      </c>
      <c r="W27" s="34">
        <f t="shared" si="29"/>
        <v>41381</v>
      </c>
      <c r="X27" s="34">
        <f t="shared" si="30"/>
        <v>41382</v>
      </c>
      <c r="Y27" s="34">
        <f t="shared" si="31"/>
        <v>41383</v>
      </c>
      <c r="Z27" s="34">
        <f t="shared" si="32"/>
        <v>41384</v>
      </c>
      <c r="AB27" s="24" t="str">
        <f t="array" ref="AB27">IFERROR(IF(MATCH(8,DAY(T27:Z27),0),Z27,""),"")</f>
        <v/>
      </c>
      <c r="AC27" s="71">
        <f ca="1">IF(AND(T27&gt;=$AC$4,T27&lt;=$AU$4),IF(""=IFERROR(INDEX(INDIRECT("Data!C"&amp;$K$5,FALSE),MATCH(T27,Data!$A:$A,0)),$BX$12),$BX$11,IFERROR(INDEX(INDIRECT("Data!C"&amp;$K$5,FALSE),MATCH(T27,Data!$A:$A,0)),$BX$12)),"-")</f>
        <v>25</v>
      </c>
      <c r="AD27" s="71">
        <f ca="1">IF(AND(U27&gt;=$AC$4,U27&lt;=$AU$4),IF(""=IFERROR(INDEX(INDIRECT("Data!C"&amp;$K$5,FALSE),MATCH(U27,Data!$A:$A,0)),$BX$12),$BX$11,IFERROR(INDEX(INDIRECT("Data!C"&amp;$K$5,FALSE),MATCH(U27,Data!$A:$A,0)),$BX$12)),"-")</f>
        <v>228</v>
      </c>
      <c r="AE27" s="71">
        <f ca="1">IF(AND(V27&gt;=$AC$4,V27&lt;=$AU$4),IF(""=IFERROR(INDEX(INDIRECT("Data!C"&amp;$K$5,FALSE),MATCH(V27,Data!$A:$A,0)),$BX$12),$BX$11,IFERROR(INDEX(INDIRECT("Data!C"&amp;$K$5,FALSE),MATCH(V27,Data!$A:$A,0)),$BX$12)),"-")</f>
        <v>189</v>
      </c>
      <c r="AF27" s="71">
        <f ca="1">IF(AND(W27&gt;=$AC$4,W27&lt;=$AU$4),IF(""=IFERROR(INDEX(INDIRECT("Data!C"&amp;$K$5,FALSE),MATCH(W27,Data!$A:$A,0)),$BX$12),$BX$11,IFERROR(INDEX(INDIRECT("Data!C"&amp;$K$5,FALSE),MATCH(W27,Data!$A:$A,0)),$BX$12)),"-")</f>
        <v>237</v>
      </c>
      <c r="AG27" s="71">
        <f ca="1">IF(AND(X27&gt;=$AC$4,X27&lt;=$AU$4),IF(""=IFERROR(INDEX(INDIRECT("Data!C"&amp;$K$5,FALSE),MATCH(X27,Data!$A:$A,0)),$BX$12),$BX$11,IFERROR(INDEX(INDIRECT("Data!C"&amp;$K$5,FALSE),MATCH(X27,Data!$A:$A,0)),$BX$12)),"-")</f>
        <v>223</v>
      </c>
      <c r="AH27" s="71">
        <f ca="1">IF(AND(Y27&gt;=$AC$4,Y27&lt;=$AU$4),IF(""=IFERROR(INDEX(INDIRECT("Data!C"&amp;$K$5,FALSE),MATCH(Y27,Data!$A:$A,0)),$BX$12),$BX$11,IFERROR(INDEX(INDIRECT("Data!C"&amp;$K$5,FALSE),MATCH(Y27,Data!$A:$A,0)),$BX$12)),"-")</f>
        <v>116</v>
      </c>
      <c r="AI27" s="71">
        <f ca="1">IF(AND(Z27&gt;=$AC$4,Z27&lt;=$AU$4),IF(""=IFERROR(INDEX(INDIRECT("Data!C"&amp;$K$5,FALSE),MATCH(Z27,Data!$A:$A,0)),$BX$12),$BX$11,IFERROR(INDEX(INDIRECT("Data!C"&amp;$K$5,FALSE),MATCH(Z27,Data!$A:$A,0)),$BX$12)),"-")</f>
        <v>61</v>
      </c>
      <c r="AJ27" s="7"/>
      <c r="AL27" s="34">
        <f t="shared" si="50"/>
        <v>41742</v>
      </c>
      <c r="AM27" s="34">
        <f t="shared" si="45"/>
        <v>41743</v>
      </c>
      <c r="AN27" s="34">
        <f t="shared" si="33"/>
        <v>41744</v>
      </c>
      <c r="AO27" s="34">
        <f t="shared" si="34"/>
        <v>41745</v>
      </c>
      <c r="AP27" s="34">
        <f t="shared" si="35"/>
        <v>41746</v>
      </c>
      <c r="AQ27" s="34">
        <f t="shared" si="36"/>
        <v>41747</v>
      </c>
      <c r="AR27" s="34">
        <f t="shared" si="37"/>
        <v>41748</v>
      </c>
      <c r="AT27" s="24" t="str">
        <f t="array" ref="AT27">IFERROR(IF(MATCH(8,DAY(AL27:AR27),0),AR27,""),"")</f>
        <v/>
      </c>
      <c r="AU27" s="71">
        <f ca="1">IF(AND(AL27&gt;=$AC$4,AL27&lt;=$AU$4),IF(""=IFERROR(INDEX(INDIRECT("Data!C"&amp;$K$5,FALSE),MATCH(AL27,Data!$A:$A,0)),$BX$12),$BX$11,IFERROR(INDEX(INDIRECT("Data!C"&amp;$K$5,FALSE),MATCH(AL27,Data!$A:$A,0)),$BX$12)),"-")</f>
        <v>12</v>
      </c>
      <c r="AV27" s="71">
        <f ca="1">IF(AND(AM27&gt;=$AC$4,AM27&lt;=$AU$4),IF(""=IFERROR(INDEX(INDIRECT("Data!C"&amp;$K$5,FALSE),MATCH(AM27,Data!$A:$A,0)),$BX$12),$BX$11,IFERROR(INDEX(INDIRECT("Data!C"&amp;$K$5,FALSE),MATCH(AM27,Data!$A:$A,0)),$BX$12)),"-")</f>
        <v>195</v>
      </c>
      <c r="AW27" s="71">
        <f ca="1">IF(AND(AN27&gt;=$AC$4,AN27&lt;=$AU$4),IF(""=IFERROR(INDEX(INDIRECT("Data!C"&amp;$K$5,FALSE),MATCH(AN27,Data!$A:$A,0)),$BX$12),$BX$11,IFERROR(INDEX(INDIRECT("Data!C"&amp;$K$5,FALSE),MATCH(AN27,Data!$A:$A,0)),$BX$12)),"-")</f>
        <v>267</v>
      </c>
      <c r="AX27" s="71">
        <f ca="1">IF(AND(AO27&gt;=$AC$4,AO27&lt;=$AU$4),IF(""=IFERROR(INDEX(INDIRECT("Data!C"&amp;$K$5,FALSE),MATCH(AO27,Data!$A:$A,0)),$BX$12),$BX$11,IFERROR(INDEX(INDIRECT("Data!C"&amp;$K$5,FALSE),MATCH(AO27,Data!$A:$A,0)),$BX$12)),"-")</f>
        <v>204</v>
      </c>
      <c r="AY27" s="71">
        <f ca="1">IF(AND(AP27&gt;=$AC$4,AP27&lt;=$AU$4),IF(""=IFERROR(INDEX(INDIRECT("Data!C"&amp;$K$5,FALSE),MATCH(AP27,Data!$A:$A,0)),$BX$12),$BX$11,IFERROR(INDEX(INDIRECT("Data!C"&amp;$K$5,FALSE),MATCH(AP27,Data!$A:$A,0)),$BX$12)),"-")</f>
        <v>207</v>
      </c>
      <c r="AZ27" s="71">
        <f ca="1">IF(AND(AQ27&gt;=$AC$4,AQ27&lt;=$AU$4),IF(""=IFERROR(INDEX(INDIRECT("Data!C"&amp;$K$5,FALSE),MATCH(AQ27,Data!$A:$A,0)),$BX$12),$BX$11,IFERROR(INDEX(INDIRECT("Data!C"&amp;$K$5,FALSE),MATCH(AQ27,Data!$A:$A,0)),$BX$12)),"-")</f>
        <v>144</v>
      </c>
      <c r="BA27" s="71">
        <f ca="1">IF(AND(AR27&gt;=$AC$4,AR27&lt;=$AU$4),IF(""=IFERROR(INDEX(INDIRECT("Data!C"&amp;$K$5,FALSE),MATCH(AR27,Data!$A:$A,0)),$BX$12),$BX$11,IFERROR(INDEX(INDIRECT("Data!C"&amp;$K$5,FALSE),MATCH(AR27,Data!$A:$A,0)),$BX$12)),"-")</f>
        <v>64</v>
      </c>
      <c r="BB27" s="7"/>
      <c r="BD27" s="34">
        <f t="shared" si="51"/>
        <v>42106</v>
      </c>
      <c r="BE27" s="34">
        <f t="shared" si="46"/>
        <v>42107</v>
      </c>
      <c r="BF27" s="34">
        <f t="shared" si="38"/>
        <v>42108</v>
      </c>
      <c r="BG27" s="34">
        <f t="shared" si="39"/>
        <v>42109</v>
      </c>
      <c r="BH27" s="34">
        <f t="shared" si="40"/>
        <v>42110</v>
      </c>
      <c r="BI27" s="34">
        <f t="shared" si="41"/>
        <v>42111</v>
      </c>
      <c r="BJ27" s="34">
        <f t="shared" si="42"/>
        <v>42112</v>
      </c>
      <c r="BL27" s="24" t="str">
        <f t="array" ref="BL27">IFERROR(IF(MATCH(8,DAY(BD27:BJ27),0),BJ27,""),"")</f>
        <v/>
      </c>
      <c r="BM27" s="71">
        <f ca="1">IF(AND(BD27&gt;=$AC$4,BD27&lt;=$AU$4),IF(""=IFERROR(INDEX(INDIRECT("Data!C"&amp;$K$5,FALSE),MATCH(BD27,Data!$A:$A,0)),$BX$12),$BX$11,IFERROR(INDEX(INDIRECT("Data!C"&amp;$K$5,FALSE),MATCH(BD27,Data!$A:$A,0)),$BX$12)),"-")</f>
        <v>19</v>
      </c>
      <c r="BN27" s="71">
        <f ca="1">IF(AND(BE27&gt;=$AC$4,BE27&lt;=$AU$4),IF(""=IFERROR(INDEX(INDIRECT("Data!C"&amp;$K$5,FALSE),MATCH(BE27,Data!$A:$A,0)),$BX$12),$BX$11,IFERROR(INDEX(INDIRECT("Data!C"&amp;$K$5,FALSE),MATCH(BE27,Data!$A:$A,0)),$BX$12)),"-")</f>
        <v>189</v>
      </c>
      <c r="BO27" s="71">
        <f ca="1">IF(AND(BF27&gt;=$AC$4,BF27&lt;=$AU$4),IF(""=IFERROR(INDEX(INDIRECT("Data!C"&amp;$K$5,FALSE),MATCH(BF27,Data!$A:$A,0)),$BX$12),$BX$11,IFERROR(INDEX(INDIRECT("Data!C"&amp;$K$5,FALSE),MATCH(BF27,Data!$A:$A,0)),$BX$12)),"-")</f>
        <v>242</v>
      </c>
      <c r="BP27" s="71">
        <f ca="1">IF(AND(BG27&gt;=$AC$4,BG27&lt;=$AU$4),IF(""=IFERROR(INDEX(INDIRECT("Data!C"&amp;$K$5,FALSE),MATCH(BG27,Data!$A:$A,0)),$BX$12),$BX$11,IFERROR(INDEX(INDIRECT("Data!C"&amp;$K$5,FALSE),MATCH(BG27,Data!$A:$A,0)),$BX$12)),"-")</f>
        <v>286</v>
      </c>
      <c r="BQ27" s="71">
        <f ca="1">IF(AND(BH27&gt;=$AC$4,BH27&lt;=$AU$4),IF(""=IFERROR(INDEX(INDIRECT("Data!C"&amp;$K$5,FALSE),MATCH(BH27,Data!$A:$A,0)),$BX$12),$BX$11,IFERROR(INDEX(INDIRECT("Data!C"&amp;$K$5,FALSE),MATCH(BH27,Data!$A:$A,0)),$BX$12)),"-")</f>
        <v>212</v>
      </c>
      <c r="BR27" s="71">
        <f ca="1">IF(AND(BI27&gt;=$AC$4,BI27&lt;=$AU$4),IF(""=IFERROR(INDEX(INDIRECT("Data!C"&amp;$K$5,FALSE),MATCH(BI27,Data!$A:$A,0)),$BX$12),$BX$11,IFERROR(INDEX(INDIRECT("Data!C"&amp;$K$5,FALSE),MATCH(BI27,Data!$A:$A,0)),$BX$12)),"-")</f>
        <v>130</v>
      </c>
      <c r="BS27" s="71">
        <f ca="1">IF(AND(BJ27&gt;=$AC$4,BJ27&lt;=$AU$4),IF(""=IFERROR(INDEX(INDIRECT("Data!C"&amp;$K$5,FALSE),MATCH(BJ27,Data!$A:$A,0)),$BX$12),$BX$11,IFERROR(INDEX(INDIRECT("Data!C"&amp;$K$5,FALSE),MATCH(BJ27,Data!$A:$A,0)),$BX$12)),"-")</f>
        <v>44</v>
      </c>
      <c r="BT27" s="7"/>
      <c r="BU27" s="58">
        <f t="shared" ca="1" si="47"/>
        <v>145.10714285714286</v>
      </c>
      <c r="BX27" s="12"/>
    </row>
    <row r="28" spans="2:78" ht="12" customHeight="1" x14ac:dyDescent="0.2">
      <c r="B28" s="34">
        <f t="shared" si="48"/>
        <v>41021</v>
      </c>
      <c r="C28" s="34">
        <f t="shared" si="43"/>
        <v>41022</v>
      </c>
      <c r="D28" s="34">
        <f t="shared" si="43"/>
        <v>41023</v>
      </c>
      <c r="E28" s="34">
        <f t="shared" si="43"/>
        <v>41024</v>
      </c>
      <c r="F28" s="34">
        <f t="shared" si="43"/>
        <v>41025</v>
      </c>
      <c r="G28" s="34">
        <f t="shared" si="43"/>
        <v>41026</v>
      </c>
      <c r="H28" s="34">
        <f t="shared" si="43"/>
        <v>41027</v>
      </c>
      <c r="J28" s="24" t="str">
        <f t="array" ref="J28">IFERROR(IF(MATCH(8,DAY(B28:H28),0),H28,""),"")</f>
        <v/>
      </c>
      <c r="K28" s="71">
        <f ca="1">IF(AND(B28&gt;=$AC$4,B28&lt;=$AU$4),IF(""=IFERROR(INDEX(INDIRECT("Data!C"&amp;$K$5,FALSE),MATCH(B28,Data!$A:$A,0)),$BX$12),$BX$11,IFERROR(INDEX(INDIRECT("Data!C"&amp;$K$5,FALSE),MATCH(B28,Data!$A:$A,0)),$BX$12)),"-")</f>
        <v>26</v>
      </c>
      <c r="L28" s="71">
        <f ca="1">IF(AND(C28&gt;=$AC$4,C28&lt;=$AU$4),IF(""=IFERROR(INDEX(INDIRECT("Data!C"&amp;$K$5,FALSE),MATCH(C28,Data!$A:$A,0)),$BX$12),$BX$11,IFERROR(INDEX(INDIRECT("Data!C"&amp;$K$5,FALSE),MATCH(C28,Data!$A:$A,0)),$BX$12)),"-")</f>
        <v>300</v>
      </c>
      <c r="M28" s="71">
        <f ca="1">IF(AND(D28&gt;=$AC$4,D28&lt;=$AU$4),IF(""=IFERROR(INDEX(INDIRECT("Data!C"&amp;$K$5,FALSE),MATCH(D28,Data!$A:$A,0)),$BX$12),$BX$11,IFERROR(INDEX(INDIRECT("Data!C"&amp;$K$5,FALSE),MATCH(D28,Data!$A:$A,0)),$BX$12)),"-")</f>
        <v>123</v>
      </c>
      <c r="N28" s="71">
        <f ca="1">IF(AND(E28&gt;=$AC$4,E28&lt;=$AU$4),IF(""=IFERROR(INDEX(INDIRECT("Data!C"&amp;$K$5,FALSE),MATCH(E28,Data!$A:$A,0)),$BX$12),$BX$11,IFERROR(INDEX(INDIRECT("Data!C"&amp;$K$5,FALSE),MATCH(E28,Data!$A:$A,0)),$BX$12)),"-")</f>
        <v>194</v>
      </c>
      <c r="O28" s="71">
        <f ca="1">IF(AND(F28&gt;=$AC$4,F28&lt;=$AU$4),IF(""=IFERROR(INDEX(INDIRECT("Data!C"&amp;$K$5,FALSE),MATCH(F28,Data!$A:$A,0)),$BX$12),$BX$11,IFERROR(INDEX(INDIRECT("Data!C"&amp;$K$5,FALSE),MATCH(F28,Data!$A:$A,0)),$BX$12)),"-")</f>
        <v>196</v>
      </c>
      <c r="P28" s="71">
        <f ca="1">IF(AND(G28&gt;=$AC$4,G28&lt;=$AU$4),IF(""=IFERROR(INDEX(INDIRECT("Data!C"&amp;$K$5,FALSE),MATCH(G28,Data!$A:$A,0)),$BX$12),$BX$11,IFERROR(INDEX(INDIRECT("Data!C"&amp;$K$5,FALSE),MATCH(G28,Data!$A:$A,0)),$BX$12)),"-")</f>
        <v>118</v>
      </c>
      <c r="Q28" s="71">
        <f ca="1">IF(AND(H28&gt;=$AC$4,H28&lt;=$AU$4),IF(""=IFERROR(INDEX(INDIRECT("Data!C"&amp;$K$5,FALSE),MATCH(H28,Data!$A:$A,0)),$BX$12),$BX$11,IFERROR(INDEX(INDIRECT("Data!C"&amp;$K$5,FALSE),MATCH(H28,Data!$A:$A,0)),$BX$12)),"-")</f>
        <v>68</v>
      </c>
      <c r="R28" s="7"/>
      <c r="T28" s="34">
        <f t="shared" si="49"/>
        <v>41385</v>
      </c>
      <c r="U28" s="34">
        <f t="shared" si="44"/>
        <v>41386</v>
      </c>
      <c r="V28" s="34">
        <f t="shared" si="28"/>
        <v>41387</v>
      </c>
      <c r="W28" s="34">
        <f t="shared" si="29"/>
        <v>41388</v>
      </c>
      <c r="X28" s="34">
        <f t="shared" si="30"/>
        <v>41389</v>
      </c>
      <c r="Y28" s="34">
        <f t="shared" si="31"/>
        <v>41390</v>
      </c>
      <c r="Z28" s="34">
        <f t="shared" si="32"/>
        <v>41391</v>
      </c>
      <c r="AB28" s="24" t="str">
        <f t="array" ref="AB28">IFERROR(IF(MATCH(8,DAY(T28:Z28),0),Z28,""),"")</f>
        <v/>
      </c>
      <c r="AC28" s="71">
        <f ca="1">IF(AND(T28&gt;=$AC$4,T28&lt;=$AU$4),IF(""=IFERROR(INDEX(INDIRECT("Data!C"&amp;$K$5,FALSE),MATCH(T28,Data!$A:$A,0)),$BX$12),$BX$11,IFERROR(INDEX(INDIRECT("Data!C"&amp;$K$5,FALSE),MATCH(T28,Data!$A:$A,0)),$BX$12)),"-")</f>
        <v>31</v>
      </c>
      <c r="AD28" s="71">
        <f ca="1">IF(AND(U28&gt;=$AC$4,U28&lt;=$AU$4),IF(""=IFERROR(INDEX(INDIRECT("Data!C"&amp;$K$5,FALSE),MATCH(U28,Data!$A:$A,0)),$BX$12),$BX$11,IFERROR(INDEX(INDIRECT("Data!C"&amp;$K$5,FALSE),MATCH(U28,Data!$A:$A,0)),$BX$12)),"-")</f>
        <v>334</v>
      </c>
      <c r="AE28" s="71">
        <f ca="1">IF(AND(V28&gt;=$AC$4,V28&lt;=$AU$4),IF(""=IFERROR(INDEX(INDIRECT("Data!C"&amp;$K$5,FALSE),MATCH(V28,Data!$A:$A,0)),$BX$12),$BX$11,IFERROR(INDEX(INDIRECT("Data!C"&amp;$K$5,FALSE),MATCH(V28,Data!$A:$A,0)),$BX$12)),"-")</f>
        <v>171</v>
      </c>
      <c r="AF28" s="71">
        <f ca="1">IF(AND(W28&gt;=$AC$4,W28&lt;=$AU$4),IF(""=IFERROR(INDEX(INDIRECT("Data!C"&amp;$K$5,FALSE),MATCH(W28,Data!$A:$A,0)),$BX$12),$BX$11,IFERROR(INDEX(INDIRECT("Data!C"&amp;$K$5,FALSE),MATCH(W28,Data!$A:$A,0)),$BX$12)),"-")</f>
        <v>159</v>
      </c>
      <c r="AG28" s="71">
        <f ca="1">IF(AND(X28&gt;=$AC$4,X28&lt;=$AU$4),IF(""=IFERROR(INDEX(INDIRECT("Data!C"&amp;$K$5,FALSE),MATCH(X28,Data!$A:$A,0)),$BX$12),$BX$11,IFERROR(INDEX(INDIRECT("Data!C"&amp;$K$5,FALSE),MATCH(X28,Data!$A:$A,0)),$BX$12)),"-")</f>
        <v>215</v>
      </c>
      <c r="AH28" s="71">
        <f ca="1">IF(AND(Y28&gt;=$AC$4,Y28&lt;=$AU$4),IF(""=IFERROR(INDEX(INDIRECT("Data!C"&amp;$K$5,FALSE),MATCH(Y28,Data!$A:$A,0)),$BX$12),$BX$11,IFERROR(INDEX(INDIRECT("Data!C"&amp;$K$5,FALSE),MATCH(Y28,Data!$A:$A,0)),$BX$12)),"-")</f>
        <v>158</v>
      </c>
      <c r="AI28" s="71">
        <f ca="1">IF(AND(Z28&gt;=$AC$4,Z28&lt;=$AU$4),IF(""=IFERROR(INDEX(INDIRECT("Data!C"&amp;$K$5,FALSE),MATCH(Z28,Data!$A:$A,0)),$BX$12),$BX$11,IFERROR(INDEX(INDIRECT("Data!C"&amp;$K$5,FALSE),MATCH(Z28,Data!$A:$A,0)),$BX$12)),"-")</f>
        <v>46</v>
      </c>
      <c r="AJ28" s="7"/>
      <c r="AL28" s="34">
        <f t="shared" si="50"/>
        <v>41749</v>
      </c>
      <c r="AM28" s="34">
        <f t="shared" si="45"/>
        <v>41750</v>
      </c>
      <c r="AN28" s="34">
        <f t="shared" si="33"/>
        <v>41751</v>
      </c>
      <c r="AO28" s="34">
        <f t="shared" si="34"/>
        <v>41752</v>
      </c>
      <c r="AP28" s="34">
        <f t="shared" si="35"/>
        <v>41753</v>
      </c>
      <c r="AQ28" s="34">
        <f t="shared" si="36"/>
        <v>41754</v>
      </c>
      <c r="AR28" s="34">
        <f t="shared" si="37"/>
        <v>41755</v>
      </c>
      <c r="AT28" s="24" t="str">
        <f t="array" ref="AT28">IFERROR(IF(MATCH(8,DAY(AL28:AR28),0),AR28,""),"")</f>
        <v/>
      </c>
      <c r="AU28" s="71">
        <f ca="1">IF(AND(AL28&gt;=$AC$4,AL28&lt;=$AU$4),IF(""=IFERROR(INDEX(INDIRECT("Data!C"&amp;$K$5,FALSE),MATCH(AL28,Data!$A:$A,0)),$BX$12),$BX$11,IFERROR(INDEX(INDIRECT("Data!C"&amp;$K$5,FALSE),MATCH(AL28,Data!$A:$A,0)),$BX$12)),"-")</f>
        <v>22</v>
      </c>
      <c r="AV28" s="71">
        <f ca="1">IF(AND(AM28&gt;=$AC$4,AM28&lt;=$AU$4),IF(""=IFERROR(INDEX(INDIRECT("Data!C"&amp;$K$5,FALSE),MATCH(AM28,Data!$A:$A,0)),$BX$12),$BX$11,IFERROR(INDEX(INDIRECT("Data!C"&amp;$K$5,FALSE),MATCH(AM28,Data!$A:$A,0)),$BX$12)),"-")</f>
        <v>211</v>
      </c>
      <c r="AW28" s="71">
        <f ca="1">IF(AND(AN28&gt;=$AC$4,AN28&lt;=$AU$4),IF(""=IFERROR(INDEX(INDIRECT("Data!C"&amp;$K$5,FALSE),MATCH(AN28,Data!$A:$A,0)),$BX$12),$BX$11,IFERROR(INDEX(INDIRECT("Data!C"&amp;$K$5,FALSE),MATCH(AN28,Data!$A:$A,0)),$BX$12)),"-")</f>
        <v>214</v>
      </c>
      <c r="AX28" s="71">
        <f ca="1">IF(AND(AO28&gt;=$AC$4,AO28&lt;=$AU$4),IF(""=IFERROR(INDEX(INDIRECT("Data!C"&amp;$K$5,FALSE),MATCH(AO28,Data!$A:$A,0)),$BX$12),$BX$11,IFERROR(INDEX(INDIRECT("Data!C"&amp;$K$5,FALSE),MATCH(AO28,Data!$A:$A,0)),$BX$12)),"-")</f>
        <v>289</v>
      </c>
      <c r="AY28" s="71">
        <f ca="1">IF(AND(AP28&gt;=$AC$4,AP28&lt;=$AU$4),IF(""=IFERROR(INDEX(INDIRECT("Data!C"&amp;$K$5,FALSE),MATCH(AP28,Data!$A:$A,0)),$BX$12),$BX$11,IFERROR(INDEX(INDIRECT("Data!C"&amp;$K$5,FALSE),MATCH(AP28,Data!$A:$A,0)),$BX$12)),"-")</f>
        <v>245</v>
      </c>
      <c r="AZ28" s="71">
        <f ca="1">IF(AND(AQ28&gt;=$AC$4,AQ28&lt;=$AU$4),IF(""=IFERROR(INDEX(INDIRECT("Data!C"&amp;$K$5,FALSE),MATCH(AQ28,Data!$A:$A,0)),$BX$12),$BX$11,IFERROR(INDEX(INDIRECT("Data!C"&amp;$K$5,FALSE),MATCH(AQ28,Data!$A:$A,0)),$BX$12)),"-")</f>
        <v>154</v>
      </c>
      <c r="BA28" s="71">
        <f ca="1">IF(AND(AR28&gt;=$AC$4,AR28&lt;=$AU$4),IF(""=IFERROR(INDEX(INDIRECT("Data!C"&amp;$K$5,FALSE),MATCH(AR28,Data!$A:$A,0)),$BX$12),$BX$11,IFERROR(INDEX(INDIRECT("Data!C"&amp;$K$5,FALSE),MATCH(AR28,Data!$A:$A,0)),$BX$12)),"-")</f>
        <v>41</v>
      </c>
      <c r="BB28" s="7"/>
      <c r="BD28" s="34">
        <f t="shared" si="51"/>
        <v>42113</v>
      </c>
      <c r="BE28" s="34">
        <f t="shared" si="46"/>
        <v>42114</v>
      </c>
      <c r="BF28" s="34">
        <f t="shared" si="38"/>
        <v>42115</v>
      </c>
      <c r="BG28" s="34">
        <f t="shared" si="39"/>
        <v>42116</v>
      </c>
      <c r="BH28" s="34">
        <f t="shared" si="40"/>
        <v>42117</v>
      </c>
      <c r="BI28" s="34">
        <f t="shared" si="41"/>
        <v>42118</v>
      </c>
      <c r="BJ28" s="34">
        <f t="shared" si="42"/>
        <v>42119</v>
      </c>
      <c r="BL28" s="24" t="str">
        <f t="array" ref="BL28">IFERROR(IF(MATCH(8,DAY(BD28:BJ28),0),BJ28,""),"")</f>
        <v/>
      </c>
      <c r="BM28" s="71">
        <f ca="1">IF(AND(BD28&gt;=$AC$4,BD28&lt;=$AU$4),IF(""=IFERROR(INDEX(INDIRECT("Data!C"&amp;$K$5,FALSE),MATCH(BD28,Data!$A:$A,0)),$BX$12),$BX$11,IFERROR(INDEX(INDIRECT("Data!C"&amp;$K$5,FALSE),MATCH(BD28,Data!$A:$A,0)),$BX$12)),"-")</f>
        <v>20</v>
      </c>
      <c r="BN28" s="71">
        <f ca="1">IF(AND(BE28&gt;=$AC$4,BE28&lt;=$AU$4),IF(""=IFERROR(INDEX(INDIRECT("Data!C"&amp;$K$5,FALSE),MATCH(BE28,Data!$A:$A,0)),$BX$12),$BX$11,IFERROR(INDEX(INDIRECT("Data!C"&amp;$K$5,FALSE),MATCH(BE28,Data!$A:$A,0)),$BX$12)),"-")</f>
        <v>387</v>
      </c>
      <c r="BO28" s="71">
        <f ca="1">IF(AND(BF28&gt;=$AC$4,BF28&lt;=$AU$4),IF(""=IFERROR(INDEX(INDIRECT("Data!C"&amp;$K$5,FALSE),MATCH(BF28,Data!$A:$A,0)),$BX$12),$BX$11,IFERROR(INDEX(INDIRECT("Data!C"&amp;$K$5,FALSE),MATCH(BF28,Data!$A:$A,0)),$BX$12)),"-")</f>
        <v>267</v>
      </c>
      <c r="BP28" s="71">
        <f ca="1">IF(AND(BG28&gt;=$AC$4,BG28&lt;=$AU$4),IF(""=IFERROR(INDEX(INDIRECT("Data!C"&amp;$K$5,FALSE),MATCH(BG28,Data!$A:$A,0)),$BX$12),$BX$11,IFERROR(INDEX(INDIRECT("Data!C"&amp;$K$5,FALSE),MATCH(BG28,Data!$A:$A,0)),$BX$12)),"-")</f>
        <v>254</v>
      </c>
      <c r="BQ28" s="71">
        <f ca="1">IF(AND(BH28&gt;=$AC$4,BH28&lt;=$AU$4),IF(""=IFERROR(INDEX(INDIRECT("Data!C"&amp;$K$5,FALSE),MATCH(BH28,Data!$A:$A,0)),$BX$12),$BX$11,IFERROR(INDEX(INDIRECT("Data!C"&amp;$K$5,FALSE),MATCH(BH28,Data!$A:$A,0)),$BX$12)),"-")</f>
        <v>210</v>
      </c>
      <c r="BR28" s="71">
        <f ca="1">IF(AND(BI28&gt;=$AC$4,BI28&lt;=$AU$4),IF(""=IFERROR(INDEX(INDIRECT("Data!C"&amp;$K$5,FALSE),MATCH(BI28,Data!$A:$A,0)),$BX$12),$BX$11,IFERROR(INDEX(INDIRECT("Data!C"&amp;$K$5,FALSE),MATCH(BI28,Data!$A:$A,0)),$BX$12)),"-")</f>
        <v>246</v>
      </c>
      <c r="BS28" s="71">
        <f ca="1">IF(AND(BJ28&gt;=$AC$4,BJ28&lt;=$AU$4),IF(""=IFERROR(INDEX(INDIRECT("Data!C"&amp;$K$5,FALSE),MATCH(BJ28,Data!$A:$A,0)),$BX$12),$BX$11,IFERROR(INDEX(INDIRECT("Data!C"&amp;$K$5,FALSE),MATCH(BJ28,Data!$A:$A,0)),$BX$12)),"-")</f>
        <v>68</v>
      </c>
      <c r="BT28" s="7"/>
      <c r="BU28" s="58">
        <f t="shared" ca="1" si="47"/>
        <v>170.25</v>
      </c>
    </row>
    <row r="29" spans="2:78" ht="12" customHeight="1" x14ac:dyDescent="0.2">
      <c r="B29" s="34">
        <f t="shared" si="48"/>
        <v>41028</v>
      </c>
      <c r="C29" s="34">
        <f t="shared" ref="C29:H44" si="52">B29+1</f>
        <v>41029</v>
      </c>
      <c r="D29" s="34">
        <f t="shared" si="52"/>
        <v>41030</v>
      </c>
      <c r="E29" s="34">
        <f t="shared" si="52"/>
        <v>41031</v>
      </c>
      <c r="F29" s="34">
        <f t="shared" si="52"/>
        <v>41032</v>
      </c>
      <c r="G29" s="34">
        <f t="shared" si="52"/>
        <v>41033</v>
      </c>
      <c r="H29" s="34">
        <f t="shared" si="52"/>
        <v>41034</v>
      </c>
      <c r="J29" s="24" t="str">
        <f t="array" ref="J29">IFERROR(IF(MATCH(8,DAY(B29:H29),0),H29,""),"")</f>
        <v/>
      </c>
      <c r="K29" s="71">
        <f ca="1">IF(AND(B29&gt;=$AC$4,B29&lt;=$AU$4),IF(""=IFERROR(INDEX(INDIRECT("Data!C"&amp;$K$5,FALSE),MATCH(B29,Data!$A:$A,0)),$BX$12),$BX$11,IFERROR(INDEX(INDIRECT("Data!C"&amp;$K$5,FALSE),MATCH(B29,Data!$A:$A,0)),$BX$12)),"-")</f>
        <v>30</v>
      </c>
      <c r="L29" s="71">
        <f ca="1">IF(AND(C29&gt;=$AC$4,C29&lt;=$AU$4),IF(""=IFERROR(INDEX(INDIRECT("Data!C"&amp;$K$5,FALSE),MATCH(C29,Data!$A:$A,0)),$BX$12),$BX$11,IFERROR(INDEX(INDIRECT("Data!C"&amp;$K$5,FALSE),MATCH(C29,Data!$A:$A,0)),$BX$12)),"-")</f>
        <v>264</v>
      </c>
      <c r="M29" s="71">
        <f ca="1">IF(AND(D29&gt;=$AC$4,D29&lt;=$AU$4),IF(""=IFERROR(INDEX(INDIRECT("Data!C"&amp;$K$5,FALSE),MATCH(D29,Data!$A:$A,0)),$BX$12),$BX$11,IFERROR(INDEX(INDIRECT("Data!C"&amp;$K$5,FALSE),MATCH(D29,Data!$A:$A,0)),$BX$12)),"-")</f>
        <v>283</v>
      </c>
      <c r="N29" s="71">
        <f ca="1">IF(AND(E29&gt;=$AC$4,E29&lt;=$AU$4),IF(""=IFERROR(INDEX(INDIRECT("Data!C"&amp;$K$5,FALSE),MATCH(E29,Data!$A:$A,0)),$BX$12),$BX$11,IFERROR(INDEX(INDIRECT("Data!C"&amp;$K$5,FALSE),MATCH(E29,Data!$A:$A,0)),$BX$12)),"-")</f>
        <v>258</v>
      </c>
      <c r="O29" s="71">
        <f ca="1">IF(AND(F29&gt;=$AC$4,F29&lt;=$AU$4),IF(""=IFERROR(INDEX(INDIRECT("Data!C"&amp;$K$5,FALSE),MATCH(F29,Data!$A:$A,0)),$BX$12),$BX$11,IFERROR(INDEX(INDIRECT("Data!C"&amp;$K$5,FALSE),MATCH(F29,Data!$A:$A,0)),$BX$12)),"-")</f>
        <v>240</v>
      </c>
      <c r="P29" s="71">
        <f ca="1">IF(AND(G29&gt;=$AC$4,G29&lt;=$AU$4),IF(""=IFERROR(INDEX(INDIRECT("Data!C"&amp;$K$5,FALSE),MATCH(G29,Data!$A:$A,0)),$BX$12),$BX$11,IFERROR(INDEX(INDIRECT("Data!C"&amp;$K$5,FALSE),MATCH(G29,Data!$A:$A,0)),$BX$12)),"-")</f>
        <v>227</v>
      </c>
      <c r="Q29" s="71">
        <f ca="1">IF(AND(H29&gt;=$AC$4,H29&lt;=$AU$4),IF(""=IFERROR(INDEX(INDIRECT("Data!C"&amp;$K$5,FALSE),MATCH(H29,Data!$A:$A,0)),$BX$12),$BX$11,IFERROR(INDEX(INDIRECT("Data!C"&amp;$K$5,FALSE),MATCH(H29,Data!$A:$A,0)),$BX$12)),"-")</f>
        <v>71</v>
      </c>
      <c r="R29" s="7"/>
      <c r="T29" s="34">
        <f t="shared" si="49"/>
        <v>41392</v>
      </c>
      <c r="U29" s="34">
        <f t="shared" si="44"/>
        <v>41393</v>
      </c>
      <c r="V29" s="34">
        <f t="shared" si="28"/>
        <v>41394</v>
      </c>
      <c r="W29" s="34">
        <f t="shared" si="29"/>
        <v>41395</v>
      </c>
      <c r="X29" s="34">
        <f t="shared" si="30"/>
        <v>41396</v>
      </c>
      <c r="Y29" s="34">
        <f t="shared" si="31"/>
        <v>41397</v>
      </c>
      <c r="Z29" s="34">
        <f t="shared" si="32"/>
        <v>41398</v>
      </c>
      <c r="AB29" s="24" t="str">
        <f t="array" ref="AB29">IFERROR(IF(MATCH(8,DAY(T29:Z29),0),Z29,""),"")</f>
        <v/>
      </c>
      <c r="AC29" s="71">
        <f ca="1">IF(AND(T29&gt;=$AC$4,T29&lt;=$AU$4),IF(""=IFERROR(INDEX(INDIRECT("Data!C"&amp;$K$5,FALSE),MATCH(T29,Data!$A:$A,0)),$BX$12),$BX$11,IFERROR(INDEX(INDIRECT("Data!C"&amp;$K$5,FALSE),MATCH(T29,Data!$A:$A,0)),$BX$12)),"-")</f>
        <v>22</v>
      </c>
      <c r="AD29" s="71">
        <f ca="1">IF(AND(U29&gt;=$AC$4,U29&lt;=$AU$4),IF(""=IFERROR(INDEX(INDIRECT("Data!C"&amp;$K$5,FALSE),MATCH(U29,Data!$A:$A,0)),$BX$12),$BX$11,IFERROR(INDEX(INDIRECT("Data!C"&amp;$K$5,FALSE),MATCH(U29,Data!$A:$A,0)),$BX$12)),"-")</f>
        <v>257</v>
      </c>
      <c r="AE29" s="71">
        <f ca="1">IF(AND(V29&gt;=$AC$4,V29&lt;=$AU$4),IF(""=IFERROR(INDEX(INDIRECT("Data!C"&amp;$K$5,FALSE),MATCH(V29,Data!$A:$A,0)),$BX$12),$BX$11,IFERROR(INDEX(INDIRECT("Data!C"&amp;$K$5,FALSE),MATCH(V29,Data!$A:$A,0)),$BX$12)),"-")</f>
        <v>297</v>
      </c>
      <c r="AF29" s="71">
        <f ca="1">IF(AND(W29&gt;=$AC$4,W29&lt;=$AU$4),IF(""=IFERROR(INDEX(INDIRECT("Data!C"&amp;$K$5,FALSE),MATCH(W29,Data!$A:$A,0)),$BX$12),$BX$11,IFERROR(INDEX(INDIRECT("Data!C"&amp;$K$5,FALSE),MATCH(W29,Data!$A:$A,0)),$BX$12)),"-")</f>
        <v>323</v>
      </c>
      <c r="AG29" s="71">
        <f ca="1">IF(AND(X29&gt;=$AC$4,X29&lt;=$AU$4),IF(""=IFERROR(INDEX(INDIRECT("Data!C"&amp;$K$5,FALSE),MATCH(X29,Data!$A:$A,0)),$BX$12),$BX$11,IFERROR(INDEX(INDIRECT("Data!C"&amp;$K$5,FALSE),MATCH(X29,Data!$A:$A,0)),$BX$12)),"-")</f>
        <v>226</v>
      </c>
      <c r="AH29" s="71">
        <f ca="1">IF(AND(Y29&gt;=$AC$4,Y29&lt;=$AU$4),IF(""=IFERROR(INDEX(INDIRECT("Data!C"&amp;$K$5,FALSE),MATCH(Y29,Data!$A:$A,0)),$BX$12),$BX$11,IFERROR(INDEX(INDIRECT("Data!C"&amp;$K$5,FALSE),MATCH(Y29,Data!$A:$A,0)),$BX$12)),"-")</f>
        <v>242</v>
      </c>
      <c r="AI29" s="71">
        <f ca="1">IF(AND(Z29&gt;=$AC$4,Z29&lt;=$AU$4),IF(""=IFERROR(INDEX(INDIRECT("Data!C"&amp;$K$5,FALSE),MATCH(Z29,Data!$A:$A,0)),$BX$12),$BX$11,IFERROR(INDEX(INDIRECT("Data!C"&amp;$K$5,FALSE),MATCH(Z29,Data!$A:$A,0)),$BX$12)),"-")</f>
        <v>84</v>
      </c>
      <c r="AJ29" s="7"/>
      <c r="AL29" s="34">
        <f t="shared" si="50"/>
        <v>41756</v>
      </c>
      <c r="AM29" s="34">
        <f t="shared" si="45"/>
        <v>41757</v>
      </c>
      <c r="AN29" s="34">
        <f t="shared" si="33"/>
        <v>41758</v>
      </c>
      <c r="AO29" s="34">
        <f t="shared" si="34"/>
        <v>41759</v>
      </c>
      <c r="AP29" s="34">
        <f t="shared" si="35"/>
        <v>41760</v>
      </c>
      <c r="AQ29" s="34">
        <f t="shared" si="36"/>
        <v>41761</v>
      </c>
      <c r="AR29" s="34">
        <f t="shared" si="37"/>
        <v>41762</v>
      </c>
      <c r="AT29" s="24" t="str">
        <f t="array" ref="AT29">IFERROR(IF(MATCH(8,DAY(AL29:AR29),0),AR29,""),"")</f>
        <v/>
      </c>
      <c r="AU29" s="71">
        <f ca="1">IF(AND(AL29&gt;=$AC$4,AL29&lt;=$AU$4),IF(""=IFERROR(INDEX(INDIRECT("Data!C"&amp;$K$5,FALSE),MATCH(AL29,Data!$A:$A,0)),$BX$12),$BX$11,IFERROR(INDEX(INDIRECT("Data!C"&amp;$K$5,FALSE),MATCH(AL29,Data!$A:$A,0)),$BX$12)),"-")</f>
        <v>32</v>
      </c>
      <c r="AV29" s="71">
        <f ca="1">IF(AND(AM29&gt;=$AC$4,AM29&lt;=$AU$4),IF(""=IFERROR(INDEX(INDIRECT("Data!C"&amp;$K$5,FALSE),MATCH(AM29,Data!$A:$A,0)),$BX$12),$BX$11,IFERROR(INDEX(INDIRECT("Data!C"&amp;$K$5,FALSE),MATCH(AM29,Data!$A:$A,0)),$BX$12)),"-")</f>
        <v>383</v>
      </c>
      <c r="AW29" s="71">
        <f ca="1">IF(AND(AN29&gt;=$AC$4,AN29&lt;=$AU$4),IF(""=IFERROR(INDEX(INDIRECT("Data!C"&amp;$K$5,FALSE),MATCH(AN29,Data!$A:$A,0)),$BX$12),$BX$11,IFERROR(INDEX(INDIRECT("Data!C"&amp;$K$5,FALSE),MATCH(AN29,Data!$A:$A,0)),$BX$12)),"-")</f>
        <v>320</v>
      </c>
      <c r="AX29" s="71">
        <f ca="1">IF(AND(AO29&gt;=$AC$4,AO29&lt;=$AU$4),IF(""=IFERROR(INDEX(INDIRECT("Data!C"&amp;$K$5,FALSE),MATCH(AO29,Data!$A:$A,0)),$BX$12),$BX$11,IFERROR(INDEX(INDIRECT("Data!C"&amp;$K$5,FALSE),MATCH(AO29,Data!$A:$A,0)),$BX$12)),"-")</f>
        <v>253</v>
      </c>
      <c r="AY29" s="71">
        <f ca="1">IF(AND(AP29&gt;=$AC$4,AP29&lt;=$AU$4),IF(""=IFERROR(INDEX(INDIRECT("Data!C"&amp;$K$5,FALSE),MATCH(AP29,Data!$A:$A,0)),$BX$12),$BX$11,IFERROR(INDEX(INDIRECT("Data!C"&amp;$K$5,FALSE),MATCH(AP29,Data!$A:$A,0)),$BX$12)),"-")</f>
        <v>251</v>
      </c>
      <c r="AZ29" s="71">
        <f ca="1">IF(AND(AQ29&gt;=$AC$4,AQ29&lt;=$AU$4),IF(""=IFERROR(INDEX(INDIRECT("Data!C"&amp;$K$5,FALSE),MATCH(AQ29,Data!$A:$A,0)),$BX$12),$BX$11,IFERROR(INDEX(INDIRECT("Data!C"&amp;$K$5,FALSE),MATCH(AQ29,Data!$A:$A,0)),$BX$12)),"-")</f>
        <v>250</v>
      </c>
      <c r="BA29" s="71">
        <f ca="1">IF(AND(AR29&gt;=$AC$4,AR29&lt;=$AU$4),IF(""=IFERROR(INDEX(INDIRECT("Data!C"&amp;$K$5,FALSE),MATCH(AR29,Data!$A:$A,0)),$BX$12),$BX$11,IFERROR(INDEX(INDIRECT("Data!C"&amp;$K$5,FALSE),MATCH(AR29,Data!$A:$A,0)),$BX$12)),"-")</f>
        <v>67</v>
      </c>
      <c r="BB29" s="7"/>
      <c r="BD29" s="34">
        <f t="shared" si="51"/>
        <v>42120</v>
      </c>
      <c r="BE29" s="34">
        <f t="shared" si="46"/>
        <v>42121</v>
      </c>
      <c r="BF29" s="34">
        <f t="shared" si="38"/>
        <v>42122</v>
      </c>
      <c r="BG29" s="34">
        <f t="shared" si="39"/>
        <v>42123</v>
      </c>
      <c r="BH29" s="34">
        <f t="shared" si="40"/>
        <v>42124</v>
      </c>
      <c r="BI29" s="34">
        <f t="shared" si="41"/>
        <v>42125</v>
      </c>
      <c r="BJ29" s="34">
        <f t="shared" si="42"/>
        <v>42126</v>
      </c>
      <c r="BL29" s="24" t="str">
        <f t="array" ref="BL29">IFERROR(IF(MATCH(8,DAY(BD29:BJ29),0),BJ29,""),"")</f>
        <v/>
      </c>
      <c r="BM29" s="71">
        <f ca="1">IF(AND(BD29&gt;=$AC$4,BD29&lt;=$AU$4),IF(""=IFERROR(INDEX(INDIRECT("Data!C"&amp;$K$5,FALSE),MATCH(BD29,Data!$A:$A,0)),$BX$12),$BX$11,IFERROR(INDEX(INDIRECT("Data!C"&amp;$K$5,FALSE),MATCH(BD29,Data!$A:$A,0)),$BX$12)),"-")</f>
        <v>36</v>
      </c>
      <c r="BN29" s="71">
        <f ca="1">IF(AND(BE29&gt;=$AC$4,BE29&lt;=$AU$4),IF(""=IFERROR(INDEX(INDIRECT("Data!C"&amp;$K$5,FALSE),MATCH(BE29,Data!$A:$A,0)),$BX$12),$BX$11,IFERROR(INDEX(INDIRECT("Data!C"&amp;$K$5,FALSE),MATCH(BE29,Data!$A:$A,0)),$BX$12)),"-")</f>
        <v>426</v>
      </c>
      <c r="BO29" s="71">
        <f ca="1">IF(AND(BF29&gt;=$AC$4,BF29&lt;=$AU$4),IF(""=IFERROR(INDEX(INDIRECT("Data!C"&amp;$K$5,FALSE),MATCH(BF29,Data!$A:$A,0)),$BX$12),$BX$11,IFERROR(INDEX(INDIRECT("Data!C"&amp;$K$5,FALSE),MATCH(BF29,Data!$A:$A,0)),$BX$12)),"-")</f>
        <v>377</v>
      </c>
      <c r="BP29" s="71">
        <f ca="1">IF(AND(BG29&gt;=$AC$4,BG29&lt;=$AU$4),IF(""=IFERROR(INDEX(INDIRECT("Data!C"&amp;$K$5,FALSE),MATCH(BG29,Data!$A:$A,0)),$BX$12),$BX$11,IFERROR(INDEX(INDIRECT("Data!C"&amp;$K$5,FALSE),MATCH(BG29,Data!$A:$A,0)),$BX$12)),"-")</f>
        <v>231</v>
      </c>
      <c r="BQ29" s="71">
        <f ca="1">IF(AND(BH29&gt;=$AC$4,BH29&lt;=$AU$4),IF(""=IFERROR(INDEX(INDIRECT("Data!C"&amp;$K$5,FALSE),MATCH(BH29,Data!$A:$A,0)),$BX$12),$BX$11,IFERROR(INDEX(INDIRECT("Data!C"&amp;$K$5,FALSE),MATCH(BH29,Data!$A:$A,0)),$BX$12)),"-")</f>
        <v>289</v>
      </c>
      <c r="BR29" s="71">
        <f ca="1">IF(AND(BI29&gt;=$AC$4,BI29&lt;=$AU$4),IF(""=IFERROR(INDEX(INDIRECT("Data!C"&amp;$K$5,FALSE),MATCH(BI29,Data!$A:$A,0)),$BX$12),$BX$11,IFERROR(INDEX(INDIRECT("Data!C"&amp;$K$5,FALSE),MATCH(BI29,Data!$A:$A,0)),$BX$12)),"-")</f>
        <v>264</v>
      </c>
      <c r="BS29" s="71">
        <f ca="1">IF(AND(BJ29&gt;=$AC$4,BJ29&lt;=$AU$4),IF(""=IFERROR(INDEX(INDIRECT("Data!C"&amp;$K$5,FALSE),MATCH(BJ29,Data!$A:$A,0)),$BX$12),$BX$11,IFERROR(INDEX(INDIRECT("Data!C"&amp;$K$5,FALSE),MATCH(BJ29,Data!$A:$A,0)),$BX$12)),"-")</f>
        <v>91</v>
      </c>
      <c r="BT29" s="7"/>
      <c r="BU29" s="58">
        <f t="shared" ca="1" si="47"/>
        <v>217.64285714285714</v>
      </c>
    </row>
    <row r="30" spans="2:78" ht="12" customHeight="1" x14ac:dyDescent="0.2">
      <c r="B30" s="34">
        <f t="shared" si="48"/>
        <v>41035</v>
      </c>
      <c r="C30" s="34">
        <f t="shared" si="52"/>
        <v>41036</v>
      </c>
      <c r="D30" s="34">
        <f t="shared" si="52"/>
        <v>41037</v>
      </c>
      <c r="E30" s="34">
        <f t="shared" si="52"/>
        <v>41038</v>
      </c>
      <c r="F30" s="34">
        <f t="shared" si="52"/>
        <v>41039</v>
      </c>
      <c r="G30" s="34">
        <f t="shared" si="52"/>
        <v>41040</v>
      </c>
      <c r="H30" s="34">
        <f t="shared" si="52"/>
        <v>41041</v>
      </c>
      <c r="J30" s="24">
        <f t="array" ref="J30">IFERROR(IF(MATCH(8,DAY(B30:H30),0),H30,""),"")</f>
        <v>41041</v>
      </c>
      <c r="K30" s="71">
        <f ca="1">IF(AND(B30&gt;=$AC$4,B30&lt;=$AU$4),IF(""=IFERROR(INDEX(INDIRECT("Data!C"&amp;$K$5,FALSE),MATCH(B30,Data!$A:$A,0)),$BX$12),$BX$11,IFERROR(INDEX(INDIRECT("Data!C"&amp;$K$5,FALSE),MATCH(B30,Data!$A:$A,0)),$BX$12)),"-")</f>
        <v>25</v>
      </c>
      <c r="L30" s="71">
        <f ca="1">IF(AND(C30&gt;=$AC$4,C30&lt;=$AU$4),IF(""=IFERROR(INDEX(INDIRECT("Data!C"&amp;$K$5,FALSE),MATCH(C30,Data!$A:$A,0)),$BX$12),$BX$11,IFERROR(INDEX(INDIRECT("Data!C"&amp;$K$5,FALSE),MATCH(C30,Data!$A:$A,0)),$BX$12)),"-")</f>
        <v>406</v>
      </c>
      <c r="M30" s="71">
        <f ca="1">IF(AND(D30&gt;=$AC$4,D30&lt;=$AU$4),IF(""=IFERROR(INDEX(INDIRECT("Data!C"&amp;$K$5,FALSE),MATCH(D30,Data!$A:$A,0)),$BX$12),$BX$11,IFERROR(INDEX(INDIRECT("Data!C"&amp;$K$5,FALSE),MATCH(D30,Data!$A:$A,0)),$BX$12)),"-")</f>
        <v>356</v>
      </c>
      <c r="N30" s="71">
        <f ca="1">IF(AND(E30&gt;=$AC$4,E30&lt;=$AU$4),IF(""=IFERROR(INDEX(INDIRECT("Data!C"&amp;$K$5,FALSE),MATCH(E30,Data!$A:$A,0)),$BX$12),$BX$11,IFERROR(INDEX(INDIRECT("Data!C"&amp;$K$5,FALSE),MATCH(E30,Data!$A:$A,0)),$BX$12)),"-")</f>
        <v>302</v>
      </c>
      <c r="O30" s="71">
        <f ca="1">IF(AND(F30&gt;=$AC$4,F30&lt;=$AU$4),IF(""=IFERROR(INDEX(INDIRECT("Data!C"&amp;$K$5,FALSE),MATCH(F30,Data!$A:$A,0)),$BX$12),$BX$11,IFERROR(INDEX(INDIRECT("Data!C"&amp;$K$5,FALSE),MATCH(F30,Data!$A:$A,0)),$BX$12)),"-")</f>
        <v>180</v>
      </c>
      <c r="P30" s="71">
        <f ca="1">IF(AND(G30&gt;=$AC$4,G30&lt;=$AU$4),IF(""=IFERROR(INDEX(INDIRECT("Data!C"&amp;$K$5,FALSE),MATCH(G30,Data!$A:$A,0)),$BX$12),$BX$11,IFERROR(INDEX(INDIRECT("Data!C"&amp;$K$5,FALSE),MATCH(G30,Data!$A:$A,0)),$BX$12)),"-")</f>
        <v>239</v>
      </c>
      <c r="Q30" s="71">
        <f ca="1">IF(AND(H30&gt;=$AC$4,H30&lt;=$AU$4),IF(""=IFERROR(INDEX(INDIRECT("Data!C"&amp;$K$5,FALSE),MATCH(H30,Data!$A:$A,0)),$BX$12),$BX$11,IFERROR(INDEX(INDIRECT("Data!C"&amp;$K$5,FALSE),MATCH(H30,Data!$A:$A,0)),$BX$12)),"-")</f>
        <v>80</v>
      </c>
      <c r="R30" s="7"/>
      <c r="T30" s="34">
        <f t="shared" si="49"/>
        <v>41399</v>
      </c>
      <c r="U30" s="34">
        <f t="shared" si="44"/>
        <v>41400</v>
      </c>
      <c r="V30" s="34">
        <f t="shared" si="28"/>
        <v>41401</v>
      </c>
      <c r="W30" s="34">
        <f t="shared" si="29"/>
        <v>41402</v>
      </c>
      <c r="X30" s="34">
        <f t="shared" si="30"/>
        <v>41403</v>
      </c>
      <c r="Y30" s="34">
        <f t="shared" si="31"/>
        <v>41404</v>
      </c>
      <c r="Z30" s="34">
        <f t="shared" si="32"/>
        <v>41405</v>
      </c>
      <c r="AB30" s="24">
        <f t="array" ref="AB30">IFERROR(IF(MATCH(8,DAY(T30:Z30),0),Z30,""),"")</f>
        <v>41405</v>
      </c>
      <c r="AC30" s="71">
        <f ca="1">IF(AND(T30&gt;=$AC$4,T30&lt;=$AU$4),IF(""=IFERROR(INDEX(INDIRECT("Data!C"&amp;$K$5,FALSE),MATCH(T30,Data!$A:$A,0)),$BX$12),$BX$11,IFERROR(INDEX(INDIRECT("Data!C"&amp;$K$5,FALSE),MATCH(T30,Data!$A:$A,0)),$BX$12)),"-")</f>
        <v>39</v>
      </c>
      <c r="AD30" s="71">
        <f ca="1">IF(AND(U30&gt;=$AC$4,U30&lt;=$AU$4),IF(""=IFERROR(INDEX(INDIRECT("Data!C"&amp;$K$5,FALSE),MATCH(U30,Data!$A:$A,0)),$BX$12),$BX$11,IFERROR(INDEX(INDIRECT("Data!C"&amp;$K$5,FALSE),MATCH(U30,Data!$A:$A,0)),$BX$12)),"-")</f>
        <v>247</v>
      </c>
      <c r="AE30" s="71">
        <f ca="1">IF(AND(V30&gt;=$AC$4,V30&lt;=$AU$4),IF(""=IFERROR(INDEX(INDIRECT("Data!C"&amp;$K$5,FALSE),MATCH(V30,Data!$A:$A,0)),$BX$12),$BX$11,IFERROR(INDEX(INDIRECT("Data!C"&amp;$K$5,FALSE),MATCH(V30,Data!$A:$A,0)),$BX$12)),"-")</f>
        <v>317</v>
      </c>
      <c r="AF30" s="71">
        <f ca="1">IF(AND(W30&gt;=$AC$4,W30&lt;=$AU$4),IF(""=IFERROR(INDEX(INDIRECT("Data!C"&amp;$K$5,FALSE),MATCH(W30,Data!$A:$A,0)),$BX$12),$BX$11,IFERROR(INDEX(INDIRECT("Data!C"&amp;$K$5,FALSE),MATCH(W30,Data!$A:$A,0)),$BX$12)),"-")</f>
        <v>220</v>
      </c>
      <c r="AG30" s="71">
        <f ca="1">IF(AND(X30&gt;=$AC$4,X30&lt;=$AU$4),IF(""=IFERROR(INDEX(INDIRECT("Data!C"&amp;$K$5,FALSE),MATCH(X30,Data!$A:$A,0)),$BX$12),$BX$11,IFERROR(INDEX(INDIRECT("Data!C"&amp;$K$5,FALSE),MATCH(X30,Data!$A:$A,0)),$BX$12)),"-")</f>
        <v>279</v>
      </c>
      <c r="AH30" s="71">
        <f ca="1">IF(AND(Y30&gt;=$AC$4,Y30&lt;=$AU$4),IF(""=IFERROR(INDEX(INDIRECT("Data!C"&amp;$K$5,FALSE),MATCH(Y30,Data!$A:$A,0)),$BX$12),$BX$11,IFERROR(INDEX(INDIRECT("Data!C"&amp;$K$5,FALSE),MATCH(Y30,Data!$A:$A,0)),$BX$12)),"-")</f>
        <v>200</v>
      </c>
      <c r="AI30" s="71">
        <f ca="1">IF(AND(Z30&gt;=$AC$4,Z30&lt;=$AU$4),IF(""=IFERROR(INDEX(INDIRECT("Data!C"&amp;$K$5,FALSE),MATCH(Z30,Data!$A:$A,0)),$BX$12),$BX$11,IFERROR(INDEX(INDIRECT("Data!C"&amp;$K$5,FALSE),MATCH(Z30,Data!$A:$A,0)),$BX$12)),"-")</f>
        <v>83</v>
      </c>
      <c r="AJ30" s="7"/>
      <c r="AL30" s="34">
        <f t="shared" si="50"/>
        <v>41763</v>
      </c>
      <c r="AM30" s="34">
        <f t="shared" si="45"/>
        <v>41764</v>
      </c>
      <c r="AN30" s="34">
        <f t="shared" si="33"/>
        <v>41765</v>
      </c>
      <c r="AO30" s="34">
        <f t="shared" si="34"/>
        <v>41766</v>
      </c>
      <c r="AP30" s="34">
        <f t="shared" si="35"/>
        <v>41767</v>
      </c>
      <c r="AQ30" s="34">
        <f t="shared" si="36"/>
        <v>41768</v>
      </c>
      <c r="AR30" s="34">
        <f t="shared" si="37"/>
        <v>41769</v>
      </c>
      <c r="AT30" s="24">
        <f t="array" ref="AT30">IFERROR(IF(MATCH(8,DAY(AL30:AR30),0),AR30,""),"")</f>
        <v>41769</v>
      </c>
      <c r="AU30" s="71">
        <f ca="1">IF(AND(AL30&gt;=$AC$4,AL30&lt;=$AU$4),IF(""=IFERROR(INDEX(INDIRECT("Data!C"&amp;$K$5,FALSE),MATCH(AL30,Data!$A:$A,0)),$BX$12),$BX$11,IFERROR(INDEX(INDIRECT("Data!C"&amp;$K$5,FALSE),MATCH(AL30,Data!$A:$A,0)),$BX$12)),"-")</f>
        <v>30</v>
      </c>
      <c r="AV30" s="71">
        <f ca="1">IF(AND(AM30&gt;=$AC$4,AM30&lt;=$AU$4),IF(""=IFERROR(INDEX(INDIRECT("Data!C"&amp;$K$5,FALSE),MATCH(AM30,Data!$A:$A,0)),$BX$12),$BX$11,IFERROR(INDEX(INDIRECT("Data!C"&amp;$K$5,FALSE),MATCH(AM30,Data!$A:$A,0)),$BX$12)),"-")</f>
        <v>393</v>
      </c>
      <c r="AW30" s="71">
        <f ca="1">IF(AND(AN30&gt;=$AC$4,AN30&lt;=$AU$4),IF(""=IFERROR(INDEX(INDIRECT("Data!C"&amp;$K$5,FALSE),MATCH(AN30,Data!$A:$A,0)),$BX$12),$BX$11,IFERROR(INDEX(INDIRECT("Data!C"&amp;$K$5,FALSE),MATCH(AN30,Data!$A:$A,0)),$BX$12)),"-")</f>
        <v>301</v>
      </c>
      <c r="AX30" s="71">
        <f ca="1">IF(AND(AO30&gt;=$AC$4,AO30&lt;=$AU$4),IF(""=IFERROR(INDEX(INDIRECT("Data!C"&amp;$K$5,FALSE),MATCH(AO30,Data!$A:$A,0)),$BX$12),$BX$11,IFERROR(INDEX(INDIRECT("Data!C"&amp;$K$5,FALSE),MATCH(AO30,Data!$A:$A,0)),$BX$12)),"-")</f>
        <v>359</v>
      </c>
      <c r="AY30" s="71">
        <f ca="1">IF(AND(AP30&gt;=$AC$4,AP30&lt;=$AU$4),IF(""=IFERROR(INDEX(INDIRECT("Data!C"&amp;$K$5,FALSE),MATCH(AP30,Data!$A:$A,0)),$BX$12),$BX$11,IFERROR(INDEX(INDIRECT("Data!C"&amp;$K$5,FALSE),MATCH(AP30,Data!$A:$A,0)),$BX$12)),"-")</f>
        <v>216</v>
      </c>
      <c r="AZ30" s="71">
        <f ca="1">IF(AND(AQ30&gt;=$AC$4,AQ30&lt;=$AU$4),IF(""=IFERROR(INDEX(INDIRECT("Data!C"&amp;$K$5,FALSE),MATCH(AQ30,Data!$A:$A,0)),$BX$12),$BX$11,IFERROR(INDEX(INDIRECT("Data!C"&amp;$K$5,FALSE),MATCH(AQ30,Data!$A:$A,0)),$BX$12)),"-")</f>
        <v>263</v>
      </c>
      <c r="BA30" s="71">
        <f ca="1">IF(AND(AR30&gt;=$AC$4,AR30&lt;=$AU$4),IF(""=IFERROR(INDEX(INDIRECT("Data!C"&amp;$K$5,FALSE),MATCH(AR30,Data!$A:$A,0)),$BX$12),$BX$11,IFERROR(INDEX(INDIRECT("Data!C"&amp;$K$5,FALSE),MATCH(AR30,Data!$A:$A,0)),$BX$12)),"-")</f>
        <v>80</v>
      </c>
      <c r="BB30" s="7"/>
      <c r="BD30" s="34">
        <f t="shared" si="51"/>
        <v>42127</v>
      </c>
      <c r="BE30" s="34">
        <f t="shared" si="46"/>
        <v>42128</v>
      </c>
      <c r="BF30" s="34">
        <f t="shared" si="38"/>
        <v>42129</v>
      </c>
      <c r="BG30" s="34">
        <f t="shared" si="39"/>
        <v>42130</v>
      </c>
      <c r="BH30" s="34">
        <f t="shared" si="40"/>
        <v>42131</v>
      </c>
      <c r="BI30" s="34">
        <f t="shared" si="41"/>
        <v>42132</v>
      </c>
      <c r="BJ30" s="34">
        <f t="shared" si="42"/>
        <v>42133</v>
      </c>
      <c r="BL30" s="24">
        <f t="array" ref="BL30">IFERROR(IF(MATCH(8,DAY(BD30:BJ30),0),BJ30,""),"")</f>
        <v>42133</v>
      </c>
      <c r="BM30" s="71">
        <f ca="1">IF(AND(BD30&gt;=$AC$4,BD30&lt;=$AU$4),IF(""=IFERROR(INDEX(INDIRECT("Data!C"&amp;$K$5,FALSE),MATCH(BD30,Data!$A:$A,0)),$BX$12),$BX$11,IFERROR(INDEX(INDIRECT("Data!C"&amp;$K$5,FALSE),MATCH(BD30,Data!$A:$A,0)),$BX$12)),"-")</f>
        <v>42</v>
      </c>
      <c r="BN30" s="71">
        <f ca="1">IF(AND(BE30&gt;=$AC$4,BE30&lt;=$AU$4),IF(""=IFERROR(INDEX(INDIRECT("Data!C"&amp;$K$5,FALSE),MATCH(BE30,Data!$A:$A,0)),$BX$12),$BX$11,IFERROR(INDEX(INDIRECT("Data!C"&amp;$K$5,FALSE),MATCH(BE30,Data!$A:$A,0)),$BX$12)),"-")</f>
        <v>471</v>
      </c>
      <c r="BO30" s="71">
        <f ca="1">IF(AND(BF30&gt;=$AC$4,BF30&lt;=$AU$4),IF(""=IFERROR(INDEX(INDIRECT("Data!C"&amp;$K$5,FALSE),MATCH(BF30,Data!$A:$A,0)),$BX$12),$BX$11,IFERROR(INDEX(INDIRECT("Data!C"&amp;$K$5,FALSE),MATCH(BF30,Data!$A:$A,0)),$BX$12)),"-")</f>
        <v>435</v>
      </c>
      <c r="BP30" s="71">
        <f ca="1">IF(AND(BG30&gt;=$AC$4,BG30&lt;=$AU$4),IF(""=IFERROR(INDEX(INDIRECT("Data!C"&amp;$K$5,FALSE),MATCH(BG30,Data!$A:$A,0)),$BX$12),$BX$11,IFERROR(INDEX(INDIRECT("Data!C"&amp;$K$5,FALSE),MATCH(BG30,Data!$A:$A,0)),$BX$12)),"-")</f>
        <v>307</v>
      </c>
      <c r="BQ30" s="71">
        <f ca="1">IF(AND(BH30&gt;=$AC$4,BH30&lt;=$AU$4),IF(""=IFERROR(INDEX(INDIRECT("Data!C"&amp;$K$5,FALSE),MATCH(BH30,Data!$A:$A,0)),$BX$12),$BX$11,IFERROR(INDEX(INDIRECT("Data!C"&amp;$K$5,FALSE),MATCH(BH30,Data!$A:$A,0)),$BX$12)),"-")</f>
        <v>269</v>
      </c>
      <c r="BR30" s="71">
        <f ca="1">IF(AND(BI30&gt;=$AC$4,BI30&lt;=$AU$4),IF(""=IFERROR(INDEX(INDIRECT("Data!C"&amp;$K$5,FALSE),MATCH(BI30,Data!$A:$A,0)),$BX$12),$BX$11,IFERROR(INDEX(INDIRECT("Data!C"&amp;$K$5,FALSE),MATCH(BI30,Data!$A:$A,0)),$BX$12)),"-")</f>
        <v>255</v>
      </c>
      <c r="BS30" s="71">
        <f ca="1">IF(AND(BJ30&gt;=$AC$4,BJ30&lt;=$AU$4),IF(""=IFERROR(INDEX(INDIRECT("Data!C"&amp;$K$5,FALSE),MATCH(BJ30,Data!$A:$A,0)),$BX$12),$BX$11,IFERROR(INDEX(INDIRECT("Data!C"&amp;$K$5,FALSE),MATCH(BJ30,Data!$A:$A,0)),$BX$12)),"-")</f>
        <v>98</v>
      </c>
      <c r="BT30" s="7"/>
      <c r="BU30" s="58">
        <f t="shared" ca="1" si="47"/>
        <v>231.85714285714286</v>
      </c>
      <c r="BW30" s="12"/>
      <c r="BX30" s="12"/>
      <c r="BY30" s="26"/>
    </row>
    <row r="31" spans="2:78" ht="12" customHeight="1" x14ac:dyDescent="0.2">
      <c r="B31" s="34">
        <f t="shared" si="48"/>
        <v>41042</v>
      </c>
      <c r="C31" s="34">
        <f t="shared" si="52"/>
        <v>41043</v>
      </c>
      <c r="D31" s="34">
        <f t="shared" si="52"/>
        <v>41044</v>
      </c>
      <c r="E31" s="34">
        <f t="shared" si="52"/>
        <v>41045</v>
      </c>
      <c r="F31" s="34">
        <f t="shared" si="52"/>
        <v>41046</v>
      </c>
      <c r="G31" s="34">
        <f t="shared" si="52"/>
        <v>41047</v>
      </c>
      <c r="H31" s="34">
        <f t="shared" si="52"/>
        <v>41048</v>
      </c>
      <c r="J31" s="24" t="str">
        <f t="array" ref="J31">IFERROR(IF(MATCH(8,DAY(B31:H31),0),H31,""),"")</f>
        <v/>
      </c>
      <c r="K31" s="71">
        <f ca="1">IF(AND(B31&gt;=$AC$4,B31&lt;=$AU$4),IF(""=IFERROR(INDEX(INDIRECT("Data!C"&amp;$K$5,FALSE),MATCH(B31,Data!$A:$A,0)),$BX$12),$BX$11,IFERROR(INDEX(INDIRECT("Data!C"&amp;$K$5,FALSE),MATCH(B31,Data!$A:$A,0)),$BX$12)),"-")</f>
        <v>44</v>
      </c>
      <c r="L31" s="71">
        <f ca="1">IF(AND(C31&gt;=$AC$4,C31&lt;=$AU$4),IF(""=IFERROR(INDEX(INDIRECT("Data!C"&amp;$K$5,FALSE),MATCH(C31,Data!$A:$A,0)),$BX$12),$BX$11,IFERROR(INDEX(INDIRECT("Data!C"&amp;$K$5,FALSE),MATCH(C31,Data!$A:$A,0)),$BX$12)),"-")</f>
        <v>289</v>
      </c>
      <c r="M31" s="71">
        <f ca="1">IF(AND(D31&gt;=$AC$4,D31&lt;=$AU$4),IF(""=IFERROR(INDEX(INDIRECT("Data!C"&amp;$K$5,FALSE),MATCH(D31,Data!$A:$A,0)),$BX$12),$BX$11,IFERROR(INDEX(INDIRECT("Data!C"&amp;$K$5,FALSE),MATCH(D31,Data!$A:$A,0)),$BX$12)),"-")</f>
        <v>346</v>
      </c>
      <c r="N31" s="71">
        <f ca="1">IF(AND(E31&gt;=$AC$4,E31&lt;=$AU$4),IF(""=IFERROR(INDEX(INDIRECT("Data!C"&amp;$K$5,FALSE),MATCH(E31,Data!$A:$A,0)),$BX$12),$BX$11,IFERROR(INDEX(INDIRECT("Data!C"&amp;$K$5,FALSE),MATCH(E31,Data!$A:$A,0)),$BX$12)),"-")</f>
        <v>225</v>
      </c>
      <c r="O31" s="71">
        <f ca="1">IF(AND(F31&gt;=$AC$4,F31&lt;=$AU$4),IF(""=IFERROR(INDEX(INDIRECT("Data!C"&amp;$K$5,FALSE),MATCH(F31,Data!$A:$A,0)),$BX$12),$BX$11,IFERROR(INDEX(INDIRECT("Data!C"&amp;$K$5,FALSE),MATCH(F31,Data!$A:$A,0)),$BX$12)),"-")</f>
        <v>199</v>
      </c>
      <c r="P31" s="71">
        <f ca="1">IF(AND(G31&gt;=$AC$4,G31&lt;=$AU$4),IF(""=IFERROR(INDEX(INDIRECT("Data!C"&amp;$K$5,FALSE),MATCH(G31,Data!$A:$A,0)),$BX$12),$BX$11,IFERROR(INDEX(INDIRECT("Data!C"&amp;$K$5,FALSE),MATCH(G31,Data!$A:$A,0)),$BX$12)),"-")</f>
        <v>282</v>
      </c>
      <c r="Q31" s="71">
        <f ca="1">IF(AND(H31&gt;=$AC$4,H31&lt;=$AU$4),IF(""=IFERROR(INDEX(INDIRECT("Data!C"&amp;$K$5,FALSE),MATCH(H31,Data!$A:$A,0)),$BX$12),$BX$11,IFERROR(INDEX(INDIRECT("Data!C"&amp;$K$5,FALSE),MATCH(H31,Data!$A:$A,0)),$BX$12)),"-")</f>
        <v>64</v>
      </c>
      <c r="R31" s="7"/>
      <c r="T31" s="34">
        <f t="shared" si="49"/>
        <v>41406</v>
      </c>
      <c r="U31" s="34">
        <f t="shared" si="44"/>
        <v>41407</v>
      </c>
      <c r="V31" s="34">
        <f t="shared" si="28"/>
        <v>41408</v>
      </c>
      <c r="W31" s="34">
        <f t="shared" si="29"/>
        <v>41409</v>
      </c>
      <c r="X31" s="34">
        <f t="shared" si="30"/>
        <v>41410</v>
      </c>
      <c r="Y31" s="34">
        <f t="shared" si="31"/>
        <v>41411</v>
      </c>
      <c r="Z31" s="34">
        <f t="shared" si="32"/>
        <v>41412</v>
      </c>
      <c r="AB31" s="24" t="str">
        <f t="array" ref="AB31">IFERROR(IF(MATCH(8,DAY(T31:Z31),0),Z31,""),"")</f>
        <v/>
      </c>
      <c r="AC31" s="71">
        <f ca="1">IF(AND(T31&gt;=$AC$4,T31&lt;=$AU$4),IF(""=IFERROR(INDEX(INDIRECT("Data!C"&amp;$K$5,FALSE),MATCH(T31,Data!$A:$A,0)),$BX$12),$BX$11,IFERROR(INDEX(INDIRECT("Data!C"&amp;$K$5,FALSE),MATCH(T31,Data!$A:$A,0)),$BX$12)),"-")</f>
        <v>37</v>
      </c>
      <c r="AD31" s="71">
        <f ca="1">IF(AND(U31&gt;=$AC$4,U31&lt;=$AU$4),IF(""=IFERROR(INDEX(INDIRECT("Data!C"&amp;$K$5,FALSE),MATCH(U31,Data!$A:$A,0)),$BX$12),$BX$11,IFERROR(INDEX(INDIRECT("Data!C"&amp;$K$5,FALSE),MATCH(U31,Data!$A:$A,0)),$BX$12)),"-")</f>
        <v>373</v>
      </c>
      <c r="AE31" s="71">
        <f ca="1">IF(AND(V31&gt;=$AC$4,V31&lt;=$AU$4),IF(""=IFERROR(INDEX(INDIRECT("Data!C"&amp;$K$5,FALSE),MATCH(V31,Data!$A:$A,0)),$BX$12),$BX$11,IFERROR(INDEX(INDIRECT("Data!C"&amp;$K$5,FALSE),MATCH(V31,Data!$A:$A,0)),$BX$12)),"-")</f>
        <v>343</v>
      </c>
      <c r="AF31" s="71">
        <f ca="1">IF(AND(W31&gt;=$AC$4,W31&lt;=$AU$4),IF(""=IFERROR(INDEX(INDIRECT("Data!C"&amp;$K$5,FALSE),MATCH(W31,Data!$A:$A,0)),$BX$12),$BX$11,IFERROR(INDEX(INDIRECT("Data!C"&amp;$K$5,FALSE),MATCH(W31,Data!$A:$A,0)),$BX$12)),"-")</f>
        <v>242</v>
      </c>
      <c r="AG31" s="71">
        <f ca="1">IF(AND(X31&gt;=$AC$4,X31&lt;=$AU$4),IF(""=IFERROR(INDEX(INDIRECT("Data!C"&amp;$K$5,FALSE),MATCH(X31,Data!$A:$A,0)),$BX$12),$BX$11,IFERROR(INDEX(INDIRECT("Data!C"&amp;$K$5,FALSE),MATCH(X31,Data!$A:$A,0)),$BX$12)),"-")</f>
        <v>272</v>
      </c>
      <c r="AH31" s="71">
        <f ca="1">IF(AND(Y31&gt;=$AC$4,Y31&lt;=$AU$4),IF(""=IFERROR(INDEX(INDIRECT("Data!C"&amp;$K$5,FALSE),MATCH(Y31,Data!$A:$A,0)),$BX$12),$BX$11,IFERROR(INDEX(INDIRECT("Data!C"&amp;$K$5,FALSE),MATCH(Y31,Data!$A:$A,0)),$BX$12)),"-")</f>
        <v>289</v>
      </c>
      <c r="AI31" s="71">
        <f ca="1">IF(AND(Z31&gt;=$AC$4,Z31&lt;=$AU$4),IF(""=IFERROR(INDEX(INDIRECT("Data!C"&amp;$K$5,FALSE),MATCH(Z31,Data!$A:$A,0)),$BX$12),$BX$11,IFERROR(INDEX(INDIRECT("Data!C"&amp;$K$5,FALSE),MATCH(Z31,Data!$A:$A,0)),$BX$12)),"-")</f>
        <v>97</v>
      </c>
      <c r="AJ31" s="7"/>
      <c r="AL31" s="34">
        <f t="shared" si="50"/>
        <v>41770</v>
      </c>
      <c r="AM31" s="34">
        <f t="shared" si="45"/>
        <v>41771</v>
      </c>
      <c r="AN31" s="34">
        <f t="shared" si="33"/>
        <v>41772</v>
      </c>
      <c r="AO31" s="34">
        <f t="shared" si="34"/>
        <v>41773</v>
      </c>
      <c r="AP31" s="34">
        <f t="shared" si="35"/>
        <v>41774</v>
      </c>
      <c r="AQ31" s="34">
        <f t="shared" si="36"/>
        <v>41775</v>
      </c>
      <c r="AR31" s="34">
        <f t="shared" si="37"/>
        <v>41776</v>
      </c>
      <c r="AT31" s="24" t="str">
        <f t="array" ref="AT31">IFERROR(IF(MATCH(8,DAY(AL31:AR31),0),AR31,""),"")</f>
        <v/>
      </c>
      <c r="AU31" s="71">
        <f ca="1">IF(AND(AL31&gt;=$AC$4,AL31&lt;=$AU$4),IF(""=IFERROR(INDEX(INDIRECT("Data!C"&amp;$K$5,FALSE),MATCH(AL31,Data!$A:$A,0)),$BX$12),$BX$11,IFERROR(INDEX(INDIRECT("Data!C"&amp;$K$5,FALSE),MATCH(AL31,Data!$A:$A,0)),$BX$12)),"-")</f>
        <v>29</v>
      </c>
      <c r="AV31" s="71">
        <f ca="1">IF(AND(AM31&gt;=$AC$4,AM31&lt;=$AU$4),IF(""=IFERROR(INDEX(INDIRECT("Data!C"&amp;$K$5,FALSE),MATCH(AM31,Data!$A:$A,0)),$BX$12),$BX$11,IFERROR(INDEX(INDIRECT("Data!C"&amp;$K$5,FALSE),MATCH(AM31,Data!$A:$A,0)),$BX$12)),"-")</f>
        <v>336</v>
      </c>
      <c r="AW31" s="71">
        <f ca="1">IF(AND(AN31&gt;=$AC$4,AN31&lt;=$AU$4),IF(""=IFERROR(INDEX(INDIRECT("Data!C"&amp;$K$5,FALSE),MATCH(AN31,Data!$A:$A,0)),$BX$12),$BX$11,IFERROR(INDEX(INDIRECT("Data!C"&amp;$K$5,FALSE),MATCH(AN31,Data!$A:$A,0)),$BX$12)),"-")</f>
        <v>327</v>
      </c>
      <c r="AX31" s="71">
        <f ca="1">IF(AND(AO31&gt;=$AC$4,AO31&lt;=$AU$4),IF(""=IFERROR(INDEX(INDIRECT("Data!C"&amp;$K$5,FALSE),MATCH(AO31,Data!$A:$A,0)),$BX$12),$BX$11,IFERROR(INDEX(INDIRECT("Data!C"&amp;$K$5,FALSE),MATCH(AO31,Data!$A:$A,0)),$BX$12)),"-")</f>
        <v>324</v>
      </c>
      <c r="AY31" s="71">
        <f ca="1">IF(AND(AP31&gt;=$AC$4,AP31&lt;=$AU$4),IF(""=IFERROR(INDEX(INDIRECT("Data!C"&amp;$K$5,FALSE),MATCH(AP31,Data!$A:$A,0)),$BX$12),$BX$11,IFERROR(INDEX(INDIRECT("Data!C"&amp;$K$5,FALSE),MATCH(AP31,Data!$A:$A,0)),$BX$12)),"-")</f>
        <v>311</v>
      </c>
      <c r="AZ31" s="71">
        <f ca="1">IF(AND(AQ31&gt;=$AC$4,AQ31&lt;=$AU$4),IF(""=IFERROR(INDEX(INDIRECT("Data!C"&amp;$K$5,FALSE),MATCH(AQ31,Data!$A:$A,0)),$BX$12),$BX$11,IFERROR(INDEX(INDIRECT("Data!C"&amp;$K$5,FALSE),MATCH(AQ31,Data!$A:$A,0)),$BX$12)),"-")</f>
        <v>296</v>
      </c>
      <c r="BA31" s="71">
        <f ca="1">IF(AND(AR31&gt;=$AC$4,AR31&lt;=$AU$4),IF(""=IFERROR(INDEX(INDIRECT("Data!C"&amp;$K$5,FALSE),MATCH(AR31,Data!$A:$A,0)),$BX$12),$BX$11,IFERROR(INDEX(INDIRECT("Data!C"&amp;$K$5,FALSE),MATCH(AR31,Data!$A:$A,0)),$BX$12)),"-")</f>
        <v>92</v>
      </c>
      <c r="BB31" s="7"/>
      <c r="BD31" s="34">
        <f t="shared" si="51"/>
        <v>42134</v>
      </c>
      <c r="BE31" s="34">
        <f t="shared" si="46"/>
        <v>42135</v>
      </c>
      <c r="BF31" s="34">
        <f t="shared" si="38"/>
        <v>42136</v>
      </c>
      <c r="BG31" s="34">
        <f t="shared" si="39"/>
        <v>42137</v>
      </c>
      <c r="BH31" s="34">
        <f t="shared" si="40"/>
        <v>42138</v>
      </c>
      <c r="BI31" s="34">
        <f t="shared" si="41"/>
        <v>42139</v>
      </c>
      <c r="BJ31" s="34">
        <f t="shared" si="42"/>
        <v>42140</v>
      </c>
      <c r="BL31" s="24" t="str">
        <f t="array" ref="BL31">IFERROR(IF(MATCH(8,DAY(BD31:BJ31),0),BJ31,""),"")</f>
        <v/>
      </c>
      <c r="BM31" s="71">
        <f ca="1">IF(AND(BD31&gt;=$AC$4,BD31&lt;=$AU$4),IF(""=IFERROR(INDEX(INDIRECT("Data!C"&amp;$K$5,FALSE),MATCH(BD31,Data!$A:$A,0)),$BX$12),$BX$11,IFERROR(INDEX(INDIRECT("Data!C"&amp;$K$5,FALSE),MATCH(BD31,Data!$A:$A,0)),$BX$12)),"-")</f>
        <v>42</v>
      </c>
      <c r="BN31" s="71">
        <f ca="1">IF(AND(BE31&gt;=$AC$4,BE31&lt;=$AU$4),IF(""=IFERROR(INDEX(INDIRECT("Data!C"&amp;$K$5,FALSE),MATCH(BE31,Data!$A:$A,0)),$BX$12),$BX$11,IFERROR(INDEX(INDIRECT("Data!C"&amp;$K$5,FALSE),MATCH(BE31,Data!$A:$A,0)),$BX$12)),"-")</f>
        <v>299</v>
      </c>
      <c r="BO31" s="71">
        <f ca="1">IF(AND(BF31&gt;=$AC$4,BF31&lt;=$AU$4),IF(""=IFERROR(INDEX(INDIRECT("Data!C"&amp;$K$5,FALSE),MATCH(BF31,Data!$A:$A,0)),$BX$12),$BX$11,IFERROR(INDEX(INDIRECT("Data!C"&amp;$K$5,FALSE),MATCH(BF31,Data!$A:$A,0)),$BX$12)),"-")</f>
        <v>383</v>
      </c>
      <c r="BP31" s="71">
        <f ca="1">IF(AND(BG31&gt;=$AC$4,BG31&lt;=$AU$4),IF(""=IFERROR(INDEX(INDIRECT("Data!C"&amp;$K$5,FALSE),MATCH(BG31,Data!$A:$A,0)),$BX$12),$BX$11,IFERROR(INDEX(INDIRECT("Data!C"&amp;$K$5,FALSE),MATCH(BG31,Data!$A:$A,0)),$BX$12)),"-")</f>
        <v>399</v>
      </c>
      <c r="BQ31" s="71">
        <f ca="1">IF(AND(BH31&gt;=$AC$4,BH31&lt;=$AU$4),IF(""=IFERROR(INDEX(INDIRECT("Data!C"&amp;$K$5,FALSE),MATCH(BH31,Data!$A:$A,0)),$BX$12),$BX$11,IFERROR(INDEX(INDIRECT("Data!C"&amp;$K$5,FALSE),MATCH(BH31,Data!$A:$A,0)),$BX$12)),"-")</f>
        <v>267</v>
      </c>
      <c r="BR31" s="71">
        <f ca="1">IF(AND(BI31&gt;=$AC$4,BI31&lt;=$AU$4),IF(""=IFERROR(INDEX(INDIRECT("Data!C"&amp;$K$5,FALSE),MATCH(BI31,Data!$A:$A,0)),$BX$12),$BX$11,IFERROR(INDEX(INDIRECT("Data!C"&amp;$K$5,FALSE),MATCH(BI31,Data!$A:$A,0)),$BX$12)),"-")</f>
        <v>262</v>
      </c>
      <c r="BS31" s="71">
        <f ca="1">IF(AND(BJ31&gt;=$AC$4,BJ31&lt;=$AU$4),IF(""=IFERROR(INDEX(INDIRECT("Data!C"&amp;$K$5,FALSE),MATCH(BJ31,Data!$A:$A,0)),$BX$12),$BX$11,IFERROR(INDEX(INDIRECT("Data!C"&amp;$K$5,FALSE),MATCH(BJ31,Data!$A:$A,0)),$BX$12)),"-")</f>
        <v>61</v>
      </c>
      <c r="BT31" s="7"/>
      <c r="BU31" s="58">
        <f t="shared" ca="1" si="47"/>
        <v>233.21428571428572</v>
      </c>
    </row>
    <row r="32" spans="2:78" ht="12" customHeight="1" x14ac:dyDescent="0.2">
      <c r="B32" s="34">
        <f t="shared" si="48"/>
        <v>41049</v>
      </c>
      <c r="C32" s="34">
        <f t="shared" si="52"/>
        <v>41050</v>
      </c>
      <c r="D32" s="34">
        <f t="shared" si="52"/>
        <v>41051</v>
      </c>
      <c r="E32" s="34">
        <f t="shared" si="52"/>
        <v>41052</v>
      </c>
      <c r="F32" s="34">
        <f t="shared" si="52"/>
        <v>41053</v>
      </c>
      <c r="G32" s="34">
        <f t="shared" si="52"/>
        <v>41054</v>
      </c>
      <c r="H32" s="34">
        <f t="shared" si="52"/>
        <v>41055</v>
      </c>
      <c r="J32" s="24" t="str">
        <f t="array" ref="J32">IFERROR(IF(MATCH(8,DAY(B32:H32),0),H32,""),"")</f>
        <v/>
      </c>
      <c r="K32" s="71">
        <f ca="1">IF(AND(B32&gt;=$AC$4,B32&lt;=$AU$4),IF(""=IFERROR(INDEX(INDIRECT("Data!C"&amp;$K$5,FALSE),MATCH(B32,Data!$A:$A,0)),$BX$12),$BX$11,IFERROR(INDEX(INDIRECT("Data!C"&amp;$K$5,FALSE),MATCH(B32,Data!$A:$A,0)),$BX$12)),"-")</f>
        <v>33</v>
      </c>
      <c r="L32" s="71">
        <f ca="1">IF(AND(C32&gt;=$AC$4,C32&lt;=$AU$4),IF(""=IFERROR(INDEX(INDIRECT("Data!C"&amp;$K$5,FALSE),MATCH(C32,Data!$A:$A,0)),$BX$12),$BX$11,IFERROR(INDEX(INDIRECT("Data!C"&amp;$K$5,FALSE),MATCH(C32,Data!$A:$A,0)),$BX$12)),"-")</f>
        <v>366</v>
      </c>
      <c r="M32" s="71">
        <f ca="1">IF(AND(D32&gt;=$AC$4,D32&lt;=$AU$4),IF(""=IFERROR(INDEX(INDIRECT("Data!C"&amp;$K$5,FALSE),MATCH(D32,Data!$A:$A,0)),$BX$12),$BX$11,IFERROR(INDEX(INDIRECT("Data!C"&amp;$K$5,FALSE),MATCH(D32,Data!$A:$A,0)),$BX$12)),"-")</f>
        <v>390</v>
      </c>
      <c r="N32" s="71">
        <f ca="1">IF(AND(E32&gt;=$AC$4,E32&lt;=$AU$4),IF(""=IFERROR(INDEX(INDIRECT("Data!C"&amp;$K$5,FALSE),MATCH(E32,Data!$A:$A,0)),$BX$12),$BX$11,IFERROR(INDEX(INDIRECT("Data!C"&amp;$K$5,FALSE),MATCH(E32,Data!$A:$A,0)),$BX$12)),"-")</f>
        <v>274</v>
      </c>
      <c r="O32" s="71">
        <f ca="1">IF(AND(F32&gt;=$AC$4,F32&lt;=$AU$4),IF(""=IFERROR(INDEX(INDIRECT("Data!C"&amp;$K$5,FALSE),MATCH(F32,Data!$A:$A,0)),$BX$12),$BX$11,IFERROR(INDEX(INDIRECT("Data!C"&amp;$K$5,FALSE),MATCH(F32,Data!$A:$A,0)),$BX$12)),"-")</f>
        <v>284</v>
      </c>
      <c r="P32" s="71">
        <f ca="1">IF(AND(G32&gt;=$AC$4,G32&lt;=$AU$4),IF(""=IFERROR(INDEX(INDIRECT("Data!C"&amp;$K$5,FALSE),MATCH(G32,Data!$A:$A,0)),$BX$12),$BX$11,IFERROR(INDEX(INDIRECT("Data!C"&amp;$K$5,FALSE),MATCH(G32,Data!$A:$A,0)),$BX$12)),"-")</f>
        <v>205</v>
      </c>
      <c r="Q32" s="71">
        <f ca="1">IF(AND(H32&gt;=$AC$4,H32&lt;=$AU$4),IF(""=IFERROR(INDEX(INDIRECT("Data!C"&amp;$K$5,FALSE),MATCH(H32,Data!$A:$A,0)),$BX$12),$BX$11,IFERROR(INDEX(INDIRECT("Data!C"&amp;$K$5,FALSE),MATCH(H32,Data!$A:$A,0)),$BX$12)),"-")</f>
        <v>66</v>
      </c>
      <c r="R32" s="7"/>
      <c r="T32" s="34">
        <f t="shared" si="49"/>
        <v>41413</v>
      </c>
      <c r="U32" s="34">
        <f t="shared" si="44"/>
        <v>41414</v>
      </c>
      <c r="V32" s="34">
        <f t="shared" si="28"/>
        <v>41415</v>
      </c>
      <c r="W32" s="34">
        <f t="shared" si="29"/>
        <v>41416</v>
      </c>
      <c r="X32" s="34">
        <f t="shared" si="30"/>
        <v>41417</v>
      </c>
      <c r="Y32" s="34">
        <f t="shared" si="31"/>
        <v>41418</v>
      </c>
      <c r="Z32" s="34">
        <f t="shared" si="32"/>
        <v>41419</v>
      </c>
      <c r="AB32" s="24" t="str">
        <f t="array" ref="AB32">IFERROR(IF(MATCH(8,DAY(T32:Z32),0),Z32,""),"")</f>
        <v/>
      </c>
      <c r="AC32" s="71">
        <f ca="1">IF(AND(T32&gt;=$AC$4,T32&lt;=$AU$4),IF(""=IFERROR(INDEX(INDIRECT("Data!C"&amp;$K$5,FALSE),MATCH(T32,Data!$A:$A,0)),$BX$12),$BX$11,IFERROR(INDEX(INDIRECT("Data!C"&amp;$K$5,FALSE),MATCH(T32,Data!$A:$A,0)),$BX$12)),"-")</f>
        <v>48</v>
      </c>
      <c r="AD32" s="71">
        <f ca="1">IF(AND(U32&gt;=$AC$4,U32&lt;=$AU$4),IF(""=IFERROR(INDEX(INDIRECT("Data!C"&amp;$K$5,FALSE),MATCH(U32,Data!$A:$A,0)),$BX$12),$BX$11,IFERROR(INDEX(INDIRECT("Data!C"&amp;$K$5,FALSE),MATCH(U32,Data!$A:$A,0)),$BX$12)),"-")</f>
        <v>415</v>
      </c>
      <c r="AE32" s="71">
        <f ca="1">IF(AND(V32&gt;=$AC$4,V32&lt;=$AU$4),IF(""=IFERROR(INDEX(INDIRECT("Data!C"&amp;$K$5,FALSE),MATCH(V32,Data!$A:$A,0)),$BX$12),$BX$11,IFERROR(INDEX(INDIRECT("Data!C"&amp;$K$5,FALSE),MATCH(V32,Data!$A:$A,0)),$BX$12)),"-")</f>
        <v>448</v>
      </c>
      <c r="AF32" s="71">
        <f ca="1">IF(AND(W32&gt;=$AC$4,W32&lt;=$AU$4),IF(""=IFERROR(INDEX(INDIRECT("Data!C"&amp;$K$5,FALSE),MATCH(W32,Data!$A:$A,0)),$BX$12),$BX$11,IFERROR(INDEX(INDIRECT("Data!C"&amp;$K$5,FALSE),MATCH(W32,Data!$A:$A,0)),$BX$12)),"-")</f>
        <v>268</v>
      </c>
      <c r="AG32" s="71">
        <f ca="1">IF(AND(X32&gt;=$AC$4,X32&lt;=$AU$4),IF(""=IFERROR(INDEX(INDIRECT("Data!C"&amp;$K$5,FALSE),MATCH(X32,Data!$A:$A,0)),$BX$12),$BX$11,IFERROR(INDEX(INDIRECT("Data!C"&amp;$K$5,FALSE),MATCH(X32,Data!$A:$A,0)),$BX$12)),"-")</f>
        <v>307</v>
      </c>
      <c r="AH32" s="71">
        <f ca="1">IF(AND(Y32&gt;=$AC$4,Y32&lt;=$AU$4),IF(""=IFERROR(INDEX(INDIRECT("Data!C"&amp;$K$5,FALSE),MATCH(Y32,Data!$A:$A,0)),$BX$12),$BX$11,IFERROR(INDEX(INDIRECT("Data!C"&amp;$K$5,FALSE),MATCH(Y32,Data!$A:$A,0)),$BX$12)),"-")</f>
        <v>231</v>
      </c>
      <c r="AI32" s="71">
        <f ca="1">IF(AND(Z32&gt;=$AC$4,Z32&lt;=$AU$4),IF(""=IFERROR(INDEX(INDIRECT("Data!C"&amp;$K$5,FALSE),MATCH(Z32,Data!$A:$A,0)),$BX$12),$BX$11,IFERROR(INDEX(INDIRECT("Data!C"&amp;$K$5,FALSE),MATCH(Z32,Data!$A:$A,0)),$BX$12)),"-")</f>
        <v>66</v>
      </c>
      <c r="AJ32" s="7"/>
      <c r="AL32" s="34">
        <f t="shared" si="50"/>
        <v>41777</v>
      </c>
      <c r="AM32" s="34">
        <f t="shared" si="45"/>
        <v>41778</v>
      </c>
      <c r="AN32" s="34">
        <f t="shared" si="33"/>
        <v>41779</v>
      </c>
      <c r="AO32" s="34">
        <f t="shared" si="34"/>
        <v>41780</v>
      </c>
      <c r="AP32" s="34">
        <f t="shared" si="35"/>
        <v>41781</v>
      </c>
      <c r="AQ32" s="34">
        <f t="shared" si="36"/>
        <v>41782</v>
      </c>
      <c r="AR32" s="34">
        <f t="shared" si="37"/>
        <v>41783</v>
      </c>
      <c r="AT32" s="24" t="str">
        <f t="array" ref="AT32">IFERROR(IF(MATCH(8,DAY(AL32:AR32),0),AR32,""),"")</f>
        <v/>
      </c>
      <c r="AU32" s="71">
        <f ca="1">IF(AND(AL32&gt;=$AC$4,AL32&lt;=$AU$4),IF(""=IFERROR(INDEX(INDIRECT("Data!C"&amp;$K$5,FALSE),MATCH(AL32,Data!$A:$A,0)),$BX$12),$BX$11,IFERROR(INDEX(INDIRECT("Data!C"&amp;$K$5,FALSE),MATCH(AL32,Data!$A:$A,0)),$BX$12)),"-")</f>
        <v>42</v>
      </c>
      <c r="AV32" s="71">
        <f ca="1">IF(AND(AM32&gt;=$AC$4,AM32&lt;=$AU$4),IF(""=IFERROR(INDEX(INDIRECT("Data!C"&amp;$K$5,FALSE),MATCH(AM32,Data!$A:$A,0)),$BX$12),$BX$11,IFERROR(INDEX(INDIRECT("Data!C"&amp;$K$5,FALSE),MATCH(AM32,Data!$A:$A,0)),$BX$12)),"-")</f>
        <v>423</v>
      </c>
      <c r="AW32" s="71">
        <f ca="1">IF(AND(AN32&gt;=$AC$4,AN32&lt;=$AU$4),IF(""=IFERROR(INDEX(INDIRECT("Data!C"&amp;$K$5,FALSE),MATCH(AN32,Data!$A:$A,0)),$BX$12),$BX$11,IFERROR(INDEX(INDIRECT("Data!C"&amp;$K$5,FALSE),MATCH(AN32,Data!$A:$A,0)),$BX$12)),"-")</f>
        <v>411</v>
      </c>
      <c r="AX32" s="71">
        <f ca="1">IF(AND(AO32&gt;=$AC$4,AO32&lt;=$AU$4),IF(""=IFERROR(INDEX(INDIRECT("Data!C"&amp;$K$5,FALSE),MATCH(AO32,Data!$A:$A,0)),$BX$12),$BX$11,IFERROR(INDEX(INDIRECT("Data!C"&amp;$K$5,FALSE),MATCH(AO32,Data!$A:$A,0)),$BX$12)),"-")</f>
        <v>272</v>
      </c>
      <c r="AY32" s="71">
        <f ca="1">IF(AND(AP32&gt;=$AC$4,AP32&lt;=$AU$4),IF(""=IFERROR(INDEX(INDIRECT("Data!C"&amp;$K$5,FALSE),MATCH(AP32,Data!$A:$A,0)),$BX$12),$BX$11,IFERROR(INDEX(INDIRECT("Data!C"&amp;$K$5,FALSE),MATCH(AP32,Data!$A:$A,0)),$BX$12)),"-")</f>
        <v>252</v>
      </c>
      <c r="AZ32" s="71">
        <f ca="1">IF(AND(AQ32&gt;=$AC$4,AQ32&lt;=$AU$4),IF(""=IFERROR(INDEX(INDIRECT("Data!C"&amp;$K$5,FALSE),MATCH(AQ32,Data!$A:$A,0)),$BX$12),$BX$11,IFERROR(INDEX(INDIRECT("Data!C"&amp;$K$5,FALSE),MATCH(AQ32,Data!$A:$A,0)),$BX$12)),"-")</f>
        <v>182</v>
      </c>
      <c r="BA32" s="71">
        <f ca="1">IF(AND(AR32&gt;=$AC$4,AR32&lt;=$AU$4),IF(""=IFERROR(INDEX(INDIRECT("Data!C"&amp;$K$5,FALSE),MATCH(AR32,Data!$A:$A,0)),$BX$12),$BX$11,IFERROR(INDEX(INDIRECT("Data!C"&amp;$K$5,FALSE),MATCH(AR32,Data!$A:$A,0)),$BX$12)),"-")</f>
        <v>87</v>
      </c>
      <c r="BB32" s="7"/>
      <c r="BD32" s="34">
        <f t="shared" si="51"/>
        <v>42141</v>
      </c>
      <c r="BE32" s="34">
        <f t="shared" si="46"/>
        <v>42142</v>
      </c>
      <c r="BF32" s="34">
        <f t="shared" si="38"/>
        <v>42143</v>
      </c>
      <c r="BG32" s="34">
        <f t="shared" si="39"/>
        <v>42144</v>
      </c>
      <c r="BH32" s="34">
        <f t="shared" si="40"/>
        <v>42145</v>
      </c>
      <c r="BI32" s="34">
        <f t="shared" si="41"/>
        <v>42146</v>
      </c>
      <c r="BJ32" s="34">
        <f t="shared" si="42"/>
        <v>42147</v>
      </c>
      <c r="BL32" s="24" t="str">
        <f t="array" ref="BL32">IFERROR(IF(MATCH(8,DAY(BD32:BJ32),0),BJ32,""),"")</f>
        <v/>
      </c>
      <c r="BM32" s="71">
        <f ca="1">IF(AND(BD32&gt;=$AC$4,BD32&lt;=$AU$4),IF(""=IFERROR(INDEX(INDIRECT("Data!C"&amp;$K$5,FALSE),MATCH(BD32,Data!$A:$A,0)),$BX$12),$BX$11,IFERROR(INDEX(INDIRECT("Data!C"&amp;$K$5,FALSE),MATCH(BD32,Data!$A:$A,0)),$BX$12)),"-")</f>
        <v>29</v>
      </c>
      <c r="BN32" s="71">
        <f ca="1">IF(AND(BE32&gt;=$AC$4,BE32&lt;=$AU$4),IF(""=IFERROR(INDEX(INDIRECT("Data!C"&amp;$K$5,FALSE),MATCH(BE32,Data!$A:$A,0)),$BX$12),$BX$11,IFERROR(INDEX(INDIRECT("Data!C"&amp;$K$5,FALSE),MATCH(BE32,Data!$A:$A,0)),$BX$12)),"-")</f>
        <v>423</v>
      </c>
      <c r="BO32" s="71">
        <f ca="1">IF(AND(BF32&gt;=$AC$4,BF32&lt;=$AU$4),IF(""=IFERROR(INDEX(INDIRECT("Data!C"&amp;$K$5,FALSE),MATCH(BF32,Data!$A:$A,0)),$BX$12),$BX$11,IFERROR(INDEX(INDIRECT("Data!C"&amp;$K$5,FALSE),MATCH(BF32,Data!$A:$A,0)),$BX$12)),"-")</f>
        <v>346</v>
      </c>
      <c r="BP32" s="71">
        <f ca="1">IF(AND(BG32&gt;=$AC$4,BG32&lt;=$AU$4),IF(""=IFERROR(INDEX(INDIRECT("Data!C"&amp;$K$5,FALSE),MATCH(BG32,Data!$A:$A,0)),$BX$12),$BX$11,IFERROR(INDEX(INDIRECT("Data!C"&amp;$K$5,FALSE),MATCH(BG32,Data!$A:$A,0)),$BX$12)),"-")</f>
        <v>236</v>
      </c>
      <c r="BQ32" s="71">
        <f ca="1">IF(AND(BH32&gt;=$AC$4,BH32&lt;=$AU$4),IF(""=IFERROR(INDEX(INDIRECT("Data!C"&amp;$K$5,FALSE),MATCH(BH32,Data!$A:$A,0)),$BX$12),$BX$11,IFERROR(INDEX(INDIRECT("Data!C"&amp;$K$5,FALSE),MATCH(BH32,Data!$A:$A,0)),$BX$12)),"-")</f>
        <v>281</v>
      </c>
      <c r="BR32" s="71">
        <f ca="1">IF(AND(BI32&gt;=$AC$4,BI32&lt;=$AU$4),IF(""=IFERROR(INDEX(INDIRECT("Data!C"&amp;$K$5,FALSE),MATCH(BI32,Data!$A:$A,0)),$BX$12),$BX$11,IFERROR(INDEX(INDIRECT("Data!C"&amp;$K$5,FALSE),MATCH(BI32,Data!$A:$A,0)),$BX$12)),"-")</f>
        <v>214</v>
      </c>
      <c r="BS32" s="71">
        <f ca="1">IF(AND(BJ32&gt;=$AC$4,BJ32&lt;=$AU$4),IF(""=IFERROR(INDEX(INDIRECT("Data!C"&amp;$K$5,FALSE),MATCH(BJ32,Data!$A:$A,0)),$BX$12),$BX$11,IFERROR(INDEX(INDIRECT("Data!C"&amp;$K$5,FALSE),MATCH(BJ32,Data!$A:$A,0)),$BX$12)),"-")</f>
        <v>74</v>
      </c>
      <c r="BT32" s="7"/>
      <c r="BU32" s="58">
        <f t="shared" ca="1" si="47"/>
        <v>238.32142857142858</v>
      </c>
    </row>
    <row r="33" spans="2:73" ht="12" customHeight="1" x14ac:dyDescent="0.2">
      <c r="B33" s="34">
        <f t="shared" si="48"/>
        <v>41056</v>
      </c>
      <c r="C33" s="34">
        <f t="shared" si="52"/>
        <v>41057</v>
      </c>
      <c r="D33" s="34">
        <f t="shared" si="52"/>
        <v>41058</v>
      </c>
      <c r="E33" s="34">
        <f t="shared" si="52"/>
        <v>41059</v>
      </c>
      <c r="F33" s="34">
        <f t="shared" si="52"/>
        <v>41060</v>
      </c>
      <c r="G33" s="34">
        <f t="shared" si="52"/>
        <v>41061</v>
      </c>
      <c r="H33" s="34">
        <f t="shared" si="52"/>
        <v>41062</v>
      </c>
      <c r="J33" s="24" t="str">
        <f t="array" ref="J33">IFERROR(IF(MATCH(8,DAY(B33:H33),0),H33,""),"")</f>
        <v/>
      </c>
      <c r="K33" s="71">
        <f ca="1">IF(AND(B33&gt;=$AC$4,B33&lt;=$AU$4),IF(""=IFERROR(INDEX(INDIRECT("Data!C"&amp;$K$5,FALSE),MATCH(B33,Data!$A:$A,0)),$BX$12),$BX$11,IFERROR(INDEX(INDIRECT("Data!C"&amp;$K$5,FALSE),MATCH(B33,Data!$A:$A,0)),$BX$12)),"-")</f>
        <v>49</v>
      </c>
      <c r="L33" s="71">
        <f ca="1">IF(AND(C33&gt;=$AC$4,C33&lt;=$AU$4),IF(""=IFERROR(INDEX(INDIRECT("Data!C"&amp;$K$5,FALSE),MATCH(C33,Data!$A:$A,0)),$BX$12),$BX$11,IFERROR(INDEX(INDIRECT("Data!C"&amp;$K$5,FALSE),MATCH(C33,Data!$A:$A,0)),$BX$12)),"-")</f>
        <v>435</v>
      </c>
      <c r="M33" s="71">
        <f ca="1">IF(AND(D33&gt;=$AC$4,D33&lt;=$AU$4),IF(""=IFERROR(INDEX(INDIRECT("Data!C"&amp;$K$5,FALSE),MATCH(D33,Data!$A:$A,0)),$BX$12),$BX$11,IFERROR(INDEX(INDIRECT("Data!C"&amp;$K$5,FALSE),MATCH(D33,Data!$A:$A,0)),$BX$12)),"-")</f>
        <v>273</v>
      </c>
      <c r="N33" s="71">
        <f ca="1">IF(AND(E33&gt;=$AC$4,E33&lt;=$AU$4),IF(""=IFERROR(INDEX(INDIRECT("Data!C"&amp;$K$5,FALSE),MATCH(E33,Data!$A:$A,0)),$BX$12),$BX$11,IFERROR(INDEX(INDIRECT("Data!C"&amp;$K$5,FALSE),MATCH(E33,Data!$A:$A,0)),$BX$12)),"-")</f>
        <v>345</v>
      </c>
      <c r="O33" s="71">
        <f ca="1">IF(AND(F33&gt;=$AC$4,F33&lt;=$AU$4),IF(""=IFERROR(INDEX(INDIRECT("Data!C"&amp;$K$5,FALSE),MATCH(F33,Data!$A:$A,0)),$BX$12),$BX$11,IFERROR(INDEX(INDIRECT("Data!C"&amp;$K$5,FALSE),MATCH(F33,Data!$A:$A,0)),$BX$12)),"-")</f>
        <v>233</v>
      </c>
      <c r="P33" s="71">
        <f ca="1">IF(AND(G33&gt;=$AC$4,G33&lt;=$AU$4),IF(""=IFERROR(INDEX(INDIRECT("Data!C"&amp;$K$5,FALSE),MATCH(G33,Data!$A:$A,0)),$BX$12),$BX$11,IFERROR(INDEX(INDIRECT("Data!C"&amp;$K$5,FALSE),MATCH(G33,Data!$A:$A,0)),$BX$12)),"-")</f>
        <v>252</v>
      </c>
      <c r="Q33" s="71">
        <f ca="1">IF(AND(H33&gt;=$AC$4,H33&lt;=$AU$4),IF(""=IFERROR(INDEX(INDIRECT("Data!C"&amp;$K$5,FALSE),MATCH(H33,Data!$A:$A,0)),$BX$12),$BX$11,IFERROR(INDEX(INDIRECT("Data!C"&amp;$K$5,FALSE),MATCH(H33,Data!$A:$A,0)),$BX$12)),"-")</f>
        <v>88</v>
      </c>
      <c r="R33" s="7"/>
      <c r="T33" s="34">
        <f t="shared" si="49"/>
        <v>41420</v>
      </c>
      <c r="U33" s="34">
        <f t="shared" si="44"/>
        <v>41421</v>
      </c>
      <c r="V33" s="34">
        <f t="shared" si="28"/>
        <v>41422</v>
      </c>
      <c r="W33" s="34">
        <f t="shared" si="29"/>
        <v>41423</v>
      </c>
      <c r="X33" s="34">
        <f t="shared" si="30"/>
        <v>41424</v>
      </c>
      <c r="Y33" s="34">
        <f t="shared" si="31"/>
        <v>41425</v>
      </c>
      <c r="Z33" s="34">
        <f t="shared" si="32"/>
        <v>41426</v>
      </c>
      <c r="AB33" s="24" t="str">
        <f t="array" ref="AB33">IFERROR(IF(MATCH(8,DAY(T33:Z33),0),Z33,""),"")</f>
        <v/>
      </c>
      <c r="AC33" s="71">
        <f ca="1">IF(AND(T33&gt;=$AC$4,T33&lt;=$AU$4),IF(""=IFERROR(INDEX(INDIRECT("Data!C"&amp;$K$5,FALSE),MATCH(T33,Data!$A:$A,0)),$BX$12),$BX$11,IFERROR(INDEX(INDIRECT("Data!C"&amp;$K$5,FALSE),MATCH(T33,Data!$A:$A,0)),$BX$12)),"-")</f>
        <v>31</v>
      </c>
      <c r="AD33" s="71">
        <f ca="1">IF(AND(U33&gt;=$AC$4,U33&lt;=$AU$4),IF(""=IFERROR(INDEX(INDIRECT("Data!C"&amp;$K$5,FALSE),MATCH(U33,Data!$A:$A,0)),$BX$12),$BX$11,IFERROR(INDEX(INDIRECT("Data!C"&amp;$K$5,FALSE),MATCH(U33,Data!$A:$A,0)),$BX$12)),"-")</f>
        <v>392</v>
      </c>
      <c r="AE33" s="71">
        <f ca="1">IF(AND(V33&gt;=$AC$4,V33&lt;=$AU$4),IF(""=IFERROR(INDEX(INDIRECT("Data!C"&amp;$K$5,FALSE),MATCH(V33,Data!$A:$A,0)),$BX$12),$BX$11,IFERROR(INDEX(INDIRECT("Data!C"&amp;$K$5,FALSE),MATCH(V33,Data!$A:$A,0)),$BX$12)),"-")</f>
        <v>298</v>
      </c>
      <c r="AF33" s="71">
        <f ca="1">IF(AND(W33&gt;=$AC$4,W33&lt;=$AU$4),IF(""=IFERROR(INDEX(INDIRECT("Data!C"&amp;$K$5,FALSE),MATCH(W33,Data!$A:$A,0)),$BX$12),$BX$11,IFERROR(INDEX(INDIRECT("Data!C"&amp;$K$5,FALSE),MATCH(W33,Data!$A:$A,0)),$BX$12)),"-")</f>
        <v>232</v>
      </c>
      <c r="AG33" s="71">
        <f ca="1">IF(AND(X33&gt;=$AC$4,X33&lt;=$AU$4),IF(""=IFERROR(INDEX(INDIRECT("Data!C"&amp;$K$5,FALSE),MATCH(X33,Data!$A:$A,0)),$BX$12),$BX$11,IFERROR(INDEX(INDIRECT("Data!C"&amp;$K$5,FALSE),MATCH(X33,Data!$A:$A,0)),$BX$12)),"-")</f>
        <v>295</v>
      </c>
      <c r="AH33" s="71">
        <f ca="1">IF(AND(Y33&gt;=$AC$4,Y33&lt;=$AU$4),IF(""=IFERROR(INDEX(INDIRECT("Data!C"&amp;$K$5,FALSE),MATCH(Y33,Data!$A:$A,0)),$BX$12),$BX$11,IFERROR(INDEX(INDIRECT("Data!C"&amp;$K$5,FALSE),MATCH(Y33,Data!$A:$A,0)),$BX$12)),"-")</f>
        <v>265</v>
      </c>
      <c r="AI33" s="71">
        <f ca="1">IF(AND(Z33&gt;=$AC$4,Z33&lt;=$AU$4),IF(""=IFERROR(INDEX(INDIRECT("Data!C"&amp;$K$5,FALSE),MATCH(Z33,Data!$A:$A,0)),$BX$12),$BX$11,IFERROR(INDEX(INDIRECT("Data!C"&amp;$K$5,FALSE),MATCH(Z33,Data!$A:$A,0)),$BX$12)),"-")</f>
        <v>66</v>
      </c>
      <c r="AJ33" s="7"/>
      <c r="AL33" s="34">
        <f t="shared" si="50"/>
        <v>41784</v>
      </c>
      <c r="AM33" s="34">
        <f t="shared" si="45"/>
        <v>41785</v>
      </c>
      <c r="AN33" s="34">
        <f t="shared" si="33"/>
        <v>41786</v>
      </c>
      <c r="AO33" s="34">
        <f t="shared" si="34"/>
        <v>41787</v>
      </c>
      <c r="AP33" s="34">
        <f t="shared" si="35"/>
        <v>41788</v>
      </c>
      <c r="AQ33" s="34">
        <f t="shared" si="36"/>
        <v>41789</v>
      </c>
      <c r="AR33" s="34">
        <f t="shared" si="37"/>
        <v>41790</v>
      </c>
      <c r="AT33" s="24" t="str">
        <f t="array" ref="AT33">IFERROR(IF(MATCH(8,DAY(AL33:AR33),0),AR33,""),"")</f>
        <v/>
      </c>
      <c r="AU33" s="71">
        <f ca="1">IF(AND(AL33&gt;=$AC$4,AL33&lt;=$AU$4),IF(""=IFERROR(INDEX(INDIRECT("Data!C"&amp;$K$5,FALSE),MATCH(AL33,Data!$A:$A,0)),$BX$12),$BX$11,IFERROR(INDEX(INDIRECT("Data!C"&amp;$K$5,FALSE),MATCH(AL33,Data!$A:$A,0)),$BX$12)),"-")</f>
        <v>35</v>
      </c>
      <c r="AV33" s="71">
        <f ca="1">IF(AND(AM33&gt;=$AC$4,AM33&lt;=$AU$4),IF(""=IFERROR(INDEX(INDIRECT("Data!C"&amp;$K$5,FALSE),MATCH(AM33,Data!$A:$A,0)),$BX$12),$BX$11,IFERROR(INDEX(INDIRECT("Data!C"&amp;$K$5,FALSE),MATCH(AM33,Data!$A:$A,0)),$BX$12)),"-")</f>
        <v>410</v>
      </c>
      <c r="AW33" s="71">
        <f ca="1">IF(AND(AN33&gt;=$AC$4,AN33&lt;=$AU$4),IF(""=IFERROR(INDEX(INDIRECT("Data!C"&amp;$K$5,FALSE),MATCH(AN33,Data!$A:$A,0)),$BX$12),$BX$11,IFERROR(INDEX(INDIRECT("Data!C"&amp;$K$5,FALSE),MATCH(AN33,Data!$A:$A,0)),$BX$12)),"-")</f>
        <v>251</v>
      </c>
      <c r="AX33" s="71">
        <f ca="1">IF(AND(AO33&gt;=$AC$4,AO33&lt;=$AU$4),IF(""=IFERROR(INDEX(INDIRECT("Data!C"&amp;$K$5,FALSE),MATCH(AO33,Data!$A:$A,0)),$BX$12),$BX$11,IFERROR(INDEX(INDIRECT("Data!C"&amp;$K$5,FALSE),MATCH(AO33,Data!$A:$A,0)),$BX$12)),"-")</f>
        <v>229</v>
      </c>
      <c r="AY33" s="71">
        <f ca="1">IF(AND(AP33&gt;=$AC$4,AP33&lt;=$AU$4),IF(""=IFERROR(INDEX(INDIRECT("Data!C"&amp;$K$5,FALSE),MATCH(AP33,Data!$A:$A,0)),$BX$12),$BX$11,IFERROR(INDEX(INDIRECT("Data!C"&amp;$K$5,FALSE),MATCH(AP33,Data!$A:$A,0)),$BX$12)),"-")</f>
        <v>318</v>
      </c>
      <c r="AZ33" s="71">
        <f ca="1">IF(AND(AQ33&gt;=$AC$4,AQ33&lt;=$AU$4),IF(""=IFERROR(INDEX(INDIRECT("Data!C"&amp;$K$5,FALSE),MATCH(AQ33,Data!$A:$A,0)),$BX$12),$BX$11,IFERROR(INDEX(INDIRECT("Data!C"&amp;$K$5,FALSE),MATCH(AQ33,Data!$A:$A,0)),$BX$12)),"-")</f>
        <v>241</v>
      </c>
      <c r="BA33" s="71">
        <f ca="1">IF(AND(AR33&gt;=$AC$4,AR33&lt;=$AU$4),IF(""=IFERROR(INDEX(INDIRECT("Data!C"&amp;$K$5,FALSE),MATCH(AR33,Data!$A:$A,0)),$BX$12),$BX$11,IFERROR(INDEX(INDIRECT("Data!C"&amp;$K$5,FALSE),MATCH(AR33,Data!$A:$A,0)),$BX$12)),"-")</f>
        <v>72</v>
      </c>
      <c r="BB33" s="7"/>
      <c r="BD33" s="34">
        <f t="shared" si="51"/>
        <v>42148</v>
      </c>
      <c r="BE33" s="34">
        <f t="shared" si="46"/>
        <v>42149</v>
      </c>
      <c r="BF33" s="34">
        <f t="shared" si="38"/>
        <v>42150</v>
      </c>
      <c r="BG33" s="34">
        <f t="shared" si="39"/>
        <v>42151</v>
      </c>
      <c r="BH33" s="34">
        <f t="shared" si="40"/>
        <v>42152</v>
      </c>
      <c r="BI33" s="34">
        <f t="shared" si="41"/>
        <v>42153</v>
      </c>
      <c r="BJ33" s="34">
        <f t="shared" si="42"/>
        <v>42154</v>
      </c>
      <c r="BL33" s="24" t="str">
        <f t="array" ref="BL33">IFERROR(IF(MATCH(8,DAY(BD33:BJ33),0),BJ33,""),"")</f>
        <v/>
      </c>
      <c r="BM33" s="71">
        <f ca="1">IF(AND(BD33&gt;=$AC$4,BD33&lt;=$AU$4),IF(""=IFERROR(INDEX(INDIRECT("Data!C"&amp;$K$5,FALSE),MATCH(BD33,Data!$A:$A,0)),$BX$12),$BX$11,IFERROR(INDEX(INDIRECT("Data!C"&amp;$K$5,FALSE),MATCH(BD33,Data!$A:$A,0)),$BX$12)),"-")</f>
        <v>34</v>
      </c>
      <c r="BN33" s="71">
        <f ca="1">IF(AND(BE33&gt;=$AC$4,BE33&lt;=$AU$4),IF(""=IFERROR(INDEX(INDIRECT("Data!C"&amp;$K$5,FALSE),MATCH(BE33,Data!$A:$A,0)),$BX$12),$BX$11,IFERROR(INDEX(INDIRECT("Data!C"&amp;$K$5,FALSE),MATCH(BE33,Data!$A:$A,0)),$BX$12)),"-")</f>
        <v>382</v>
      </c>
      <c r="BO33" s="71">
        <f ca="1">IF(AND(BF33&gt;=$AC$4,BF33&lt;=$AU$4),IF(""=IFERROR(INDEX(INDIRECT("Data!C"&amp;$K$5,FALSE),MATCH(BF33,Data!$A:$A,0)),$BX$12),$BX$11,IFERROR(INDEX(INDIRECT("Data!C"&amp;$K$5,FALSE),MATCH(BF33,Data!$A:$A,0)),$BX$12)),"-")</f>
        <v>346</v>
      </c>
      <c r="BP33" s="71">
        <f ca="1">IF(AND(BG33&gt;=$AC$4,BG33&lt;=$AU$4),IF(""=IFERROR(INDEX(INDIRECT("Data!C"&amp;$K$5,FALSE),MATCH(BG33,Data!$A:$A,0)),$BX$12),$BX$11,IFERROR(INDEX(INDIRECT("Data!C"&amp;$K$5,FALSE),MATCH(BG33,Data!$A:$A,0)),$BX$12)),"-")</f>
        <v>277</v>
      </c>
      <c r="BQ33" s="71">
        <f ca="1">IF(AND(BH33&gt;=$AC$4,BH33&lt;=$AU$4),IF(""=IFERROR(INDEX(INDIRECT("Data!C"&amp;$K$5,FALSE),MATCH(BH33,Data!$A:$A,0)),$BX$12),$BX$11,IFERROR(INDEX(INDIRECT("Data!C"&amp;$K$5,FALSE),MATCH(BH33,Data!$A:$A,0)),$BX$12)),"-")</f>
        <v>298</v>
      </c>
      <c r="BR33" s="71">
        <f ca="1">IF(AND(BI33&gt;=$AC$4,BI33&lt;=$AU$4),IF(""=IFERROR(INDEX(INDIRECT("Data!C"&amp;$K$5,FALSE),MATCH(BI33,Data!$A:$A,0)),$BX$12),$BX$11,IFERROR(INDEX(INDIRECT("Data!C"&amp;$K$5,FALSE),MATCH(BI33,Data!$A:$A,0)),$BX$12)),"-")</f>
        <v>241</v>
      </c>
      <c r="BS33" s="71">
        <f ca="1">IF(AND(BJ33&gt;=$AC$4,BJ33&lt;=$AU$4),IF(""=IFERROR(INDEX(INDIRECT("Data!C"&amp;$K$5,FALSE),MATCH(BJ33,Data!$A:$A,0)),$BX$12),$BX$11,IFERROR(INDEX(INDIRECT("Data!C"&amp;$K$5,FALSE),MATCH(BJ33,Data!$A:$A,0)),$BX$12)),"-")</f>
        <v>73</v>
      </c>
      <c r="BT33" s="7"/>
      <c r="BU33" s="58">
        <f t="shared" ca="1" si="47"/>
        <v>230.75</v>
      </c>
    </row>
    <row r="34" spans="2:73" ht="12" customHeight="1" x14ac:dyDescent="0.2">
      <c r="B34" s="34">
        <f t="shared" si="48"/>
        <v>41063</v>
      </c>
      <c r="C34" s="34">
        <f t="shared" si="52"/>
        <v>41064</v>
      </c>
      <c r="D34" s="34">
        <f t="shared" si="52"/>
        <v>41065</v>
      </c>
      <c r="E34" s="34">
        <f t="shared" si="52"/>
        <v>41066</v>
      </c>
      <c r="F34" s="34">
        <f t="shared" si="52"/>
        <v>41067</v>
      </c>
      <c r="G34" s="34">
        <f t="shared" si="52"/>
        <v>41068</v>
      </c>
      <c r="H34" s="34">
        <f t="shared" si="52"/>
        <v>41069</v>
      </c>
      <c r="J34" s="24">
        <f t="array" ref="J34">IFERROR(IF(MATCH(8,DAY(B34:H34),0),H34,""),"")</f>
        <v>41069</v>
      </c>
      <c r="K34" s="71">
        <f ca="1">IF(AND(B34&gt;=$AC$4,B34&lt;=$AU$4),IF(""=IFERROR(INDEX(INDIRECT("Data!C"&amp;$K$5,FALSE),MATCH(B34,Data!$A:$A,0)),$BX$12),$BX$11,IFERROR(INDEX(INDIRECT("Data!C"&amp;$K$5,FALSE),MATCH(B34,Data!$A:$A,0)),$BX$12)),"-")</f>
        <v>48</v>
      </c>
      <c r="L34" s="71">
        <f ca="1">IF(AND(C34&gt;=$AC$4,C34&lt;=$AU$4),IF(""=IFERROR(INDEX(INDIRECT("Data!C"&amp;$K$5,FALSE),MATCH(C34,Data!$A:$A,0)),$BX$12),$BX$11,IFERROR(INDEX(INDIRECT("Data!C"&amp;$K$5,FALSE),MATCH(C34,Data!$A:$A,0)),$BX$12)),"-")</f>
        <v>346</v>
      </c>
      <c r="M34" s="71">
        <f ca="1">IF(AND(D34&gt;=$AC$4,D34&lt;=$AU$4),IF(""=IFERROR(INDEX(INDIRECT("Data!C"&amp;$K$5,FALSE),MATCH(D34,Data!$A:$A,0)),$BX$12),$BX$11,IFERROR(INDEX(INDIRECT("Data!C"&amp;$K$5,FALSE),MATCH(D34,Data!$A:$A,0)),$BX$12)),"-")</f>
        <v>433</v>
      </c>
      <c r="N34" s="71">
        <f ca="1">IF(AND(E34&gt;=$AC$4,E34&lt;=$AU$4),IF(""=IFERROR(INDEX(INDIRECT("Data!C"&amp;$K$5,FALSE),MATCH(E34,Data!$A:$A,0)),$BX$12),$BX$11,IFERROR(INDEX(INDIRECT("Data!C"&amp;$K$5,FALSE),MATCH(E34,Data!$A:$A,0)),$BX$12)),"-")</f>
        <v>335</v>
      </c>
      <c r="O34" s="71">
        <f ca="1">IF(AND(F34&gt;=$AC$4,F34&lt;=$AU$4),IF(""=IFERROR(INDEX(INDIRECT("Data!C"&amp;$K$5,FALSE),MATCH(F34,Data!$A:$A,0)),$BX$12),$BX$11,IFERROR(INDEX(INDIRECT("Data!C"&amp;$K$5,FALSE),MATCH(F34,Data!$A:$A,0)),$BX$12)),"-")</f>
        <v>226</v>
      </c>
      <c r="P34" s="71">
        <f ca="1">IF(AND(G34&gt;=$AC$4,G34&lt;=$AU$4),IF(""=IFERROR(INDEX(INDIRECT("Data!C"&amp;$K$5,FALSE),MATCH(G34,Data!$A:$A,0)),$BX$12),$BX$11,IFERROR(INDEX(INDIRECT("Data!C"&amp;$K$5,FALSE),MATCH(G34,Data!$A:$A,0)),$BX$12)),"-")</f>
        <v>239</v>
      </c>
      <c r="Q34" s="71">
        <f ca="1">IF(AND(H34&gt;=$AC$4,H34&lt;=$AU$4),IF(""=IFERROR(INDEX(INDIRECT("Data!C"&amp;$K$5,FALSE),MATCH(H34,Data!$A:$A,0)),$BX$12),$BX$11,IFERROR(INDEX(INDIRECT("Data!C"&amp;$K$5,FALSE),MATCH(H34,Data!$A:$A,0)),$BX$12)),"-")</f>
        <v>74</v>
      </c>
      <c r="R34" s="7"/>
      <c r="T34" s="34">
        <f t="shared" si="49"/>
        <v>41427</v>
      </c>
      <c r="U34" s="34">
        <f t="shared" si="44"/>
        <v>41428</v>
      </c>
      <c r="V34" s="34">
        <f t="shared" si="28"/>
        <v>41429</v>
      </c>
      <c r="W34" s="34">
        <f t="shared" si="29"/>
        <v>41430</v>
      </c>
      <c r="X34" s="34">
        <f t="shared" si="30"/>
        <v>41431</v>
      </c>
      <c r="Y34" s="34">
        <f t="shared" si="31"/>
        <v>41432</v>
      </c>
      <c r="Z34" s="34">
        <f t="shared" si="32"/>
        <v>41433</v>
      </c>
      <c r="AB34" s="24">
        <f t="array" ref="AB34">IFERROR(IF(MATCH(8,DAY(T34:Z34),0),Z34,""),"")</f>
        <v>41433</v>
      </c>
      <c r="AC34" s="71">
        <f ca="1">IF(AND(T34&gt;=$AC$4,T34&lt;=$AU$4),IF(""=IFERROR(INDEX(INDIRECT("Data!C"&amp;$K$5,FALSE),MATCH(T34,Data!$A:$A,0)),$BX$12),$BX$11,IFERROR(INDEX(INDIRECT("Data!C"&amp;$K$5,FALSE),MATCH(T34,Data!$A:$A,0)),$BX$12)),"-")</f>
        <v>28</v>
      </c>
      <c r="AD34" s="71">
        <f ca="1">IF(AND(U34&gt;=$AC$4,U34&lt;=$AU$4),IF(""=IFERROR(INDEX(INDIRECT("Data!C"&amp;$K$5,FALSE),MATCH(U34,Data!$A:$A,0)),$BX$12),$BX$11,IFERROR(INDEX(INDIRECT("Data!C"&amp;$K$5,FALSE),MATCH(U34,Data!$A:$A,0)),$BX$12)),"-")</f>
        <v>310</v>
      </c>
      <c r="AE34" s="71">
        <f ca="1">IF(AND(V34&gt;=$AC$4,V34&lt;=$AU$4),IF(""=IFERROR(INDEX(INDIRECT("Data!C"&amp;$K$5,FALSE),MATCH(V34,Data!$A:$A,0)),$BX$12),$BX$11,IFERROR(INDEX(INDIRECT("Data!C"&amp;$K$5,FALSE),MATCH(V34,Data!$A:$A,0)),$BX$12)),"-")</f>
        <v>308</v>
      </c>
      <c r="AF34" s="71">
        <f ca="1">IF(AND(W34&gt;=$AC$4,W34&lt;=$AU$4),IF(""=IFERROR(INDEX(INDIRECT("Data!C"&amp;$K$5,FALSE),MATCH(W34,Data!$A:$A,0)),$BX$12),$BX$11,IFERROR(INDEX(INDIRECT("Data!C"&amp;$K$5,FALSE),MATCH(W34,Data!$A:$A,0)),$BX$12)),"-")</f>
        <v>285</v>
      </c>
      <c r="AG34" s="71">
        <f ca="1">IF(AND(X34&gt;=$AC$4,X34&lt;=$AU$4),IF(""=IFERROR(INDEX(INDIRECT("Data!C"&amp;$K$5,FALSE),MATCH(X34,Data!$A:$A,0)),$BX$12),$BX$11,IFERROR(INDEX(INDIRECT("Data!C"&amp;$K$5,FALSE),MATCH(X34,Data!$A:$A,0)),$BX$12)),"-")</f>
        <v>188</v>
      </c>
      <c r="AH34" s="71">
        <f ca="1">IF(AND(Y34&gt;=$AC$4,Y34&lt;=$AU$4),IF(""=IFERROR(INDEX(INDIRECT("Data!C"&amp;$K$5,FALSE),MATCH(Y34,Data!$A:$A,0)),$BX$12),$BX$11,IFERROR(INDEX(INDIRECT("Data!C"&amp;$K$5,FALSE),MATCH(Y34,Data!$A:$A,0)),$BX$12)),"-")</f>
        <v>245</v>
      </c>
      <c r="AI34" s="71">
        <f ca="1">IF(AND(Z34&gt;=$AC$4,Z34&lt;=$AU$4),IF(""=IFERROR(INDEX(INDIRECT("Data!C"&amp;$K$5,FALSE),MATCH(Z34,Data!$A:$A,0)),$BX$12),$BX$11,IFERROR(INDEX(INDIRECT("Data!C"&amp;$K$5,FALSE),MATCH(Z34,Data!$A:$A,0)),$BX$12)),"-")</f>
        <v>69</v>
      </c>
      <c r="AJ34" s="7"/>
      <c r="AL34" s="34">
        <f t="shared" si="50"/>
        <v>41791</v>
      </c>
      <c r="AM34" s="34">
        <f t="shared" si="45"/>
        <v>41792</v>
      </c>
      <c r="AN34" s="34">
        <f t="shared" si="33"/>
        <v>41793</v>
      </c>
      <c r="AO34" s="34">
        <f t="shared" si="34"/>
        <v>41794</v>
      </c>
      <c r="AP34" s="34">
        <f t="shared" si="35"/>
        <v>41795</v>
      </c>
      <c r="AQ34" s="34">
        <f t="shared" si="36"/>
        <v>41796</v>
      </c>
      <c r="AR34" s="34">
        <f t="shared" si="37"/>
        <v>41797</v>
      </c>
      <c r="AT34" s="24" t="str">
        <f t="array" ref="AT34">IFERROR(IF(MATCH(8,DAY(AL34:AR34),0),AR34,""),"")</f>
        <v/>
      </c>
      <c r="AU34" s="71">
        <f ca="1">IF(AND(AL34&gt;=$AC$4,AL34&lt;=$AU$4),IF(""=IFERROR(INDEX(INDIRECT("Data!C"&amp;$K$5,FALSE),MATCH(AL34,Data!$A:$A,0)),$BX$12),$BX$11,IFERROR(INDEX(INDIRECT("Data!C"&amp;$K$5,FALSE),MATCH(AL34,Data!$A:$A,0)),$BX$12)),"-")</f>
        <v>25</v>
      </c>
      <c r="AV34" s="71">
        <f ca="1">IF(AND(AM34&gt;=$AC$4,AM34&lt;=$AU$4),IF(""=IFERROR(INDEX(INDIRECT("Data!C"&amp;$K$5,FALSE),MATCH(AM34,Data!$A:$A,0)),$BX$12),$BX$11,IFERROR(INDEX(INDIRECT("Data!C"&amp;$K$5,FALSE),MATCH(AM34,Data!$A:$A,0)),$BX$12)),"-")</f>
        <v>400</v>
      </c>
      <c r="AW34" s="71">
        <f ca="1">IF(AND(AN34&gt;=$AC$4,AN34&lt;=$AU$4),IF(""=IFERROR(INDEX(INDIRECT("Data!C"&amp;$K$5,FALSE),MATCH(AN34,Data!$A:$A,0)),$BX$12),$BX$11,IFERROR(INDEX(INDIRECT("Data!C"&amp;$K$5,FALSE),MATCH(AN34,Data!$A:$A,0)),$BX$12)),"-")</f>
        <v>383</v>
      </c>
      <c r="AX34" s="71">
        <f ca="1">IF(AND(AO34&gt;=$AC$4,AO34&lt;=$AU$4),IF(""=IFERROR(INDEX(INDIRECT("Data!C"&amp;$K$5,FALSE),MATCH(AO34,Data!$A:$A,0)),$BX$12),$BX$11,IFERROR(INDEX(INDIRECT("Data!C"&amp;$K$5,FALSE),MATCH(AO34,Data!$A:$A,0)),$BX$12)),"-")</f>
        <v>195</v>
      </c>
      <c r="AY34" s="71">
        <f ca="1">IF(AND(AP34&gt;=$AC$4,AP34&lt;=$AU$4),IF(""=IFERROR(INDEX(INDIRECT("Data!C"&amp;$K$5,FALSE),MATCH(AP34,Data!$A:$A,0)),$BX$12),$BX$11,IFERROR(INDEX(INDIRECT("Data!C"&amp;$K$5,FALSE),MATCH(AP34,Data!$A:$A,0)),$BX$12)),"-")</f>
        <v>213</v>
      </c>
      <c r="AZ34" s="71">
        <f ca="1">IF(AND(AQ34&gt;=$AC$4,AQ34&lt;=$AU$4),IF(""=IFERROR(INDEX(INDIRECT("Data!C"&amp;$K$5,FALSE),MATCH(AQ34,Data!$A:$A,0)),$BX$12),$BX$11,IFERROR(INDEX(INDIRECT("Data!C"&amp;$K$5,FALSE),MATCH(AQ34,Data!$A:$A,0)),$BX$12)),"-")</f>
        <v>142</v>
      </c>
      <c r="BA34" s="71">
        <f ca="1">IF(AND(AR34&gt;=$AC$4,AR34&lt;=$AU$4),IF(""=IFERROR(INDEX(INDIRECT("Data!C"&amp;$K$5,FALSE),MATCH(AR34,Data!$A:$A,0)),$BX$12),$BX$11,IFERROR(INDEX(INDIRECT("Data!C"&amp;$K$5,FALSE),MATCH(AR34,Data!$A:$A,0)),$BX$12)),"-")</f>
        <v>52</v>
      </c>
      <c r="BB34" s="7"/>
      <c r="BD34" s="34">
        <f t="shared" si="51"/>
        <v>42155</v>
      </c>
      <c r="BE34" s="34">
        <f t="shared" si="46"/>
        <v>42156</v>
      </c>
      <c r="BF34" s="34">
        <f t="shared" si="38"/>
        <v>42157</v>
      </c>
      <c r="BG34" s="34">
        <f t="shared" si="39"/>
        <v>42158</v>
      </c>
      <c r="BH34" s="34">
        <f t="shared" si="40"/>
        <v>42159</v>
      </c>
      <c r="BI34" s="34">
        <f t="shared" si="41"/>
        <v>42160</v>
      </c>
      <c r="BJ34" s="34">
        <f t="shared" si="42"/>
        <v>42161</v>
      </c>
      <c r="BL34" s="24" t="str">
        <f t="array" ref="BL34">IFERROR(IF(MATCH(8,DAY(BD34:BJ34),0),BJ34,""),"")</f>
        <v/>
      </c>
      <c r="BM34" s="71">
        <f ca="1">IF(AND(BD34&gt;=$AC$4,BD34&lt;=$AU$4),IF(""=IFERROR(INDEX(INDIRECT("Data!C"&amp;$K$5,FALSE),MATCH(BD34,Data!$A:$A,0)),$BX$12),$BX$11,IFERROR(INDEX(INDIRECT("Data!C"&amp;$K$5,FALSE),MATCH(BD34,Data!$A:$A,0)),$BX$12)),"-")</f>
        <v>41</v>
      </c>
      <c r="BN34" s="71">
        <f ca="1">IF(AND(BE34&gt;=$AC$4,BE34&lt;=$AU$4),IF(""=IFERROR(INDEX(INDIRECT("Data!C"&amp;$K$5,FALSE),MATCH(BE34,Data!$A:$A,0)),$BX$12),$BX$11,IFERROR(INDEX(INDIRECT("Data!C"&amp;$K$5,FALSE),MATCH(BE34,Data!$A:$A,0)),$BX$12)),"-")</f>
        <v>280</v>
      </c>
      <c r="BO34" s="71">
        <f ca="1">IF(AND(BF34&gt;=$AC$4,BF34&lt;=$AU$4),IF(""=IFERROR(INDEX(INDIRECT("Data!C"&amp;$K$5,FALSE),MATCH(BF34,Data!$A:$A,0)),$BX$12),$BX$11,IFERROR(INDEX(INDIRECT("Data!C"&amp;$K$5,FALSE),MATCH(BF34,Data!$A:$A,0)),$BX$12)),"-")</f>
        <v>323</v>
      </c>
      <c r="BP34" s="71">
        <f ca="1">IF(AND(BG34&gt;=$AC$4,BG34&lt;=$AU$4),IF(""=IFERROR(INDEX(INDIRECT("Data!C"&amp;$K$5,FALSE),MATCH(BG34,Data!$A:$A,0)),$BX$12),$BX$11,IFERROR(INDEX(INDIRECT("Data!C"&amp;$K$5,FALSE),MATCH(BG34,Data!$A:$A,0)),$BX$12)),"-")</f>
        <v>216</v>
      </c>
      <c r="BQ34" s="71">
        <f ca="1">IF(AND(BH34&gt;=$AC$4,BH34&lt;=$AU$4),IF(""=IFERROR(INDEX(INDIRECT("Data!C"&amp;$K$5,FALSE),MATCH(BH34,Data!$A:$A,0)),$BX$12),$BX$11,IFERROR(INDEX(INDIRECT("Data!C"&amp;$K$5,FALSE),MATCH(BH34,Data!$A:$A,0)),$BX$12)),"-")</f>
        <v>171</v>
      </c>
      <c r="BR34" s="71">
        <f ca="1">IF(AND(BI34&gt;=$AC$4,BI34&lt;=$AU$4),IF(""=IFERROR(INDEX(INDIRECT("Data!C"&amp;$K$5,FALSE),MATCH(BI34,Data!$A:$A,0)),$BX$12),$BX$11,IFERROR(INDEX(INDIRECT("Data!C"&amp;$K$5,FALSE),MATCH(BI34,Data!$A:$A,0)),$BX$12)),"-")</f>
        <v>142</v>
      </c>
      <c r="BS34" s="71">
        <f ca="1">IF(AND(BJ34&gt;=$AC$4,BJ34&lt;=$AU$4),IF(""=IFERROR(INDEX(INDIRECT("Data!C"&amp;$K$5,FALSE),MATCH(BJ34,Data!$A:$A,0)),$BX$12),$BX$11,IFERROR(INDEX(INDIRECT("Data!C"&amp;$K$5,FALSE),MATCH(BJ34,Data!$A:$A,0)),$BX$12)),"-")</f>
        <v>71</v>
      </c>
      <c r="BT34" s="7"/>
      <c r="BU34" s="58">
        <f t="shared" ca="1" si="47"/>
        <v>206.71428571428572</v>
      </c>
    </row>
    <row r="35" spans="2:73" ht="12" customHeight="1" x14ac:dyDescent="0.2">
      <c r="B35" s="34">
        <f t="shared" si="48"/>
        <v>41070</v>
      </c>
      <c r="C35" s="34">
        <f t="shared" si="52"/>
        <v>41071</v>
      </c>
      <c r="D35" s="34">
        <f t="shared" si="52"/>
        <v>41072</v>
      </c>
      <c r="E35" s="34">
        <f t="shared" si="52"/>
        <v>41073</v>
      </c>
      <c r="F35" s="34">
        <f t="shared" si="52"/>
        <v>41074</v>
      </c>
      <c r="G35" s="34">
        <f t="shared" si="52"/>
        <v>41075</v>
      </c>
      <c r="H35" s="34">
        <f t="shared" si="52"/>
        <v>41076</v>
      </c>
      <c r="J35" s="24" t="str">
        <f t="array" ref="J35">IFERROR(IF(MATCH(8,DAY(B35:H35),0),H35,""),"")</f>
        <v/>
      </c>
      <c r="K35" s="71">
        <f ca="1">IF(AND(B35&gt;=$AC$4,B35&lt;=$AU$4),IF(""=IFERROR(INDEX(INDIRECT("Data!C"&amp;$K$5,FALSE),MATCH(B35,Data!$A:$A,0)),$BX$12),$BX$11,IFERROR(INDEX(INDIRECT("Data!C"&amp;$K$5,FALSE),MATCH(B35,Data!$A:$A,0)),$BX$12)),"-")</f>
        <v>31</v>
      </c>
      <c r="L35" s="71">
        <f ca="1">IF(AND(C35&gt;=$AC$4,C35&lt;=$AU$4),IF(""=IFERROR(INDEX(INDIRECT("Data!C"&amp;$K$5,FALSE),MATCH(C35,Data!$A:$A,0)),$BX$12),$BX$11,IFERROR(INDEX(INDIRECT("Data!C"&amp;$K$5,FALSE),MATCH(C35,Data!$A:$A,0)),$BX$12)),"-")</f>
        <v>315</v>
      </c>
      <c r="M35" s="71">
        <f ca="1">IF(AND(D35&gt;=$AC$4,D35&lt;=$AU$4),IF(""=IFERROR(INDEX(INDIRECT("Data!C"&amp;$K$5,FALSE),MATCH(D35,Data!$A:$A,0)),$BX$12),$BX$11,IFERROR(INDEX(INDIRECT("Data!C"&amp;$K$5,FALSE),MATCH(D35,Data!$A:$A,0)),$BX$12)),"-")</f>
        <v>289</v>
      </c>
      <c r="N35" s="71">
        <f ca="1">IF(AND(E35&gt;=$AC$4,E35&lt;=$AU$4),IF(""=IFERROR(INDEX(INDIRECT("Data!C"&amp;$K$5,FALSE),MATCH(E35,Data!$A:$A,0)),$BX$12),$BX$11,IFERROR(INDEX(INDIRECT("Data!C"&amp;$K$5,FALSE),MATCH(E35,Data!$A:$A,0)),$BX$12)),"-")</f>
        <v>306</v>
      </c>
      <c r="O35" s="71">
        <f ca="1">IF(AND(F35&gt;=$AC$4,F35&lt;=$AU$4),IF(""=IFERROR(INDEX(INDIRECT("Data!C"&amp;$K$5,FALSE),MATCH(F35,Data!$A:$A,0)),$BX$12),$BX$11,IFERROR(INDEX(INDIRECT("Data!C"&amp;$K$5,FALSE),MATCH(F35,Data!$A:$A,0)),$BX$12)),"-")</f>
        <v>293</v>
      </c>
      <c r="P35" s="71">
        <f ca="1">IF(AND(G35&gt;=$AC$4,G35&lt;=$AU$4),IF(""=IFERROR(INDEX(INDIRECT("Data!C"&amp;$K$5,FALSE),MATCH(G35,Data!$A:$A,0)),$BX$12),$BX$11,IFERROR(INDEX(INDIRECT("Data!C"&amp;$K$5,FALSE),MATCH(G35,Data!$A:$A,0)),$BX$12)),"-")</f>
        <v>179</v>
      </c>
      <c r="Q35" s="71">
        <f ca="1">IF(AND(H35&gt;=$AC$4,H35&lt;=$AU$4),IF(""=IFERROR(INDEX(INDIRECT("Data!C"&amp;$K$5,FALSE),MATCH(H35,Data!$A:$A,0)),$BX$12),$BX$11,IFERROR(INDEX(INDIRECT("Data!C"&amp;$K$5,FALSE),MATCH(H35,Data!$A:$A,0)),$BX$12)),"-")</f>
        <v>74</v>
      </c>
      <c r="R35" s="7"/>
      <c r="T35" s="34">
        <f t="shared" si="49"/>
        <v>41434</v>
      </c>
      <c r="U35" s="34">
        <f t="shared" si="44"/>
        <v>41435</v>
      </c>
      <c r="V35" s="34">
        <f t="shared" si="28"/>
        <v>41436</v>
      </c>
      <c r="W35" s="34">
        <f t="shared" si="29"/>
        <v>41437</v>
      </c>
      <c r="X35" s="34">
        <f t="shared" si="30"/>
        <v>41438</v>
      </c>
      <c r="Y35" s="34">
        <f t="shared" si="31"/>
        <v>41439</v>
      </c>
      <c r="Z35" s="34">
        <f t="shared" si="32"/>
        <v>41440</v>
      </c>
      <c r="AB35" s="24" t="str">
        <f t="array" ref="AB35">IFERROR(IF(MATCH(8,DAY(T35:Z35),0),Z35,""),"")</f>
        <v/>
      </c>
      <c r="AC35" s="71">
        <f ca="1">IF(AND(T35&gt;=$AC$4,T35&lt;=$AU$4),IF(""=IFERROR(INDEX(INDIRECT("Data!C"&amp;$K$5,FALSE),MATCH(T35,Data!$A:$A,0)),$BX$12),$BX$11,IFERROR(INDEX(INDIRECT("Data!C"&amp;$K$5,FALSE),MATCH(T35,Data!$A:$A,0)),$BX$12)),"-")</f>
        <v>41</v>
      </c>
      <c r="AD35" s="71">
        <f ca="1">IF(AND(U35&gt;=$AC$4,U35&lt;=$AU$4),IF(""=IFERROR(INDEX(INDIRECT("Data!C"&amp;$K$5,FALSE),MATCH(U35,Data!$A:$A,0)),$BX$12),$BX$11,IFERROR(INDEX(INDIRECT("Data!C"&amp;$K$5,FALSE),MATCH(U35,Data!$A:$A,0)),$BX$12)),"-")</f>
        <v>227</v>
      </c>
      <c r="AE35" s="71">
        <f ca="1">IF(AND(V35&gt;=$AC$4,V35&lt;=$AU$4),IF(""=IFERROR(INDEX(INDIRECT("Data!C"&amp;$K$5,FALSE),MATCH(V35,Data!$A:$A,0)),$BX$12),$BX$11,IFERROR(INDEX(INDIRECT("Data!C"&amp;$K$5,FALSE),MATCH(V35,Data!$A:$A,0)),$BX$12)),"-")</f>
        <v>216</v>
      </c>
      <c r="AF35" s="71">
        <f ca="1">IF(AND(W35&gt;=$AC$4,W35&lt;=$AU$4),IF(""=IFERROR(INDEX(INDIRECT("Data!C"&amp;$K$5,FALSE),MATCH(W35,Data!$A:$A,0)),$BX$12),$BX$11,IFERROR(INDEX(INDIRECT("Data!C"&amp;$K$5,FALSE),MATCH(W35,Data!$A:$A,0)),$BX$12)),"-")</f>
        <v>171</v>
      </c>
      <c r="AG35" s="71">
        <f ca="1">IF(AND(X35&gt;=$AC$4,X35&lt;=$AU$4),IF(""=IFERROR(INDEX(INDIRECT("Data!C"&amp;$K$5,FALSE),MATCH(X35,Data!$A:$A,0)),$BX$12),$BX$11,IFERROR(INDEX(INDIRECT("Data!C"&amp;$K$5,FALSE),MATCH(X35,Data!$A:$A,0)),$BX$12)),"-")</f>
        <v>153</v>
      </c>
      <c r="AH35" s="71">
        <f ca="1">IF(AND(Y35&gt;=$AC$4,Y35&lt;=$AU$4),IF(""=IFERROR(INDEX(INDIRECT("Data!C"&amp;$K$5,FALSE),MATCH(Y35,Data!$A:$A,0)),$BX$12),$BX$11,IFERROR(INDEX(INDIRECT("Data!C"&amp;$K$5,FALSE),MATCH(Y35,Data!$A:$A,0)),$BX$12)),"-")</f>
        <v>236</v>
      </c>
      <c r="AI35" s="71">
        <f ca="1">IF(AND(Z35&gt;=$AC$4,Z35&lt;=$AU$4),IF(""=IFERROR(INDEX(INDIRECT("Data!C"&amp;$K$5,FALSE),MATCH(Z35,Data!$A:$A,0)),$BX$12),$BX$11,IFERROR(INDEX(INDIRECT("Data!C"&amp;$K$5,FALSE),MATCH(Z35,Data!$A:$A,0)),$BX$12)),"-")</f>
        <v>59</v>
      </c>
      <c r="AJ35" s="7"/>
      <c r="AL35" s="34">
        <f t="shared" si="50"/>
        <v>41798</v>
      </c>
      <c r="AM35" s="34">
        <f t="shared" si="45"/>
        <v>41799</v>
      </c>
      <c r="AN35" s="34">
        <f t="shared" si="33"/>
        <v>41800</v>
      </c>
      <c r="AO35" s="34">
        <f t="shared" si="34"/>
        <v>41801</v>
      </c>
      <c r="AP35" s="34">
        <f t="shared" si="35"/>
        <v>41802</v>
      </c>
      <c r="AQ35" s="34">
        <f t="shared" si="36"/>
        <v>41803</v>
      </c>
      <c r="AR35" s="34">
        <f t="shared" si="37"/>
        <v>41804</v>
      </c>
      <c r="AT35" s="24">
        <f t="array" ref="AT35">IFERROR(IF(MATCH(8,DAY(AL35:AR35),0),AR35,""),"")</f>
        <v>41804</v>
      </c>
      <c r="AU35" s="71">
        <f ca="1">IF(AND(AL35&gt;=$AC$4,AL35&lt;=$AU$4),IF(""=IFERROR(INDEX(INDIRECT("Data!C"&amp;$K$5,FALSE),MATCH(AL35,Data!$A:$A,0)),$BX$12),$BX$11,IFERROR(INDEX(INDIRECT("Data!C"&amp;$K$5,FALSE),MATCH(AL35,Data!$A:$A,0)),$BX$12)),"-")</f>
        <v>40</v>
      </c>
      <c r="AV35" s="71">
        <f ca="1">IF(AND(AM35&gt;=$AC$4,AM35&lt;=$AU$4),IF(""=IFERROR(INDEX(INDIRECT("Data!C"&amp;$K$5,FALSE),MATCH(AM35,Data!$A:$A,0)),$BX$12),$BX$11,IFERROR(INDEX(INDIRECT("Data!C"&amp;$K$5,FALSE),MATCH(AM35,Data!$A:$A,0)),$BX$12)),"-")</f>
        <v>355</v>
      </c>
      <c r="AW35" s="71">
        <f ca="1">IF(AND(AN35&gt;=$AC$4,AN35&lt;=$AU$4),IF(""=IFERROR(INDEX(INDIRECT("Data!C"&amp;$K$5,FALSE),MATCH(AN35,Data!$A:$A,0)),$BX$12),$BX$11,IFERROR(INDEX(INDIRECT("Data!C"&amp;$K$5,FALSE),MATCH(AN35,Data!$A:$A,0)),$BX$12)),"-")</f>
        <v>234</v>
      </c>
      <c r="AX35" s="71">
        <f ca="1">IF(AND(AO35&gt;=$AC$4,AO35&lt;=$AU$4),IF(""=IFERROR(INDEX(INDIRECT("Data!C"&amp;$K$5,FALSE),MATCH(AO35,Data!$A:$A,0)),$BX$12),$BX$11,IFERROR(INDEX(INDIRECT("Data!C"&amp;$K$5,FALSE),MATCH(AO35,Data!$A:$A,0)),$BX$12)),"-")</f>
        <v>204</v>
      </c>
      <c r="AY35" s="71">
        <f ca="1">IF(AND(AP35&gt;=$AC$4,AP35&lt;=$AU$4),IF(""=IFERROR(INDEX(INDIRECT("Data!C"&amp;$K$5,FALSE),MATCH(AP35,Data!$A:$A,0)),$BX$12),$BX$11,IFERROR(INDEX(INDIRECT("Data!C"&amp;$K$5,FALSE),MATCH(AP35,Data!$A:$A,0)),$BX$12)),"-")</f>
        <v>218</v>
      </c>
      <c r="AZ35" s="71">
        <f ca="1">IF(AND(AQ35&gt;=$AC$4,AQ35&lt;=$AU$4),IF(""=IFERROR(INDEX(INDIRECT("Data!C"&amp;$K$5,FALSE),MATCH(AQ35,Data!$A:$A,0)),$BX$12),$BX$11,IFERROR(INDEX(INDIRECT("Data!C"&amp;$K$5,FALSE),MATCH(AQ35,Data!$A:$A,0)),$BX$12)),"-")</f>
        <v>153</v>
      </c>
      <c r="BA35" s="71">
        <f ca="1">IF(AND(AR35&gt;=$AC$4,AR35&lt;=$AU$4),IF(""=IFERROR(INDEX(INDIRECT("Data!C"&amp;$K$5,FALSE),MATCH(AR35,Data!$A:$A,0)),$BX$12),$BX$11,IFERROR(INDEX(INDIRECT("Data!C"&amp;$K$5,FALSE),MATCH(AR35,Data!$A:$A,0)),$BX$12)),"-")</f>
        <v>68</v>
      </c>
      <c r="BB35" s="7"/>
      <c r="BD35" s="34">
        <f t="shared" si="51"/>
        <v>42162</v>
      </c>
      <c r="BE35" s="34">
        <f t="shared" si="46"/>
        <v>42163</v>
      </c>
      <c r="BF35" s="34">
        <f t="shared" si="38"/>
        <v>42164</v>
      </c>
      <c r="BG35" s="34">
        <f t="shared" si="39"/>
        <v>42165</v>
      </c>
      <c r="BH35" s="34">
        <f t="shared" si="40"/>
        <v>42166</v>
      </c>
      <c r="BI35" s="34">
        <f t="shared" si="41"/>
        <v>42167</v>
      </c>
      <c r="BJ35" s="34">
        <f t="shared" si="42"/>
        <v>42168</v>
      </c>
      <c r="BL35" s="24">
        <f t="array" ref="BL35">IFERROR(IF(MATCH(8,DAY(BD35:BJ35),0),BJ35,""),"")</f>
        <v>42168</v>
      </c>
      <c r="BM35" s="71">
        <f ca="1">IF(AND(BD35&gt;=$AC$4,BD35&lt;=$AU$4),IF(""=IFERROR(INDEX(INDIRECT("Data!C"&amp;$K$5,FALSE),MATCH(BD35,Data!$A:$A,0)),$BX$12),$BX$11,IFERROR(INDEX(INDIRECT("Data!C"&amp;$K$5,FALSE),MATCH(BD35,Data!$A:$A,0)),$BX$12)),"-")</f>
        <v>18</v>
      </c>
      <c r="BN35" s="71">
        <f ca="1">IF(AND(BE35&gt;=$AC$4,BE35&lt;=$AU$4),IF(""=IFERROR(INDEX(INDIRECT("Data!C"&amp;$K$5,FALSE),MATCH(BE35,Data!$A:$A,0)),$BX$12),$BX$11,IFERROR(INDEX(INDIRECT("Data!C"&amp;$K$5,FALSE),MATCH(BE35,Data!$A:$A,0)),$BX$12)),"-")</f>
        <v>342</v>
      </c>
      <c r="BO35" s="71">
        <f ca="1">IF(AND(BF35&gt;=$AC$4,BF35&lt;=$AU$4),IF(""=IFERROR(INDEX(INDIRECT("Data!C"&amp;$K$5,FALSE),MATCH(BF35,Data!$A:$A,0)),$BX$12),$BX$11,IFERROR(INDEX(INDIRECT("Data!C"&amp;$K$5,FALSE),MATCH(BF35,Data!$A:$A,0)),$BX$12)),"-")</f>
        <v>259</v>
      </c>
      <c r="BP35" s="71">
        <f ca="1">IF(AND(BG35&gt;=$AC$4,BG35&lt;=$AU$4),IF(""=IFERROR(INDEX(INDIRECT("Data!C"&amp;$K$5,FALSE),MATCH(BG35,Data!$A:$A,0)),$BX$12),$BX$11,IFERROR(INDEX(INDIRECT("Data!C"&amp;$K$5,FALSE),MATCH(BG35,Data!$A:$A,0)),$BX$12)),"-")</f>
        <v>280</v>
      </c>
      <c r="BQ35" s="71">
        <f ca="1">IF(AND(BH35&gt;=$AC$4,BH35&lt;=$AU$4),IF(""=IFERROR(INDEX(INDIRECT("Data!C"&amp;$K$5,FALSE),MATCH(BH35,Data!$A:$A,0)),$BX$12),$BX$11,IFERROR(INDEX(INDIRECT("Data!C"&amp;$K$5,FALSE),MATCH(BH35,Data!$A:$A,0)),$BX$12)),"-")</f>
        <v>123</v>
      </c>
      <c r="BR35" s="71">
        <f ca="1">IF(AND(BI35&gt;=$AC$4,BI35&lt;=$AU$4),IF(""=IFERROR(INDEX(INDIRECT("Data!C"&amp;$K$5,FALSE),MATCH(BI35,Data!$A:$A,0)),$BX$12),$BX$11,IFERROR(INDEX(INDIRECT("Data!C"&amp;$K$5,FALSE),MATCH(BI35,Data!$A:$A,0)),$BX$12)),"-")</f>
        <v>186</v>
      </c>
      <c r="BS35" s="71">
        <f ca="1">IF(AND(BJ35&gt;=$AC$4,BJ35&lt;=$AU$4),IF(""=IFERROR(INDEX(INDIRECT("Data!C"&amp;$K$5,FALSE),MATCH(BJ35,Data!$A:$A,0)),$BX$12),$BX$11,IFERROR(INDEX(INDIRECT("Data!C"&amp;$K$5,FALSE),MATCH(BJ35,Data!$A:$A,0)),$BX$12)),"-")</f>
        <v>30</v>
      </c>
      <c r="BT35" s="7"/>
      <c r="BU35" s="58">
        <f t="shared" ca="1" si="47"/>
        <v>182.14285714285714</v>
      </c>
    </row>
    <row r="36" spans="2:73" ht="12" customHeight="1" x14ac:dyDescent="0.2">
      <c r="B36" s="34">
        <f t="shared" si="48"/>
        <v>41077</v>
      </c>
      <c r="C36" s="34">
        <f t="shared" si="52"/>
        <v>41078</v>
      </c>
      <c r="D36" s="34">
        <f t="shared" si="52"/>
        <v>41079</v>
      </c>
      <c r="E36" s="34">
        <f t="shared" si="52"/>
        <v>41080</v>
      </c>
      <c r="F36" s="34">
        <f t="shared" si="52"/>
        <v>41081</v>
      </c>
      <c r="G36" s="34">
        <f t="shared" si="52"/>
        <v>41082</v>
      </c>
      <c r="H36" s="34">
        <f t="shared" si="52"/>
        <v>41083</v>
      </c>
      <c r="J36" s="24" t="str">
        <f t="array" ref="J36">IFERROR(IF(MATCH(8,DAY(B36:H36),0),H36,""),"")</f>
        <v/>
      </c>
      <c r="K36" s="71">
        <f ca="1">IF(AND(B36&gt;=$AC$4,B36&lt;=$AU$4),IF(""=IFERROR(INDEX(INDIRECT("Data!C"&amp;$K$5,FALSE),MATCH(B36,Data!$A:$A,0)),$BX$12),$BX$11,IFERROR(INDEX(INDIRECT("Data!C"&amp;$K$5,FALSE),MATCH(B36,Data!$A:$A,0)),$BX$12)),"-")</f>
        <v>22</v>
      </c>
      <c r="L36" s="71">
        <f ca="1">IF(AND(C36&gt;=$AC$4,C36&lt;=$AU$4),IF(""=IFERROR(INDEX(INDIRECT("Data!C"&amp;$K$5,FALSE),MATCH(C36,Data!$A:$A,0)),$BX$12),$BX$11,IFERROR(INDEX(INDIRECT("Data!C"&amp;$K$5,FALSE),MATCH(C36,Data!$A:$A,0)),$BX$12)),"-")</f>
        <v>216</v>
      </c>
      <c r="M36" s="71">
        <f ca="1">IF(AND(D36&gt;=$AC$4,D36&lt;=$AU$4),IF(""=IFERROR(INDEX(INDIRECT("Data!C"&amp;$K$5,FALSE),MATCH(D36,Data!$A:$A,0)),$BX$12),$BX$11,IFERROR(INDEX(INDIRECT("Data!C"&amp;$K$5,FALSE),MATCH(D36,Data!$A:$A,0)),$BX$12)),"-")</f>
        <v>231</v>
      </c>
      <c r="N36" s="71">
        <f ca="1">IF(AND(E36&gt;=$AC$4,E36&lt;=$AU$4),IF(""=IFERROR(INDEX(INDIRECT("Data!C"&amp;$K$5,FALSE),MATCH(E36,Data!$A:$A,0)),$BX$12),$BX$11,IFERROR(INDEX(INDIRECT("Data!C"&amp;$K$5,FALSE),MATCH(E36,Data!$A:$A,0)),$BX$12)),"-")</f>
        <v>218</v>
      </c>
      <c r="O36" s="71">
        <f ca="1">IF(AND(F36&gt;=$AC$4,F36&lt;=$AU$4),IF(""=IFERROR(INDEX(INDIRECT("Data!C"&amp;$K$5,FALSE),MATCH(F36,Data!$A:$A,0)),$BX$12),$BX$11,IFERROR(INDEX(INDIRECT("Data!C"&amp;$K$5,FALSE),MATCH(F36,Data!$A:$A,0)),$BX$12)),"-")</f>
        <v>254</v>
      </c>
      <c r="P36" s="71">
        <f ca="1">IF(AND(G36&gt;=$AC$4,G36&lt;=$AU$4),IF(""=IFERROR(INDEX(INDIRECT("Data!C"&amp;$K$5,FALSE),MATCH(G36,Data!$A:$A,0)),$BX$12),$BX$11,IFERROR(INDEX(INDIRECT("Data!C"&amp;$K$5,FALSE),MATCH(G36,Data!$A:$A,0)),$BX$12)),"-")</f>
        <v>118</v>
      </c>
      <c r="Q36" s="71">
        <f ca="1">IF(AND(H36&gt;=$AC$4,H36&lt;=$AU$4),IF(""=IFERROR(INDEX(INDIRECT("Data!C"&amp;$K$5,FALSE),MATCH(H36,Data!$A:$A,0)),$BX$12),$BX$11,IFERROR(INDEX(INDIRECT("Data!C"&amp;$K$5,FALSE),MATCH(H36,Data!$A:$A,0)),$BX$12)),"-")</f>
        <v>55</v>
      </c>
      <c r="R36" s="7"/>
      <c r="T36" s="34">
        <f t="shared" si="49"/>
        <v>41441</v>
      </c>
      <c r="U36" s="34">
        <f t="shared" si="44"/>
        <v>41442</v>
      </c>
      <c r="V36" s="34">
        <f t="shared" si="28"/>
        <v>41443</v>
      </c>
      <c r="W36" s="34">
        <f t="shared" si="29"/>
        <v>41444</v>
      </c>
      <c r="X36" s="34">
        <f t="shared" si="30"/>
        <v>41445</v>
      </c>
      <c r="Y36" s="34">
        <f t="shared" si="31"/>
        <v>41446</v>
      </c>
      <c r="Z36" s="34">
        <f t="shared" si="32"/>
        <v>41447</v>
      </c>
      <c r="AB36" s="24" t="str">
        <f t="array" ref="AB36">IFERROR(IF(MATCH(8,DAY(T36:Z36),0),Z36,""),"")</f>
        <v/>
      </c>
      <c r="AC36" s="71">
        <f ca="1">IF(AND(T36&gt;=$AC$4,T36&lt;=$AU$4),IF(""=IFERROR(INDEX(INDIRECT("Data!C"&amp;$K$5,FALSE),MATCH(T36,Data!$A:$A,0)),$BX$12),$BX$11,IFERROR(INDEX(INDIRECT("Data!C"&amp;$K$5,FALSE),MATCH(T36,Data!$A:$A,0)),$BX$12)),"-")</f>
        <v>32</v>
      </c>
      <c r="AD36" s="71">
        <f ca="1">IF(AND(U36&gt;=$AC$4,U36&lt;=$AU$4),IF(""=IFERROR(INDEX(INDIRECT("Data!C"&amp;$K$5,FALSE),MATCH(U36,Data!$A:$A,0)),$BX$12),$BX$11,IFERROR(INDEX(INDIRECT("Data!C"&amp;$K$5,FALSE),MATCH(U36,Data!$A:$A,0)),$BX$12)),"-")</f>
        <v>378</v>
      </c>
      <c r="AE36" s="71">
        <f ca="1">IF(AND(V36&gt;=$AC$4,V36&lt;=$AU$4),IF(""=IFERROR(INDEX(INDIRECT("Data!C"&amp;$K$5,FALSE),MATCH(V36,Data!$A:$A,0)),$BX$12),$BX$11,IFERROR(INDEX(INDIRECT("Data!C"&amp;$K$5,FALSE),MATCH(V36,Data!$A:$A,0)),$BX$12)),"-")</f>
        <v>246</v>
      </c>
      <c r="AF36" s="71">
        <f ca="1">IF(AND(W36&gt;=$AC$4,W36&lt;=$AU$4),IF(""=IFERROR(INDEX(INDIRECT("Data!C"&amp;$K$5,FALSE),MATCH(W36,Data!$A:$A,0)),$BX$12),$BX$11,IFERROR(INDEX(INDIRECT("Data!C"&amp;$K$5,FALSE),MATCH(W36,Data!$A:$A,0)),$BX$12)),"-")</f>
        <v>171</v>
      </c>
      <c r="AG36" s="71">
        <f ca="1">IF(AND(X36&gt;=$AC$4,X36&lt;=$AU$4),IF(""=IFERROR(INDEX(INDIRECT("Data!C"&amp;$K$5,FALSE),MATCH(X36,Data!$A:$A,0)),$BX$12),$BX$11,IFERROR(INDEX(INDIRECT("Data!C"&amp;$K$5,FALSE),MATCH(X36,Data!$A:$A,0)),$BX$12)),"-")</f>
        <v>151</v>
      </c>
      <c r="AH36" s="71">
        <f ca="1">IF(AND(Y36&gt;=$AC$4,Y36&lt;=$AU$4),IF(""=IFERROR(INDEX(INDIRECT("Data!C"&amp;$K$5,FALSE),MATCH(Y36,Data!$A:$A,0)),$BX$12),$BX$11,IFERROR(INDEX(INDIRECT("Data!C"&amp;$K$5,FALSE),MATCH(Y36,Data!$A:$A,0)),$BX$12)),"-")</f>
        <v>108</v>
      </c>
      <c r="AI36" s="71">
        <f ca="1">IF(AND(Z36&gt;=$AC$4,Z36&lt;=$AU$4),IF(""=IFERROR(INDEX(INDIRECT("Data!C"&amp;$K$5,FALSE),MATCH(Z36,Data!$A:$A,0)),$BX$12),$BX$11,IFERROR(INDEX(INDIRECT("Data!C"&amp;$K$5,FALSE),MATCH(Z36,Data!$A:$A,0)),$BX$12)),"-")</f>
        <v>39</v>
      </c>
      <c r="AJ36" s="7"/>
      <c r="AL36" s="34">
        <f t="shared" si="50"/>
        <v>41805</v>
      </c>
      <c r="AM36" s="34">
        <f t="shared" si="45"/>
        <v>41806</v>
      </c>
      <c r="AN36" s="34">
        <f t="shared" si="33"/>
        <v>41807</v>
      </c>
      <c r="AO36" s="34">
        <f t="shared" si="34"/>
        <v>41808</v>
      </c>
      <c r="AP36" s="34">
        <f t="shared" si="35"/>
        <v>41809</v>
      </c>
      <c r="AQ36" s="34">
        <f t="shared" si="36"/>
        <v>41810</v>
      </c>
      <c r="AR36" s="34">
        <f t="shared" si="37"/>
        <v>41811</v>
      </c>
      <c r="AT36" s="24" t="str">
        <f t="array" ref="AT36">IFERROR(IF(MATCH(8,DAY(AL36:AR36),0),AR36,""),"")</f>
        <v/>
      </c>
      <c r="AU36" s="71">
        <f ca="1">IF(AND(AL36&gt;=$AC$4,AL36&lt;=$AU$4),IF(""=IFERROR(INDEX(INDIRECT("Data!C"&amp;$K$5,FALSE),MATCH(AL36,Data!$A:$A,0)),$BX$12),$BX$11,IFERROR(INDEX(INDIRECT("Data!C"&amp;$K$5,FALSE),MATCH(AL36,Data!$A:$A,0)),$BX$12)),"-")</f>
        <v>18</v>
      </c>
      <c r="AV36" s="71">
        <f ca="1">IF(AND(AM36&gt;=$AC$4,AM36&lt;=$AU$4),IF(""=IFERROR(INDEX(INDIRECT("Data!C"&amp;$K$5,FALSE),MATCH(AM36,Data!$A:$A,0)),$BX$12),$BX$11,IFERROR(INDEX(INDIRECT("Data!C"&amp;$K$5,FALSE),MATCH(AM36,Data!$A:$A,0)),$BX$12)),"-")</f>
        <v>265</v>
      </c>
      <c r="AW36" s="71">
        <f ca="1">IF(AND(AN36&gt;=$AC$4,AN36&lt;=$AU$4),IF(""=IFERROR(INDEX(INDIRECT("Data!C"&amp;$K$5,FALSE),MATCH(AN36,Data!$A:$A,0)),$BX$12),$BX$11,IFERROR(INDEX(INDIRECT("Data!C"&amp;$K$5,FALSE),MATCH(AN36,Data!$A:$A,0)),$BX$12)),"-")</f>
        <v>305</v>
      </c>
      <c r="AX36" s="71">
        <f ca="1">IF(AND(AO36&gt;=$AC$4,AO36&lt;=$AU$4),IF(""=IFERROR(INDEX(INDIRECT("Data!C"&amp;$K$5,FALSE),MATCH(AO36,Data!$A:$A,0)),$BX$12),$BX$11,IFERROR(INDEX(INDIRECT("Data!C"&amp;$K$5,FALSE),MATCH(AO36,Data!$A:$A,0)),$BX$12)),"-")</f>
        <v>121</v>
      </c>
      <c r="AY36" s="71">
        <f ca="1">IF(AND(AP36&gt;=$AC$4,AP36&lt;=$AU$4),IF(""=IFERROR(INDEX(INDIRECT("Data!C"&amp;$K$5,FALSE),MATCH(AP36,Data!$A:$A,0)),$BX$12),$BX$11,IFERROR(INDEX(INDIRECT("Data!C"&amp;$K$5,FALSE),MATCH(AP36,Data!$A:$A,0)),$BX$12)),"-")</f>
        <v>116</v>
      </c>
      <c r="AZ36" s="71">
        <f ca="1">IF(AND(AQ36&gt;=$AC$4,AQ36&lt;=$AU$4),IF(""=IFERROR(INDEX(INDIRECT("Data!C"&amp;$K$5,FALSE),MATCH(AQ36,Data!$A:$A,0)),$BX$12),$BX$11,IFERROR(INDEX(INDIRECT("Data!C"&amp;$K$5,FALSE),MATCH(AQ36,Data!$A:$A,0)),$BX$12)),"-")</f>
        <v>161</v>
      </c>
      <c r="BA36" s="71">
        <f ca="1">IF(AND(AR36&gt;=$AC$4,AR36&lt;=$AU$4),IF(""=IFERROR(INDEX(INDIRECT("Data!C"&amp;$K$5,FALSE),MATCH(AR36,Data!$A:$A,0)),$BX$12),$BX$11,IFERROR(INDEX(INDIRECT("Data!C"&amp;$K$5,FALSE),MATCH(AR36,Data!$A:$A,0)),$BX$12)),"-")</f>
        <v>30</v>
      </c>
      <c r="BB36" s="7"/>
      <c r="BD36" s="34">
        <f t="shared" si="51"/>
        <v>42169</v>
      </c>
      <c r="BE36" s="34">
        <f t="shared" si="46"/>
        <v>42170</v>
      </c>
      <c r="BF36" s="34">
        <f t="shared" si="38"/>
        <v>42171</v>
      </c>
      <c r="BG36" s="34">
        <f t="shared" si="39"/>
        <v>42172</v>
      </c>
      <c r="BH36" s="34">
        <f t="shared" si="40"/>
        <v>42173</v>
      </c>
      <c r="BI36" s="34">
        <f t="shared" si="41"/>
        <v>42174</v>
      </c>
      <c r="BJ36" s="34">
        <f t="shared" si="42"/>
        <v>42175</v>
      </c>
      <c r="BL36" s="24" t="str">
        <f t="array" ref="BL36">IFERROR(IF(MATCH(8,DAY(BD36:BJ36),0),BJ36,""),"")</f>
        <v/>
      </c>
      <c r="BM36" s="71">
        <f ca="1">IF(AND(BD36&gt;=$AC$4,BD36&lt;=$AU$4),IF(""=IFERROR(INDEX(INDIRECT("Data!C"&amp;$K$5,FALSE),MATCH(BD36,Data!$A:$A,0)),$BX$12),$BX$11,IFERROR(INDEX(INDIRECT("Data!C"&amp;$K$5,FALSE),MATCH(BD36,Data!$A:$A,0)),$BX$12)),"-")</f>
        <v>25</v>
      </c>
      <c r="BN36" s="71">
        <f ca="1">IF(AND(BE36&gt;=$AC$4,BE36&lt;=$AU$4),IF(""=IFERROR(INDEX(INDIRECT("Data!C"&amp;$K$5,FALSE),MATCH(BE36,Data!$A:$A,0)),$BX$12),$BX$11,IFERROR(INDEX(INDIRECT("Data!C"&amp;$K$5,FALSE),MATCH(BE36,Data!$A:$A,0)),$BX$12)),"-")</f>
        <v>238</v>
      </c>
      <c r="BO36" s="71">
        <f ca="1">IF(AND(BF36&gt;=$AC$4,BF36&lt;=$AU$4),IF(""=IFERROR(INDEX(INDIRECT("Data!C"&amp;$K$5,FALSE),MATCH(BF36,Data!$A:$A,0)),$BX$12),$BX$11,IFERROR(INDEX(INDIRECT("Data!C"&amp;$K$5,FALSE),MATCH(BF36,Data!$A:$A,0)),$BX$12)),"-")</f>
        <v>145</v>
      </c>
      <c r="BP36" s="71">
        <f ca="1">IF(AND(BG36&gt;=$AC$4,BG36&lt;=$AU$4),IF(""=IFERROR(INDEX(INDIRECT("Data!C"&amp;$K$5,FALSE),MATCH(BG36,Data!$A:$A,0)),$BX$12),$BX$11,IFERROR(INDEX(INDIRECT("Data!C"&amp;$K$5,FALSE),MATCH(BG36,Data!$A:$A,0)),$BX$12)),"-")</f>
        <v>177</v>
      </c>
      <c r="BQ36" s="71">
        <f ca="1">IF(AND(BH36&gt;=$AC$4,BH36&lt;=$AU$4),IF(""=IFERROR(INDEX(INDIRECT("Data!C"&amp;$K$5,FALSE),MATCH(BH36,Data!$A:$A,0)),$BX$12),$BX$11,IFERROR(INDEX(INDIRECT("Data!C"&amp;$K$5,FALSE),MATCH(BH36,Data!$A:$A,0)),$BX$12)),"-")</f>
        <v>185</v>
      </c>
      <c r="BR36" s="71">
        <f ca="1">IF(AND(BI36&gt;=$AC$4,BI36&lt;=$AU$4),IF(""=IFERROR(INDEX(INDIRECT("Data!C"&amp;$K$5,FALSE),MATCH(BI36,Data!$A:$A,0)),$BX$12),$BX$11,IFERROR(INDEX(INDIRECT("Data!C"&amp;$K$5,FALSE),MATCH(BI36,Data!$A:$A,0)),$BX$12)),"-")</f>
        <v>109</v>
      </c>
      <c r="BS36" s="71">
        <f ca="1">IF(AND(BJ36&gt;=$AC$4,BJ36&lt;=$AU$4),IF(""=IFERROR(INDEX(INDIRECT("Data!C"&amp;$K$5,FALSE),MATCH(BJ36,Data!$A:$A,0)),$BX$12),$BX$11,IFERROR(INDEX(INDIRECT("Data!C"&amp;$K$5,FALSE),MATCH(BJ36,Data!$A:$A,0)),$BX$12)),"-")</f>
        <v>52</v>
      </c>
      <c r="BT36" s="7"/>
      <c r="BU36" s="58">
        <f t="shared" ca="1" si="47"/>
        <v>149.5</v>
      </c>
    </row>
    <row r="37" spans="2:73" ht="12" customHeight="1" x14ac:dyDescent="0.2">
      <c r="B37" s="34">
        <f t="shared" si="48"/>
        <v>41084</v>
      </c>
      <c r="C37" s="34">
        <f t="shared" si="52"/>
        <v>41085</v>
      </c>
      <c r="D37" s="34">
        <f t="shared" si="52"/>
        <v>41086</v>
      </c>
      <c r="E37" s="34">
        <f t="shared" si="52"/>
        <v>41087</v>
      </c>
      <c r="F37" s="34">
        <f t="shared" si="52"/>
        <v>41088</v>
      </c>
      <c r="G37" s="34">
        <f t="shared" si="52"/>
        <v>41089</v>
      </c>
      <c r="H37" s="34">
        <f t="shared" si="52"/>
        <v>41090</v>
      </c>
      <c r="J37" s="24" t="str">
        <f t="array" ref="J37">IFERROR(IF(MATCH(8,DAY(B37:H37),0),H37,""),"")</f>
        <v/>
      </c>
      <c r="K37" s="71">
        <f ca="1">IF(AND(B37&gt;=$AC$4,B37&lt;=$AU$4),IF(""=IFERROR(INDEX(INDIRECT("Data!C"&amp;$K$5,FALSE),MATCH(B37,Data!$A:$A,0)),$BX$12),$BX$11,IFERROR(INDEX(INDIRECT("Data!C"&amp;$K$5,FALSE),MATCH(B37,Data!$A:$A,0)),$BX$12)),"-")</f>
        <v>28</v>
      </c>
      <c r="L37" s="71">
        <f ca="1">IF(AND(C37&gt;=$AC$4,C37&lt;=$AU$4),IF(""=IFERROR(INDEX(INDIRECT("Data!C"&amp;$K$5,FALSE),MATCH(C37,Data!$A:$A,0)),$BX$12),$BX$11,IFERROR(INDEX(INDIRECT("Data!C"&amp;$K$5,FALSE),MATCH(C37,Data!$A:$A,0)),$BX$12)),"-")</f>
        <v>219</v>
      </c>
      <c r="M37" s="71">
        <f ca="1">IF(AND(D37&gt;=$AC$4,D37&lt;=$AU$4),IF(""=IFERROR(INDEX(INDIRECT("Data!C"&amp;$K$5,FALSE),MATCH(D37,Data!$A:$A,0)),$BX$12),$BX$11,IFERROR(INDEX(INDIRECT("Data!C"&amp;$K$5,FALSE),MATCH(D37,Data!$A:$A,0)),$BX$12)),"-")</f>
        <v>285</v>
      </c>
      <c r="N37" s="71">
        <f ca="1">IF(AND(E37&gt;=$AC$4,E37&lt;=$AU$4),IF(""=IFERROR(INDEX(INDIRECT("Data!C"&amp;$K$5,FALSE),MATCH(E37,Data!$A:$A,0)),$BX$12),$BX$11,IFERROR(INDEX(INDIRECT("Data!C"&amp;$K$5,FALSE),MATCH(E37,Data!$A:$A,0)),$BX$12)),"-")</f>
        <v>119</v>
      </c>
      <c r="O37" s="71">
        <f ca="1">IF(AND(F37&gt;=$AC$4,F37&lt;=$AU$4),IF(""=IFERROR(INDEX(INDIRECT("Data!C"&amp;$K$5,FALSE),MATCH(F37,Data!$A:$A,0)),$BX$12),$BX$11,IFERROR(INDEX(INDIRECT("Data!C"&amp;$K$5,FALSE),MATCH(F37,Data!$A:$A,0)),$BX$12)),"-")</f>
        <v>124</v>
      </c>
      <c r="P37" s="71">
        <f ca="1">IF(AND(G37&gt;=$AC$4,G37&lt;=$AU$4),IF(""=IFERROR(INDEX(INDIRECT("Data!C"&amp;$K$5,FALSE),MATCH(G37,Data!$A:$A,0)),$BX$12),$BX$11,IFERROR(INDEX(INDIRECT("Data!C"&amp;$K$5,FALSE),MATCH(G37,Data!$A:$A,0)),$BX$12)),"-")</f>
        <v>112</v>
      </c>
      <c r="Q37" s="71">
        <f ca="1">IF(AND(H37&gt;=$AC$4,H37&lt;=$AU$4),IF(""=IFERROR(INDEX(INDIRECT("Data!C"&amp;$K$5,FALSE),MATCH(H37,Data!$A:$A,0)),$BX$12),$BX$11,IFERROR(INDEX(INDIRECT("Data!C"&amp;$K$5,FALSE),MATCH(H37,Data!$A:$A,0)),$BX$12)),"-")</f>
        <v>41</v>
      </c>
      <c r="R37" s="7"/>
      <c r="T37" s="34">
        <f t="shared" si="49"/>
        <v>41448</v>
      </c>
      <c r="U37" s="34">
        <f t="shared" si="44"/>
        <v>41449</v>
      </c>
      <c r="V37" s="34">
        <f t="shared" si="28"/>
        <v>41450</v>
      </c>
      <c r="W37" s="34">
        <f t="shared" si="29"/>
        <v>41451</v>
      </c>
      <c r="X37" s="34">
        <f t="shared" si="30"/>
        <v>41452</v>
      </c>
      <c r="Y37" s="34">
        <f t="shared" si="31"/>
        <v>41453</v>
      </c>
      <c r="Z37" s="34">
        <f t="shared" si="32"/>
        <v>41454</v>
      </c>
      <c r="AB37" s="24" t="str">
        <f t="array" ref="AB37">IFERROR(IF(MATCH(8,DAY(T37:Z37),0),Z37,""),"")</f>
        <v/>
      </c>
      <c r="AC37" s="71">
        <f ca="1">IF(AND(T37&gt;=$AC$4,T37&lt;=$AU$4),IF(""=IFERROR(INDEX(INDIRECT("Data!C"&amp;$K$5,FALSE),MATCH(T37,Data!$A:$A,0)),$BX$12),$BX$11,IFERROR(INDEX(INDIRECT("Data!C"&amp;$K$5,FALSE),MATCH(T37,Data!$A:$A,0)),$BX$12)),"-")</f>
        <v>33</v>
      </c>
      <c r="AD37" s="71">
        <f ca="1">IF(AND(U37&gt;=$AC$4,U37&lt;=$AU$4),IF(""=IFERROR(INDEX(INDIRECT("Data!C"&amp;$K$5,FALSE),MATCH(U37,Data!$A:$A,0)),$BX$12),$BX$11,IFERROR(INDEX(INDIRECT("Data!C"&amp;$K$5,FALSE),MATCH(U37,Data!$A:$A,0)),$BX$12)),"-")</f>
        <v>275</v>
      </c>
      <c r="AE37" s="71">
        <f ca="1">IF(AND(V37&gt;=$AC$4,V37&lt;=$AU$4),IF(""=IFERROR(INDEX(INDIRECT("Data!C"&amp;$K$5,FALSE),MATCH(V37,Data!$A:$A,0)),$BX$12),$BX$11,IFERROR(INDEX(INDIRECT("Data!C"&amp;$K$5,FALSE),MATCH(V37,Data!$A:$A,0)),$BX$12)),"-")</f>
        <v>203</v>
      </c>
      <c r="AF37" s="71">
        <f ca="1">IF(AND(W37&gt;=$AC$4,W37&lt;=$AU$4),IF(""=IFERROR(INDEX(INDIRECT("Data!C"&amp;$K$5,FALSE),MATCH(W37,Data!$A:$A,0)),$BX$12),$BX$11,IFERROR(INDEX(INDIRECT("Data!C"&amp;$K$5,FALSE),MATCH(W37,Data!$A:$A,0)),$BX$12)),"-")</f>
        <v>154</v>
      </c>
      <c r="AG37" s="71">
        <f ca="1">IF(AND(X37&gt;=$AC$4,X37&lt;=$AU$4),IF(""=IFERROR(INDEX(INDIRECT("Data!C"&amp;$K$5,FALSE),MATCH(X37,Data!$A:$A,0)),$BX$12),$BX$11,IFERROR(INDEX(INDIRECT("Data!C"&amp;$K$5,FALSE),MATCH(X37,Data!$A:$A,0)),$BX$12)),"-")</f>
        <v>219</v>
      </c>
      <c r="AH37" s="71">
        <f ca="1">IF(AND(Y37&gt;=$AC$4,Y37&lt;=$AU$4),IF(""=IFERROR(INDEX(INDIRECT("Data!C"&amp;$K$5,FALSE),MATCH(Y37,Data!$A:$A,0)),$BX$12),$BX$11,IFERROR(INDEX(INDIRECT("Data!C"&amp;$K$5,FALSE),MATCH(Y37,Data!$A:$A,0)),$BX$12)),"-")</f>
        <v>148</v>
      </c>
      <c r="AI37" s="71">
        <f ca="1">IF(AND(Z37&gt;=$AC$4,Z37&lt;=$AU$4),IF(""=IFERROR(INDEX(INDIRECT("Data!C"&amp;$K$5,FALSE),MATCH(Z37,Data!$A:$A,0)),$BX$12),$BX$11,IFERROR(INDEX(INDIRECT("Data!C"&amp;$K$5,FALSE),MATCH(Z37,Data!$A:$A,0)),$BX$12)),"-")</f>
        <v>38</v>
      </c>
      <c r="AJ37" s="7"/>
      <c r="AL37" s="34">
        <f t="shared" si="50"/>
        <v>41812</v>
      </c>
      <c r="AM37" s="34">
        <f t="shared" si="45"/>
        <v>41813</v>
      </c>
      <c r="AN37" s="34">
        <f t="shared" si="33"/>
        <v>41814</v>
      </c>
      <c r="AO37" s="34">
        <f t="shared" si="34"/>
        <v>41815</v>
      </c>
      <c r="AP37" s="34">
        <f t="shared" si="35"/>
        <v>41816</v>
      </c>
      <c r="AQ37" s="34">
        <f t="shared" si="36"/>
        <v>41817</v>
      </c>
      <c r="AR37" s="34">
        <f t="shared" si="37"/>
        <v>41818</v>
      </c>
      <c r="AT37" s="24" t="str">
        <f t="array" ref="AT37">IFERROR(IF(MATCH(8,DAY(AL37:AR37),0),AR37,""),"")</f>
        <v/>
      </c>
      <c r="AU37" s="71">
        <f ca="1">IF(AND(AL37&gt;=$AC$4,AL37&lt;=$AU$4),IF(""=IFERROR(INDEX(INDIRECT("Data!C"&amp;$K$5,FALSE),MATCH(AL37,Data!$A:$A,0)),$BX$12),$BX$11,IFERROR(INDEX(INDIRECT("Data!C"&amp;$K$5,FALSE),MATCH(AL37,Data!$A:$A,0)),$BX$12)),"-")</f>
        <v>23</v>
      </c>
      <c r="AV37" s="71">
        <f ca="1">IF(AND(AM37&gt;=$AC$4,AM37&lt;=$AU$4),IF(""=IFERROR(INDEX(INDIRECT("Data!C"&amp;$K$5,FALSE),MATCH(AM37,Data!$A:$A,0)),$BX$12),$BX$11,IFERROR(INDEX(INDIRECT("Data!C"&amp;$K$5,FALSE),MATCH(AM37,Data!$A:$A,0)),$BX$12)),"-")</f>
        <v>134</v>
      </c>
      <c r="AW37" s="71">
        <f ca="1">IF(AND(AN37&gt;=$AC$4,AN37&lt;=$AU$4),IF(""=IFERROR(INDEX(INDIRECT("Data!C"&amp;$K$5,FALSE),MATCH(AN37,Data!$A:$A,0)),$BX$12),$BX$11,IFERROR(INDEX(INDIRECT("Data!C"&amp;$K$5,FALSE),MATCH(AN37,Data!$A:$A,0)),$BX$12)),"-")</f>
        <v>126</v>
      </c>
      <c r="AX37" s="71">
        <f ca="1">IF(AND(AO37&gt;=$AC$4,AO37&lt;=$AU$4),IF(""=IFERROR(INDEX(INDIRECT("Data!C"&amp;$K$5,FALSE),MATCH(AO37,Data!$A:$A,0)),$BX$12),$BX$11,IFERROR(INDEX(INDIRECT("Data!C"&amp;$K$5,FALSE),MATCH(AO37,Data!$A:$A,0)),$BX$12)),"-")</f>
        <v>190</v>
      </c>
      <c r="AY37" s="71">
        <f ca="1">IF(AND(AP37&gt;=$AC$4,AP37&lt;=$AU$4),IF(""=IFERROR(INDEX(INDIRECT("Data!C"&amp;$K$5,FALSE),MATCH(AP37,Data!$A:$A,0)),$BX$12),$BX$11,IFERROR(INDEX(INDIRECT("Data!C"&amp;$K$5,FALSE),MATCH(AP37,Data!$A:$A,0)),$BX$12)),"-")</f>
        <v>121</v>
      </c>
      <c r="AZ37" s="71">
        <f ca="1">IF(AND(AQ37&gt;=$AC$4,AQ37&lt;=$AU$4),IF(""=IFERROR(INDEX(INDIRECT("Data!C"&amp;$K$5,FALSE),MATCH(AQ37,Data!$A:$A,0)),$BX$12),$BX$11,IFERROR(INDEX(INDIRECT("Data!C"&amp;$K$5,FALSE),MATCH(AQ37,Data!$A:$A,0)),$BX$12)),"-")</f>
        <v>146</v>
      </c>
      <c r="BA37" s="71">
        <f ca="1">IF(AND(AR37&gt;=$AC$4,AR37&lt;=$AU$4),IF(""=IFERROR(INDEX(INDIRECT("Data!C"&amp;$K$5,FALSE),MATCH(AR37,Data!$A:$A,0)),$BX$12),$BX$11,IFERROR(INDEX(INDIRECT("Data!C"&amp;$K$5,FALSE),MATCH(AR37,Data!$A:$A,0)),$BX$12)),"-")</f>
        <v>47</v>
      </c>
      <c r="BB37" s="7"/>
      <c r="BD37" s="34">
        <f t="shared" si="51"/>
        <v>42176</v>
      </c>
      <c r="BE37" s="34">
        <f t="shared" si="46"/>
        <v>42177</v>
      </c>
      <c r="BF37" s="34">
        <f t="shared" si="38"/>
        <v>42178</v>
      </c>
      <c r="BG37" s="34">
        <f t="shared" si="39"/>
        <v>42179</v>
      </c>
      <c r="BH37" s="34">
        <f t="shared" si="40"/>
        <v>42180</v>
      </c>
      <c r="BI37" s="34">
        <f t="shared" si="41"/>
        <v>42181</v>
      </c>
      <c r="BJ37" s="34">
        <f t="shared" si="42"/>
        <v>42182</v>
      </c>
      <c r="BL37" s="24" t="str">
        <f t="array" ref="BL37">IFERROR(IF(MATCH(8,DAY(BD37:BJ37),0),BJ37,""),"")</f>
        <v/>
      </c>
      <c r="BM37" s="71">
        <f ca="1">IF(AND(BD37&gt;=$AC$4,BD37&lt;=$AU$4),IF(""=IFERROR(INDEX(INDIRECT("Data!C"&amp;$K$5,FALSE),MATCH(BD37,Data!$A:$A,0)),$BX$12),$BX$11,IFERROR(INDEX(INDIRECT("Data!C"&amp;$K$5,FALSE),MATCH(BD37,Data!$A:$A,0)),$BX$12)),"-")</f>
        <v>28</v>
      </c>
      <c r="BN37" s="71">
        <f ca="1">IF(AND(BE37&gt;=$AC$4,BE37&lt;=$AU$4),IF(""=IFERROR(INDEX(INDIRECT("Data!C"&amp;$K$5,FALSE),MATCH(BE37,Data!$A:$A,0)),$BX$12),$BX$11,IFERROR(INDEX(INDIRECT("Data!C"&amp;$K$5,FALSE),MATCH(BE37,Data!$A:$A,0)),$BX$12)),"-")</f>
        <v>232</v>
      </c>
      <c r="BO37" s="71">
        <f ca="1">IF(AND(BF37&gt;=$AC$4,BF37&lt;=$AU$4),IF(""=IFERROR(INDEX(INDIRECT("Data!C"&amp;$K$5,FALSE),MATCH(BF37,Data!$A:$A,0)),$BX$12),$BX$11,IFERROR(INDEX(INDIRECT("Data!C"&amp;$K$5,FALSE),MATCH(BF37,Data!$A:$A,0)),$BX$12)),"-")</f>
        <v>215</v>
      </c>
      <c r="BP37" s="71">
        <f ca="1">IF(AND(BG37&gt;=$AC$4,BG37&lt;=$AU$4),IF(""=IFERROR(INDEX(INDIRECT("Data!C"&amp;$K$5,FALSE),MATCH(BG37,Data!$A:$A,0)),$BX$12),$BX$11,IFERROR(INDEX(INDIRECT("Data!C"&amp;$K$5,FALSE),MATCH(BG37,Data!$A:$A,0)),$BX$12)),"-")</f>
        <v>235</v>
      </c>
      <c r="BQ37" s="71">
        <f ca="1">IF(AND(BH37&gt;=$AC$4,BH37&lt;=$AU$4),IF(""=IFERROR(INDEX(INDIRECT("Data!C"&amp;$K$5,FALSE),MATCH(BH37,Data!$A:$A,0)),$BX$12),$BX$11,IFERROR(INDEX(INDIRECT("Data!C"&amp;$K$5,FALSE),MATCH(BH37,Data!$A:$A,0)),$BX$12)),"-")</f>
        <v>204</v>
      </c>
      <c r="BR37" s="71">
        <f ca="1">IF(AND(BI37&gt;=$AC$4,BI37&lt;=$AU$4),IF(""=IFERROR(INDEX(INDIRECT("Data!C"&amp;$K$5,FALSE),MATCH(BI37,Data!$A:$A,0)),$BX$12),$BX$11,IFERROR(INDEX(INDIRECT("Data!C"&amp;$K$5,FALSE),MATCH(BI37,Data!$A:$A,0)),$BX$12)),"-")</f>
        <v>103</v>
      </c>
      <c r="BS37" s="71">
        <f ca="1">IF(AND(BJ37&gt;=$AC$4,BJ37&lt;=$AU$4),IF(""=IFERROR(INDEX(INDIRECT("Data!C"&amp;$K$5,FALSE),MATCH(BJ37,Data!$A:$A,0)),$BX$12),$BX$11,IFERROR(INDEX(INDIRECT("Data!C"&amp;$K$5,FALSE),MATCH(BJ37,Data!$A:$A,0)),$BX$12)),"-")</f>
        <v>39</v>
      </c>
      <c r="BT37" s="7"/>
      <c r="BU37" s="58">
        <f t="shared" ca="1" si="47"/>
        <v>137.17857142857142</v>
      </c>
    </row>
    <row r="38" spans="2:73" ht="12" customHeight="1" x14ac:dyDescent="0.2">
      <c r="B38" s="34">
        <f t="shared" si="48"/>
        <v>41091</v>
      </c>
      <c r="C38" s="34">
        <f t="shared" si="52"/>
        <v>41092</v>
      </c>
      <c r="D38" s="34">
        <f t="shared" si="52"/>
        <v>41093</v>
      </c>
      <c r="E38" s="34">
        <f t="shared" si="52"/>
        <v>41094</v>
      </c>
      <c r="F38" s="34">
        <f t="shared" si="52"/>
        <v>41095</v>
      </c>
      <c r="G38" s="34">
        <f t="shared" si="52"/>
        <v>41096</v>
      </c>
      <c r="H38" s="34">
        <f t="shared" si="52"/>
        <v>41097</v>
      </c>
      <c r="J38" s="24" t="str">
        <f t="array" ref="J38">IFERROR(IF(MATCH(8,DAY(B38:H38),0),H38,""),"")</f>
        <v/>
      </c>
      <c r="K38" s="71">
        <f ca="1">IF(AND(B38&gt;=$AC$4,B38&lt;=$AU$4),IF(""=IFERROR(INDEX(INDIRECT("Data!C"&amp;$K$5,FALSE),MATCH(B38,Data!$A:$A,0)),$BX$12),$BX$11,IFERROR(INDEX(INDIRECT("Data!C"&amp;$K$5,FALSE),MATCH(B38,Data!$A:$A,0)),$BX$12)),"-")</f>
        <v>30</v>
      </c>
      <c r="L38" s="71">
        <f ca="1">IF(AND(C38&gt;=$AC$4,C38&lt;=$AU$4),IF(""=IFERROR(INDEX(INDIRECT("Data!C"&amp;$K$5,FALSE),MATCH(C38,Data!$A:$A,0)),$BX$12),$BX$11,IFERROR(INDEX(INDIRECT("Data!C"&amp;$K$5,FALSE),MATCH(C38,Data!$A:$A,0)),$BX$12)),"-")</f>
        <v>311</v>
      </c>
      <c r="M38" s="71">
        <f ca="1">IF(AND(D38&gt;=$AC$4,D38&lt;=$AU$4),IF(""=IFERROR(INDEX(INDIRECT("Data!C"&amp;$K$5,FALSE),MATCH(D38,Data!$A:$A,0)),$BX$12),$BX$11,IFERROR(INDEX(INDIRECT("Data!C"&amp;$K$5,FALSE),MATCH(D38,Data!$A:$A,0)),$BX$12)),"-")</f>
        <v>249</v>
      </c>
      <c r="N38" s="71">
        <f ca="1">IF(AND(E38&gt;=$AC$4,E38&lt;=$AU$4),IF(""=IFERROR(INDEX(INDIRECT("Data!C"&amp;$K$5,FALSE),MATCH(E38,Data!$A:$A,0)),$BX$12),$BX$11,IFERROR(INDEX(INDIRECT("Data!C"&amp;$K$5,FALSE),MATCH(E38,Data!$A:$A,0)),$BX$12)),"-")</f>
        <v>201</v>
      </c>
      <c r="O38" s="71">
        <f ca="1">IF(AND(F38&gt;=$AC$4,F38&lt;=$AU$4),IF(""=IFERROR(INDEX(INDIRECT("Data!C"&amp;$K$5,FALSE),MATCH(F38,Data!$A:$A,0)),$BX$12),$BX$11,IFERROR(INDEX(INDIRECT("Data!C"&amp;$K$5,FALSE),MATCH(F38,Data!$A:$A,0)),$BX$12)),"-")</f>
        <v>104</v>
      </c>
      <c r="P38" s="71">
        <f ca="1">IF(AND(G38&gt;=$AC$4,G38&lt;=$AU$4),IF(""=IFERROR(INDEX(INDIRECT("Data!C"&amp;$K$5,FALSE),MATCH(G38,Data!$A:$A,0)),$BX$12),$BX$11,IFERROR(INDEX(INDIRECT("Data!C"&amp;$K$5,FALSE),MATCH(G38,Data!$A:$A,0)),$BX$12)),"-")</f>
        <v>99</v>
      </c>
      <c r="Q38" s="71">
        <f ca="1">IF(AND(H38&gt;=$AC$4,H38&lt;=$AU$4),IF(""=IFERROR(INDEX(INDIRECT("Data!C"&amp;$K$5,FALSE),MATCH(H38,Data!$A:$A,0)),$BX$12),$BX$11,IFERROR(INDEX(INDIRECT("Data!C"&amp;$K$5,FALSE),MATCH(H38,Data!$A:$A,0)),$BX$12)),"-")</f>
        <v>43</v>
      </c>
      <c r="R38" s="7"/>
      <c r="T38" s="34">
        <f t="shared" si="49"/>
        <v>41455</v>
      </c>
      <c r="U38" s="34">
        <f t="shared" si="44"/>
        <v>41456</v>
      </c>
      <c r="V38" s="34">
        <f t="shared" si="28"/>
        <v>41457</v>
      </c>
      <c r="W38" s="34">
        <f t="shared" si="29"/>
        <v>41458</v>
      </c>
      <c r="X38" s="34">
        <f t="shared" si="30"/>
        <v>41459</v>
      </c>
      <c r="Y38" s="34">
        <f t="shared" si="31"/>
        <v>41460</v>
      </c>
      <c r="Z38" s="34">
        <f t="shared" si="32"/>
        <v>41461</v>
      </c>
      <c r="AB38" s="24" t="str">
        <f t="array" ref="AB38">IFERROR(IF(MATCH(8,DAY(T38:Z38),0),Z38,""),"")</f>
        <v/>
      </c>
      <c r="AC38" s="71">
        <f ca="1">IF(AND(T38&gt;=$AC$4,T38&lt;=$AU$4),IF(""=IFERROR(INDEX(INDIRECT("Data!C"&amp;$K$5,FALSE),MATCH(T38,Data!$A:$A,0)),$BX$12),$BX$11,IFERROR(INDEX(INDIRECT("Data!C"&amp;$K$5,FALSE),MATCH(T38,Data!$A:$A,0)),$BX$12)),"-")</f>
        <v>15</v>
      </c>
      <c r="AD38" s="71">
        <f ca="1">IF(AND(U38&gt;=$AC$4,U38&lt;=$AU$4),IF(""=IFERROR(INDEX(INDIRECT("Data!C"&amp;$K$5,FALSE),MATCH(U38,Data!$A:$A,0)),$BX$12),$BX$11,IFERROR(INDEX(INDIRECT("Data!C"&amp;$K$5,FALSE),MATCH(U38,Data!$A:$A,0)),$BX$12)),"-")</f>
        <v>197</v>
      </c>
      <c r="AE38" s="71">
        <f ca="1">IF(AND(V38&gt;=$AC$4,V38&lt;=$AU$4),IF(""=IFERROR(INDEX(INDIRECT("Data!C"&amp;$K$5,FALSE),MATCH(V38,Data!$A:$A,0)),$BX$12),$BX$11,IFERROR(INDEX(INDIRECT("Data!C"&amp;$K$5,FALSE),MATCH(V38,Data!$A:$A,0)),$BX$12)),"-")</f>
        <v>251</v>
      </c>
      <c r="AF38" s="71">
        <f ca="1">IF(AND(W38&gt;=$AC$4,W38&lt;=$AU$4),IF(""=IFERROR(INDEX(INDIRECT("Data!C"&amp;$K$5,FALSE),MATCH(W38,Data!$A:$A,0)),$BX$12),$BX$11,IFERROR(INDEX(INDIRECT("Data!C"&amp;$K$5,FALSE),MATCH(W38,Data!$A:$A,0)),$BX$12)),"-")</f>
        <v>176</v>
      </c>
      <c r="AG38" s="71">
        <f ca="1">IF(AND(X38&gt;=$AC$4,X38&lt;=$AU$4),IF(""=IFERROR(INDEX(INDIRECT("Data!C"&amp;$K$5,FALSE),MATCH(X38,Data!$A:$A,0)),$BX$12),$BX$11,IFERROR(INDEX(INDIRECT("Data!C"&amp;$K$5,FALSE),MATCH(X38,Data!$A:$A,0)),$BX$12)),"-")</f>
        <v>152</v>
      </c>
      <c r="AH38" s="71">
        <f ca="1">IF(AND(Y38&gt;=$AC$4,Y38&lt;=$AU$4),IF(""=IFERROR(INDEX(INDIRECT("Data!C"&amp;$K$5,FALSE),MATCH(Y38,Data!$A:$A,0)),$BX$12),$BX$11,IFERROR(INDEX(INDIRECT("Data!C"&amp;$K$5,FALSE),MATCH(Y38,Data!$A:$A,0)),$BX$12)),"-")</f>
        <v>140</v>
      </c>
      <c r="AI38" s="71">
        <f ca="1">IF(AND(Z38&gt;=$AC$4,Z38&lt;=$AU$4),IF(""=IFERROR(INDEX(INDIRECT("Data!C"&amp;$K$5,FALSE),MATCH(Z38,Data!$A:$A,0)),$BX$12),$BX$11,IFERROR(INDEX(INDIRECT("Data!C"&amp;$K$5,FALSE),MATCH(Z38,Data!$A:$A,0)),$BX$12)),"-")</f>
        <v>30</v>
      </c>
      <c r="AJ38" s="7"/>
      <c r="AL38" s="34">
        <f t="shared" si="50"/>
        <v>41819</v>
      </c>
      <c r="AM38" s="34">
        <f t="shared" si="45"/>
        <v>41820</v>
      </c>
      <c r="AN38" s="34">
        <f t="shared" si="33"/>
        <v>41821</v>
      </c>
      <c r="AO38" s="34">
        <f t="shared" si="34"/>
        <v>41822</v>
      </c>
      <c r="AP38" s="34">
        <f t="shared" si="35"/>
        <v>41823</v>
      </c>
      <c r="AQ38" s="34">
        <f t="shared" si="36"/>
        <v>41824</v>
      </c>
      <c r="AR38" s="34">
        <f t="shared" si="37"/>
        <v>41825</v>
      </c>
      <c r="AT38" s="24" t="str">
        <f t="array" ref="AT38">IFERROR(IF(MATCH(8,DAY(AL38:AR38),0),AR38,""),"")</f>
        <v/>
      </c>
      <c r="AU38" s="71">
        <f ca="1">IF(AND(AL38&gt;=$AC$4,AL38&lt;=$AU$4),IF(""=IFERROR(INDEX(INDIRECT("Data!C"&amp;$K$5,FALSE),MATCH(AL38,Data!$A:$A,0)),$BX$12),$BX$11,IFERROR(INDEX(INDIRECT("Data!C"&amp;$K$5,FALSE),MATCH(AL38,Data!$A:$A,0)),$BX$12)),"-")</f>
        <v>22</v>
      </c>
      <c r="AV38" s="71">
        <f ca="1">IF(AND(AM38&gt;=$AC$4,AM38&lt;=$AU$4),IF(""=IFERROR(INDEX(INDIRECT("Data!C"&amp;$K$5,FALSE),MATCH(AM38,Data!$A:$A,0)),$BX$12),$BX$11,IFERROR(INDEX(INDIRECT("Data!C"&amp;$K$5,FALSE),MATCH(AM38,Data!$A:$A,0)),$BX$12)),"-")</f>
        <v>300</v>
      </c>
      <c r="AW38" s="71">
        <f ca="1">IF(AND(AN38&gt;=$AC$4,AN38&lt;=$AU$4),IF(""=IFERROR(INDEX(INDIRECT("Data!C"&amp;$K$5,FALSE),MATCH(AN38,Data!$A:$A,0)),$BX$12),$BX$11,IFERROR(INDEX(INDIRECT("Data!C"&amp;$K$5,FALSE),MATCH(AN38,Data!$A:$A,0)),$BX$12)),"-")</f>
        <v>218</v>
      </c>
      <c r="AX38" s="71">
        <f ca="1">IF(AND(AO38&gt;=$AC$4,AO38&lt;=$AU$4),IF(""=IFERROR(INDEX(INDIRECT("Data!C"&amp;$K$5,FALSE),MATCH(AO38,Data!$A:$A,0)),$BX$12),$BX$11,IFERROR(INDEX(INDIRECT("Data!C"&amp;$K$5,FALSE),MATCH(AO38,Data!$A:$A,0)),$BX$12)),"-")</f>
        <v>182</v>
      </c>
      <c r="AY38" s="71">
        <f ca="1">IF(AND(AP38&gt;=$AC$4,AP38&lt;=$AU$4),IF(""=IFERROR(INDEX(INDIRECT("Data!C"&amp;$K$5,FALSE),MATCH(AP38,Data!$A:$A,0)),$BX$12),$BX$11,IFERROR(INDEX(INDIRECT("Data!C"&amp;$K$5,FALSE),MATCH(AP38,Data!$A:$A,0)),$BX$12)),"-")</f>
        <v>97</v>
      </c>
      <c r="AZ38" s="71">
        <f ca="1">IF(AND(AQ38&gt;=$AC$4,AQ38&lt;=$AU$4),IF(""=IFERROR(INDEX(INDIRECT("Data!C"&amp;$K$5,FALSE),MATCH(AQ38,Data!$A:$A,0)),$BX$12),$BX$11,IFERROR(INDEX(INDIRECT("Data!C"&amp;$K$5,FALSE),MATCH(AQ38,Data!$A:$A,0)),$BX$12)),"-")</f>
        <v>158</v>
      </c>
      <c r="BA38" s="71">
        <f ca="1">IF(AND(AR38&gt;=$AC$4,AR38&lt;=$AU$4),IF(""=IFERROR(INDEX(INDIRECT("Data!C"&amp;$K$5,FALSE),MATCH(AR38,Data!$A:$A,0)),$BX$12),$BX$11,IFERROR(INDEX(INDIRECT("Data!C"&amp;$K$5,FALSE),MATCH(AR38,Data!$A:$A,0)),$BX$12)),"-")</f>
        <v>42</v>
      </c>
      <c r="BB38" s="7"/>
      <c r="BD38" s="34">
        <f t="shared" si="51"/>
        <v>42183</v>
      </c>
      <c r="BE38" s="34">
        <f t="shared" si="46"/>
        <v>42184</v>
      </c>
      <c r="BF38" s="34">
        <f t="shared" si="38"/>
        <v>42185</v>
      </c>
      <c r="BG38" s="34">
        <f t="shared" si="39"/>
        <v>42186</v>
      </c>
      <c r="BH38" s="34">
        <f t="shared" si="40"/>
        <v>42187</v>
      </c>
      <c r="BI38" s="34">
        <f t="shared" si="41"/>
        <v>42188</v>
      </c>
      <c r="BJ38" s="34">
        <f t="shared" si="42"/>
        <v>42189</v>
      </c>
      <c r="BL38" s="24" t="str">
        <f t="array" ref="BL38">IFERROR(IF(MATCH(8,DAY(BD38:BJ38),0),BJ38,""),"")</f>
        <v/>
      </c>
      <c r="BM38" s="71">
        <f ca="1">IF(AND(BD38&gt;=$AC$4,BD38&lt;=$AU$4),IF(""=IFERROR(INDEX(INDIRECT("Data!C"&amp;$K$5,FALSE),MATCH(BD38,Data!$A:$A,0)),$BX$12),$BX$11,IFERROR(INDEX(INDIRECT("Data!C"&amp;$K$5,FALSE),MATCH(BD38,Data!$A:$A,0)),$BX$12)),"-")</f>
        <v>20</v>
      </c>
      <c r="BN38" s="71">
        <f ca="1">IF(AND(BE38&gt;=$AC$4,BE38&lt;=$AU$4),IF(""=IFERROR(INDEX(INDIRECT("Data!C"&amp;$K$5,FALSE),MATCH(BE38,Data!$A:$A,0)),$BX$12),$BX$11,IFERROR(INDEX(INDIRECT("Data!C"&amp;$K$5,FALSE),MATCH(BE38,Data!$A:$A,0)),$BX$12)),"-")</f>
        <v>218</v>
      </c>
      <c r="BO38" s="71">
        <f ca="1">IF(AND(BF38&gt;=$AC$4,BF38&lt;=$AU$4),IF(""=IFERROR(INDEX(INDIRECT("Data!C"&amp;$K$5,FALSE),MATCH(BF38,Data!$A:$A,0)),$BX$12),$BX$11,IFERROR(INDEX(INDIRECT("Data!C"&amp;$K$5,FALSE),MATCH(BF38,Data!$A:$A,0)),$BX$12)),"-")</f>
        <v>235</v>
      </c>
      <c r="BP38" s="71">
        <f ca="1">IF(AND(BG38&gt;=$AC$4,BG38&lt;=$AU$4),IF(""=IFERROR(INDEX(INDIRECT("Data!C"&amp;$K$5,FALSE),MATCH(BG38,Data!$A:$A,0)),$BX$12),$BX$11,IFERROR(INDEX(INDIRECT("Data!C"&amp;$K$5,FALSE),MATCH(BG38,Data!$A:$A,0)),$BX$12)),"-")</f>
        <v>168</v>
      </c>
      <c r="BQ38" s="71">
        <f ca="1">IF(AND(BH38&gt;=$AC$4,BH38&lt;=$AU$4),IF(""=IFERROR(INDEX(INDIRECT("Data!C"&amp;$K$5,FALSE),MATCH(BH38,Data!$A:$A,0)),$BX$12),$BX$11,IFERROR(INDEX(INDIRECT("Data!C"&amp;$K$5,FALSE),MATCH(BH38,Data!$A:$A,0)),$BX$12)),"-")</f>
        <v>165</v>
      </c>
      <c r="BR38" s="71">
        <f ca="1">IF(AND(BI38&gt;=$AC$4,BI38&lt;=$AU$4),IF(""=IFERROR(INDEX(INDIRECT("Data!C"&amp;$K$5,FALSE),MATCH(BI38,Data!$A:$A,0)),$BX$12),$BX$11,IFERROR(INDEX(INDIRECT("Data!C"&amp;$K$5,FALSE),MATCH(BI38,Data!$A:$A,0)),$BX$12)),"-")</f>
        <v>115</v>
      </c>
      <c r="BS38" s="71">
        <f ca="1">IF(AND(BJ38&gt;=$AC$4,BJ38&lt;=$AU$4),IF(""=IFERROR(INDEX(INDIRECT("Data!C"&amp;$K$5,FALSE),MATCH(BJ38,Data!$A:$A,0)),$BX$12),$BX$11,IFERROR(INDEX(INDIRECT("Data!C"&amp;$K$5,FALSE),MATCH(BJ38,Data!$A:$A,0)),$BX$12)),"-")</f>
        <v>25</v>
      </c>
      <c r="BT38" s="7"/>
      <c r="BU38" s="58">
        <f t="shared" ca="1" si="47"/>
        <v>141.53571428571428</v>
      </c>
    </row>
    <row r="39" spans="2:73" ht="12" customHeight="1" x14ac:dyDescent="0.2">
      <c r="B39" s="34">
        <f t="shared" si="48"/>
        <v>41098</v>
      </c>
      <c r="C39" s="34">
        <f t="shared" si="52"/>
        <v>41099</v>
      </c>
      <c r="D39" s="34">
        <f t="shared" si="52"/>
        <v>41100</v>
      </c>
      <c r="E39" s="34">
        <f t="shared" si="52"/>
        <v>41101</v>
      </c>
      <c r="F39" s="34">
        <f t="shared" si="52"/>
        <v>41102</v>
      </c>
      <c r="G39" s="34">
        <f t="shared" si="52"/>
        <v>41103</v>
      </c>
      <c r="H39" s="34">
        <f t="shared" si="52"/>
        <v>41104</v>
      </c>
      <c r="J39" s="24">
        <f t="array" ref="J39">IFERROR(IF(MATCH(8,DAY(B39:H39),0),H39,""),"")</f>
        <v>41104</v>
      </c>
      <c r="K39" s="71">
        <f ca="1">IF(AND(B39&gt;=$AC$4,B39&lt;=$AU$4),IF(""=IFERROR(INDEX(INDIRECT("Data!C"&amp;$K$5,FALSE),MATCH(B39,Data!$A:$A,0)),$BX$12),$BX$11,IFERROR(INDEX(INDIRECT("Data!C"&amp;$K$5,FALSE),MATCH(B39,Data!$A:$A,0)),$BX$12)),"-")</f>
        <v>23</v>
      </c>
      <c r="L39" s="71">
        <f ca="1">IF(AND(C39&gt;=$AC$4,C39&lt;=$AU$4),IF(""=IFERROR(INDEX(INDIRECT("Data!C"&amp;$K$5,FALSE),MATCH(C39,Data!$A:$A,0)),$BX$12),$BX$11,IFERROR(INDEX(INDIRECT("Data!C"&amp;$K$5,FALSE),MATCH(C39,Data!$A:$A,0)),$BX$12)),"-")</f>
        <v>166</v>
      </c>
      <c r="M39" s="71">
        <f ca="1">IF(AND(D39&gt;=$AC$4,D39&lt;=$AU$4),IF(""=IFERROR(INDEX(INDIRECT("Data!C"&amp;$K$5,FALSE),MATCH(D39,Data!$A:$A,0)),$BX$12),$BX$11,IFERROR(INDEX(INDIRECT("Data!C"&amp;$K$5,FALSE),MATCH(D39,Data!$A:$A,0)),$BX$12)),"-")</f>
        <v>154</v>
      </c>
      <c r="N39" s="71">
        <f ca="1">IF(AND(E39&gt;=$AC$4,E39&lt;=$AU$4),IF(""=IFERROR(INDEX(INDIRECT("Data!C"&amp;$K$5,FALSE),MATCH(E39,Data!$A:$A,0)),$BX$12),$BX$11,IFERROR(INDEX(INDIRECT("Data!C"&amp;$K$5,FALSE),MATCH(E39,Data!$A:$A,0)),$BX$12)),"-")</f>
        <v>112</v>
      </c>
      <c r="O39" s="71">
        <f ca="1">IF(AND(F39&gt;=$AC$4,F39&lt;=$AU$4),IF(""=IFERROR(INDEX(INDIRECT("Data!C"&amp;$K$5,FALSE),MATCH(F39,Data!$A:$A,0)),$BX$12),$BX$11,IFERROR(INDEX(INDIRECT("Data!C"&amp;$K$5,FALSE),MATCH(F39,Data!$A:$A,0)),$BX$12)),"-")</f>
        <v>102</v>
      </c>
      <c r="P39" s="71">
        <f ca="1">IF(AND(G39&gt;=$AC$4,G39&lt;=$AU$4),IF(""=IFERROR(INDEX(INDIRECT("Data!C"&amp;$K$5,FALSE),MATCH(G39,Data!$A:$A,0)),$BX$12),$BX$11,IFERROR(INDEX(INDIRECT("Data!C"&amp;$K$5,FALSE),MATCH(G39,Data!$A:$A,0)),$BX$12)),"-")</f>
        <v>120</v>
      </c>
      <c r="Q39" s="71">
        <f ca="1">IF(AND(H39&gt;=$AC$4,H39&lt;=$AU$4),IF(""=IFERROR(INDEX(INDIRECT("Data!C"&amp;$K$5,FALSE),MATCH(H39,Data!$A:$A,0)),$BX$12),$BX$11,IFERROR(INDEX(INDIRECT("Data!C"&amp;$K$5,FALSE),MATCH(H39,Data!$A:$A,0)),$BX$12)),"-")</f>
        <v>45</v>
      </c>
      <c r="R39" s="7"/>
      <c r="T39" s="34">
        <f t="shared" si="49"/>
        <v>41462</v>
      </c>
      <c r="U39" s="34">
        <f t="shared" si="44"/>
        <v>41463</v>
      </c>
      <c r="V39" s="34">
        <f t="shared" si="28"/>
        <v>41464</v>
      </c>
      <c r="W39" s="34">
        <f t="shared" si="29"/>
        <v>41465</v>
      </c>
      <c r="X39" s="34">
        <f t="shared" si="30"/>
        <v>41466</v>
      </c>
      <c r="Y39" s="34">
        <f t="shared" si="31"/>
        <v>41467</v>
      </c>
      <c r="Z39" s="34">
        <f t="shared" si="32"/>
        <v>41468</v>
      </c>
      <c r="AB39" s="24">
        <f t="array" ref="AB39">IFERROR(IF(MATCH(8,DAY(T39:Z39),0),Z39,""),"")</f>
        <v>41468</v>
      </c>
      <c r="AC39" s="71">
        <f ca="1">IF(AND(T39&gt;=$AC$4,T39&lt;=$AU$4),IF(""=IFERROR(INDEX(INDIRECT("Data!C"&amp;$K$5,FALSE),MATCH(T39,Data!$A:$A,0)),$BX$12),$BX$11,IFERROR(INDEX(INDIRECT("Data!C"&amp;$K$5,FALSE),MATCH(T39,Data!$A:$A,0)),$BX$12)),"-")</f>
        <v>20</v>
      </c>
      <c r="AD39" s="71">
        <f ca="1">IF(AND(U39&gt;=$AC$4,U39&lt;=$AU$4),IF(""=IFERROR(INDEX(INDIRECT("Data!C"&amp;$K$5,FALSE),MATCH(U39,Data!$A:$A,0)),$BX$12),$BX$11,IFERROR(INDEX(INDIRECT("Data!C"&amp;$K$5,FALSE),MATCH(U39,Data!$A:$A,0)),$BX$12)),"-")</f>
        <v>277</v>
      </c>
      <c r="AE39" s="71">
        <f ca="1">IF(AND(V39&gt;=$AC$4,V39&lt;=$AU$4),IF(""=IFERROR(INDEX(INDIRECT("Data!C"&amp;$K$5,FALSE),MATCH(V39,Data!$A:$A,0)),$BX$12),$BX$11,IFERROR(INDEX(INDIRECT("Data!C"&amp;$K$5,FALSE),MATCH(V39,Data!$A:$A,0)),$BX$12)),"-")</f>
        <v>186</v>
      </c>
      <c r="AF39" s="71">
        <f ca="1">IF(AND(W39&gt;=$AC$4,W39&lt;=$AU$4),IF(""=IFERROR(INDEX(INDIRECT("Data!C"&amp;$K$5,FALSE),MATCH(W39,Data!$A:$A,0)),$BX$12),$BX$11,IFERROR(INDEX(INDIRECT("Data!C"&amp;$K$5,FALSE),MATCH(W39,Data!$A:$A,0)),$BX$12)),"-")</f>
        <v>105</v>
      </c>
      <c r="AG39" s="71">
        <f ca="1">IF(AND(X39&gt;=$AC$4,X39&lt;=$AU$4),IF(""=IFERROR(INDEX(INDIRECT("Data!C"&amp;$K$5,FALSE),MATCH(X39,Data!$A:$A,0)),$BX$12),$BX$11,IFERROR(INDEX(INDIRECT("Data!C"&amp;$K$5,FALSE),MATCH(X39,Data!$A:$A,0)),$BX$12)),"-")</f>
        <v>73</v>
      </c>
      <c r="AH39" s="71">
        <f ca="1">IF(AND(Y39&gt;=$AC$4,Y39&lt;=$AU$4),IF(""=IFERROR(INDEX(INDIRECT("Data!C"&amp;$K$5,FALSE),MATCH(Y39,Data!$A:$A,0)),$BX$12),$BX$11,IFERROR(INDEX(INDIRECT("Data!C"&amp;$K$5,FALSE),MATCH(Y39,Data!$A:$A,0)),$BX$12)),"-")</f>
        <v>90</v>
      </c>
      <c r="AI39" s="71">
        <f ca="1">IF(AND(Z39&gt;=$AC$4,Z39&lt;=$AU$4),IF(""=IFERROR(INDEX(INDIRECT("Data!C"&amp;$K$5,FALSE),MATCH(Z39,Data!$A:$A,0)),$BX$12),$BX$11,IFERROR(INDEX(INDIRECT("Data!C"&amp;$K$5,FALSE),MATCH(Z39,Data!$A:$A,0)),$BX$12)),"-")</f>
        <v>46</v>
      </c>
      <c r="AJ39" s="7"/>
      <c r="AL39" s="34">
        <f t="shared" si="50"/>
        <v>41826</v>
      </c>
      <c r="AM39" s="34">
        <f t="shared" si="45"/>
        <v>41827</v>
      </c>
      <c r="AN39" s="34">
        <f t="shared" si="33"/>
        <v>41828</v>
      </c>
      <c r="AO39" s="34">
        <f t="shared" si="34"/>
        <v>41829</v>
      </c>
      <c r="AP39" s="34">
        <f t="shared" si="35"/>
        <v>41830</v>
      </c>
      <c r="AQ39" s="34">
        <f t="shared" si="36"/>
        <v>41831</v>
      </c>
      <c r="AR39" s="34">
        <f t="shared" si="37"/>
        <v>41832</v>
      </c>
      <c r="AT39" s="24">
        <f t="array" ref="AT39">IFERROR(IF(MATCH(8,DAY(AL39:AR39),0),AR39,""),"")</f>
        <v>41832</v>
      </c>
      <c r="AU39" s="71">
        <f ca="1">IF(AND(AL39&gt;=$AC$4,AL39&lt;=$AU$4),IF(""=IFERROR(INDEX(INDIRECT("Data!C"&amp;$K$5,FALSE),MATCH(AL39,Data!$A:$A,0)),$BX$12),$BX$11,IFERROR(INDEX(INDIRECT("Data!C"&amp;$K$5,FALSE),MATCH(AL39,Data!$A:$A,0)),$BX$12)),"-")</f>
        <v>16</v>
      </c>
      <c r="AV39" s="71">
        <f ca="1">IF(AND(AM39&gt;=$AC$4,AM39&lt;=$AU$4),IF(""=IFERROR(INDEX(INDIRECT("Data!C"&amp;$K$5,FALSE),MATCH(AM39,Data!$A:$A,0)),$BX$12),$BX$11,IFERROR(INDEX(INDIRECT("Data!C"&amp;$K$5,FALSE),MATCH(AM39,Data!$A:$A,0)),$BX$12)),"-")</f>
        <v>161</v>
      </c>
      <c r="AW39" s="71">
        <f ca="1">IF(AND(AN39&gt;=$AC$4,AN39&lt;=$AU$4),IF(""=IFERROR(INDEX(INDIRECT("Data!C"&amp;$K$5,FALSE),MATCH(AN39,Data!$A:$A,0)),$BX$12),$BX$11,IFERROR(INDEX(INDIRECT("Data!C"&amp;$K$5,FALSE),MATCH(AN39,Data!$A:$A,0)),$BX$12)),"-")</f>
        <v>192</v>
      </c>
      <c r="AX39" s="71">
        <f ca="1">IF(AND(AO39&gt;=$AC$4,AO39&lt;=$AU$4),IF(""=IFERROR(INDEX(INDIRECT("Data!C"&amp;$K$5,FALSE),MATCH(AO39,Data!$A:$A,0)),$BX$12),$BX$11,IFERROR(INDEX(INDIRECT("Data!C"&amp;$K$5,FALSE),MATCH(AO39,Data!$A:$A,0)),$BX$12)),"-")</f>
        <v>163</v>
      </c>
      <c r="AY39" s="71">
        <f ca="1">IF(AND(AP39&gt;=$AC$4,AP39&lt;=$AU$4),IF(""=IFERROR(INDEX(INDIRECT("Data!C"&amp;$K$5,FALSE),MATCH(AP39,Data!$A:$A,0)),$BX$12),$BX$11,IFERROR(INDEX(INDIRECT("Data!C"&amp;$K$5,FALSE),MATCH(AP39,Data!$A:$A,0)),$BX$12)),"-")</f>
        <v>144</v>
      </c>
      <c r="AZ39" s="71">
        <f ca="1">IF(AND(AQ39&gt;=$AC$4,AQ39&lt;=$AU$4),IF(""=IFERROR(INDEX(INDIRECT("Data!C"&amp;$K$5,FALSE),MATCH(AQ39,Data!$A:$A,0)),$BX$12),$BX$11,IFERROR(INDEX(INDIRECT("Data!C"&amp;$K$5,FALSE),MATCH(AQ39,Data!$A:$A,0)),$BX$12)),"-")</f>
        <v>130</v>
      </c>
      <c r="BA39" s="71">
        <f ca="1">IF(AND(AR39&gt;=$AC$4,AR39&lt;=$AU$4),IF(""=IFERROR(INDEX(INDIRECT("Data!C"&amp;$K$5,FALSE),MATCH(AR39,Data!$A:$A,0)),$BX$12),$BX$11,IFERROR(INDEX(INDIRECT("Data!C"&amp;$K$5,FALSE),MATCH(AR39,Data!$A:$A,0)),$BX$12)),"-")</f>
        <v>49</v>
      </c>
      <c r="BB39" s="7"/>
      <c r="BD39" s="34">
        <f t="shared" si="51"/>
        <v>42190</v>
      </c>
      <c r="BE39" s="34">
        <f t="shared" si="46"/>
        <v>42191</v>
      </c>
      <c r="BF39" s="34">
        <f t="shared" si="38"/>
        <v>42192</v>
      </c>
      <c r="BG39" s="34">
        <f t="shared" si="39"/>
        <v>42193</v>
      </c>
      <c r="BH39" s="34">
        <f t="shared" si="40"/>
        <v>42194</v>
      </c>
      <c r="BI39" s="34">
        <f t="shared" si="41"/>
        <v>42195</v>
      </c>
      <c r="BJ39" s="34">
        <f t="shared" si="42"/>
        <v>42196</v>
      </c>
      <c r="BL39" s="24">
        <f t="array" ref="BL39">IFERROR(IF(MATCH(8,DAY(BD39:BJ39),0),BJ39,""),"")</f>
        <v>42196</v>
      </c>
      <c r="BM39" s="71">
        <f ca="1">IF(AND(BD39&gt;=$AC$4,BD39&lt;=$AU$4),IF(""=IFERROR(INDEX(INDIRECT("Data!C"&amp;$K$5,FALSE),MATCH(BD39,Data!$A:$A,0)),$BX$12),$BX$11,IFERROR(INDEX(INDIRECT("Data!C"&amp;$K$5,FALSE),MATCH(BD39,Data!$A:$A,0)),$BX$12)),"-")</f>
        <v>20</v>
      </c>
      <c r="BN39" s="71">
        <f ca="1">IF(AND(BE39&gt;=$AC$4,BE39&lt;=$AU$4),IF(""=IFERROR(INDEX(INDIRECT("Data!C"&amp;$K$5,FALSE),MATCH(BE39,Data!$A:$A,0)),$BX$12),$BX$11,IFERROR(INDEX(INDIRECT("Data!C"&amp;$K$5,FALSE),MATCH(BE39,Data!$A:$A,0)),$BX$12)),"-")</f>
        <v>256</v>
      </c>
      <c r="BO39" s="71">
        <f ca="1">IF(AND(BF39&gt;=$AC$4,BF39&lt;=$AU$4),IF(""=IFERROR(INDEX(INDIRECT("Data!C"&amp;$K$5,FALSE),MATCH(BF39,Data!$A:$A,0)),$BX$12),$BX$11,IFERROR(INDEX(INDIRECT("Data!C"&amp;$K$5,FALSE),MATCH(BF39,Data!$A:$A,0)),$BX$12)),"-")</f>
        <v>145</v>
      </c>
      <c r="BP39" s="71">
        <f ca="1">IF(AND(BG39&gt;=$AC$4,BG39&lt;=$AU$4),IF(""=IFERROR(INDEX(INDIRECT("Data!C"&amp;$K$5,FALSE),MATCH(BG39,Data!$A:$A,0)),$BX$12),$BX$11,IFERROR(INDEX(INDIRECT("Data!C"&amp;$K$5,FALSE),MATCH(BG39,Data!$A:$A,0)),$BX$12)),"-")</f>
        <v>139</v>
      </c>
      <c r="BQ39" s="71">
        <f ca="1">IF(AND(BH39&gt;=$AC$4,BH39&lt;=$AU$4),IF(""=IFERROR(INDEX(INDIRECT("Data!C"&amp;$K$5,FALSE),MATCH(BH39,Data!$A:$A,0)),$BX$12),$BX$11,IFERROR(INDEX(INDIRECT("Data!C"&amp;$K$5,FALSE),MATCH(BH39,Data!$A:$A,0)),$BX$12)),"-")</f>
        <v>96</v>
      </c>
      <c r="BR39" s="71">
        <f ca="1">IF(AND(BI39&gt;=$AC$4,BI39&lt;=$AU$4),IF(""=IFERROR(INDEX(INDIRECT("Data!C"&amp;$K$5,FALSE),MATCH(BI39,Data!$A:$A,0)),$BX$12),$BX$11,IFERROR(INDEX(INDIRECT("Data!C"&amp;$K$5,FALSE),MATCH(BI39,Data!$A:$A,0)),$BX$12)),"-")</f>
        <v>162</v>
      </c>
      <c r="BS39" s="71">
        <f ca="1">IF(AND(BJ39&gt;=$AC$4,BJ39&lt;=$AU$4),IF(""=IFERROR(INDEX(INDIRECT("Data!C"&amp;$K$5,FALSE),MATCH(BJ39,Data!$A:$A,0)),$BX$12),$BX$11,IFERROR(INDEX(INDIRECT("Data!C"&amp;$K$5,FALSE),MATCH(BJ39,Data!$A:$A,0)),$BX$12)),"-")</f>
        <v>64</v>
      </c>
      <c r="BT39" s="7"/>
      <c r="BU39" s="58">
        <f t="shared" ca="1" si="47"/>
        <v>116.28571428571429</v>
      </c>
    </row>
    <row r="40" spans="2:73" ht="12" customHeight="1" x14ac:dyDescent="0.2">
      <c r="B40" s="34">
        <f t="shared" si="48"/>
        <v>41105</v>
      </c>
      <c r="C40" s="34">
        <f t="shared" si="52"/>
        <v>41106</v>
      </c>
      <c r="D40" s="34">
        <f t="shared" si="52"/>
        <v>41107</v>
      </c>
      <c r="E40" s="34">
        <f t="shared" si="52"/>
        <v>41108</v>
      </c>
      <c r="F40" s="34">
        <f t="shared" si="52"/>
        <v>41109</v>
      </c>
      <c r="G40" s="34">
        <f t="shared" si="52"/>
        <v>41110</v>
      </c>
      <c r="H40" s="34">
        <f t="shared" si="52"/>
        <v>41111</v>
      </c>
      <c r="J40" s="24" t="str">
        <f t="array" ref="J40">IFERROR(IF(MATCH(8,DAY(B40:H40),0),H40,""),"")</f>
        <v/>
      </c>
      <c r="K40" s="71">
        <f ca="1">IF(AND(B40&gt;=$AC$4,B40&lt;=$AU$4),IF(""=IFERROR(INDEX(INDIRECT("Data!C"&amp;$K$5,FALSE),MATCH(B40,Data!$A:$A,0)),$BX$12),$BX$11,IFERROR(INDEX(INDIRECT("Data!C"&amp;$K$5,FALSE),MATCH(B40,Data!$A:$A,0)),$BX$12)),"-")</f>
        <v>20</v>
      </c>
      <c r="L40" s="71">
        <f ca="1">IF(AND(C40&gt;=$AC$4,C40&lt;=$AU$4),IF(""=IFERROR(INDEX(INDIRECT("Data!C"&amp;$K$5,FALSE),MATCH(C40,Data!$A:$A,0)),$BX$12),$BX$11,IFERROR(INDEX(INDIRECT("Data!C"&amp;$K$5,FALSE),MATCH(C40,Data!$A:$A,0)),$BX$12)),"-")</f>
        <v>163</v>
      </c>
      <c r="M40" s="71">
        <f ca="1">IF(AND(D40&gt;=$AC$4,D40&lt;=$AU$4),IF(""=IFERROR(INDEX(INDIRECT("Data!C"&amp;$K$5,FALSE),MATCH(D40,Data!$A:$A,0)),$BX$12),$BX$11,IFERROR(INDEX(INDIRECT("Data!C"&amp;$K$5,FALSE),MATCH(D40,Data!$A:$A,0)),$BX$12)),"-")</f>
        <v>125</v>
      </c>
      <c r="N40" s="71">
        <f ca="1">IF(AND(E40&gt;=$AC$4,E40&lt;=$AU$4),IF(""=IFERROR(INDEX(INDIRECT("Data!C"&amp;$K$5,FALSE),MATCH(E40,Data!$A:$A,0)),$BX$12),$BX$11,IFERROR(INDEX(INDIRECT("Data!C"&amp;$K$5,FALSE),MATCH(E40,Data!$A:$A,0)),$BX$12)),"-")</f>
        <v>151</v>
      </c>
      <c r="O40" s="71">
        <f ca="1">IF(AND(F40&gt;=$AC$4,F40&lt;=$AU$4),IF(""=IFERROR(INDEX(INDIRECT("Data!C"&amp;$K$5,FALSE),MATCH(F40,Data!$A:$A,0)),$BX$12),$BX$11,IFERROR(INDEX(INDIRECT("Data!C"&amp;$K$5,FALSE),MATCH(F40,Data!$A:$A,0)),$BX$12)),"-")</f>
        <v>130</v>
      </c>
      <c r="P40" s="71">
        <f ca="1">IF(AND(G40&gt;=$AC$4,G40&lt;=$AU$4),IF(""=IFERROR(INDEX(INDIRECT("Data!C"&amp;$K$5,FALSE),MATCH(G40,Data!$A:$A,0)),$BX$12),$BX$11,IFERROR(INDEX(INDIRECT("Data!C"&amp;$K$5,FALSE),MATCH(G40,Data!$A:$A,0)),$BX$12)),"-")</f>
        <v>175</v>
      </c>
      <c r="Q40" s="71">
        <f ca="1">IF(AND(H40&gt;=$AC$4,H40&lt;=$AU$4),IF(""=IFERROR(INDEX(INDIRECT("Data!C"&amp;$K$5,FALSE),MATCH(H40,Data!$A:$A,0)),$BX$12),$BX$11,IFERROR(INDEX(INDIRECT("Data!C"&amp;$K$5,FALSE),MATCH(H40,Data!$A:$A,0)),$BX$12)),"-")</f>
        <v>32</v>
      </c>
      <c r="R40" s="7"/>
      <c r="T40" s="34">
        <f t="shared" si="49"/>
        <v>41469</v>
      </c>
      <c r="U40" s="34">
        <f t="shared" si="44"/>
        <v>41470</v>
      </c>
      <c r="V40" s="34">
        <f t="shared" si="28"/>
        <v>41471</v>
      </c>
      <c r="W40" s="34">
        <f t="shared" si="29"/>
        <v>41472</v>
      </c>
      <c r="X40" s="34">
        <f t="shared" si="30"/>
        <v>41473</v>
      </c>
      <c r="Y40" s="34">
        <f t="shared" si="31"/>
        <v>41474</v>
      </c>
      <c r="Z40" s="34">
        <f t="shared" si="32"/>
        <v>41475</v>
      </c>
      <c r="AB40" s="24" t="str">
        <f t="array" ref="AB40">IFERROR(IF(MATCH(8,DAY(T40:Z40),0),Z40,""),"")</f>
        <v/>
      </c>
      <c r="AC40" s="71">
        <f ca="1">IF(AND(T40&gt;=$AC$4,T40&lt;=$AU$4),IF(""=IFERROR(INDEX(INDIRECT("Data!C"&amp;$K$5,FALSE),MATCH(T40,Data!$A:$A,0)),$BX$12),$BX$11,IFERROR(INDEX(INDIRECT("Data!C"&amp;$K$5,FALSE),MATCH(T40,Data!$A:$A,0)),$BX$12)),"-")</f>
        <v>11</v>
      </c>
      <c r="AD40" s="71">
        <f ca="1">IF(AND(U40&gt;=$AC$4,U40&lt;=$AU$4),IF(""=IFERROR(INDEX(INDIRECT("Data!C"&amp;$K$5,FALSE),MATCH(U40,Data!$A:$A,0)),$BX$12),$BX$11,IFERROR(INDEX(INDIRECT("Data!C"&amp;$K$5,FALSE),MATCH(U40,Data!$A:$A,0)),$BX$12)),"-")</f>
        <v>193</v>
      </c>
      <c r="AE40" s="71">
        <f ca="1">IF(AND(V40&gt;=$AC$4,V40&lt;=$AU$4),IF(""=IFERROR(INDEX(INDIRECT("Data!C"&amp;$K$5,FALSE),MATCH(V40,Data!$A:$A,0)),$BX$12),$BX$11,IFERROR(INDEX(INDIRECT("Data!C"&amp;$K$5,FALSE),MATCH(V40,Data!$A:$A,0)),$BX$12)),"-")</f>
        <v>208</v>
      </c>
      <c r="AF40" s="71">
        <f ca="1">IF(AND(W40&gt;=$AC$4,W40&lt;=$AU$4),IF(""=IFERROR(INDEX(INDIRECT("Data!C"&amp;$K$5,FALSE),MATCH(W40,Data!$A:$A,0)),$BX$12),$BX$11,IFERROR(INDEX(INDIRECT("Data!C"&amp;$K$5,FALSE),MATCH(W40,Data!$A:$A,0)),$BX$12)),"-")</f>
        <v>240</v>
      </c>
      <c r="AG40" s="71">
        <f ca="1">IF(AND(X40&gt;=$AC$4,X40&lt;=$AU$4),IF(""=IFERROR(INDEX(INDIRECT("Data!C"&amp;$K$5,FALSE),MATCH(X40,Data!$A:$A,0)),$BX$12),$BX$11,IFERROR(INDEX(INDIRECT("Data!C"&amp;$K$5,FALSE),MATCH(X40,Data!$A:$A,0)),$BX$12)),"-")</f>
        <v>136</v>
      </c>
      <c r="AH40" s="71">
        <f ca="1">IF(AND(Y40&gt;=$AC$4,Y40&lt;=$AU$4),IF(""=IFERROR(INDEX(INDIRECT("Data!C"&amp;$K$5,FALSE),MATCH(Y40,Data!$A:$A,0)),$BX$12),$BX$11,IFERROR(INDEX(INDIRECT("Data!C"&amp;$K$5,FALSE),MATCH(Y40,Data!$A:$A,0)),$BX$12)),"-")</f>
        <v>91</v>
      </c>
      <c r="AI40" s="71">
        <f ca="1">IF(AND(Z40&gt;=$AC$4,Z40&lt;=$AU$4),IF(""=IFERROR(INDEX(INDIRECT("Data!C"&amp;$K$5,FALSE),MATCH(Z40,Data!$A:$A,0)),$BX$12),$BX$11,IFERROR(INDEX(INDIRECT("Data!C"&amp;$K$5,FALSE),MATCH(Z40,Data!$A:$A,0)),$BX$12)),"-")</f>
        <v>52</v>
      </c>
      <c r="AJ40" s="7"/>
      <c r="AL40" s="34">
        <f t="shared" si="50"/>
        <v>41833</v>
      </c>
      <c r="AM40" s="34">
        <f t="shared" si="45"/>
        <v>41834</v>
      </c>
      <c r="AN40" s="34">
        <f t="shared" si="33"/>
        <v>41835</v>
      </c>
      <c r="AO40" s="34">
        <f t="shared" si="34"/>
        <v>41836</v>
      </c>
      <c r="AP40" s="34">
        <f t="shared" si="35"/>
        <v>41837</v>
      </c>
      <c r="AQ40" s="34">
        <f t="shared" si="36"/>
        <v>41838</v>
      </c>
      <c r="AR40" s="34">
        <f t="shared" si="37"/>
        <v>41839</v>
      </c>
      <c r="AT40" s="24" t="str">
        <f t="array" ref="AT40">IFERROR(IF(MATCH(8,DAY(AL40:AR40),0),AR40,""),"")</f>
        <v/>
      </c>
      <c r="AU40" s="71">
        <f ca="1">IF(AND(AL40&gt;=$AC$4,AL40&lt;=$AU$4),IF(""=IFERROR(INDEX(INDIRECT("Data!C"&amp;$K$5,FALSE),MATCH(AL40,Data!$A:$A,0)),$BX$12),$BX$11,IFERROR(INDEX(INDIRECT("Data!C"&amp;$K$5,FALSE),MATCH(AL40,Data!$A:$A,0)),$BX$12)),"-")</f>
        <v>28</v>
      </c>
      <c r="AV40" s="71">
        <f ca="1">IF(AND(AM40&gt;=$AC$4,AM40&lt;=$AU$4),IF(""=IFERROR(INDEX(INDIRECT("Data!C"&amp;$K$5,FALSE),MATCH(AM40,Data!$A:$A,0)),$BX$12),$BX$11,IFERROR(INDEX(INDIRECT("Data!C"&amp;$K$5,FALSE),MATCH(AM40,Data!$A:$A,0)),$BX$12)),"-")</f>
        <v>209</v>
      </c>
      <c r="AW40" s="71">
        <f ca="1">IF(AND(AN40&gt;=$AC$4,AN40&lt;=$AU$4),IF(""=IFERROR(INDEX(INDIRECT("Data!C"&amp;$K$5,FALSE),MATCH(AN40,Data!$A:$A,0)),$BX$12),$BX$11,IFERROR(INDEX(INDIRECT("Data!C"&amp;$K$5,FALSE),MATCH(AN40,Data!$A:$A,0)),$BX$12)),"-")</f>
        <v>190</v>
      </c>
      <c r="AX40" s="71">
        <f ca="1">IF(AND(AO40&gt;=$AC$4,AO40&lt;=$AU$4),IF(""=IFERROR(INDEX(INDIRECT("Data!C"&amp;$K$5,FALSE),MATCH(AO40,Data!$A:$A,0)),$BX$12),$BX$11,IFERROR(INDEX(INDIRECT("Data!C"&amp;$K$5,FALSE),MATCH(AO40,Data!$A:$A,0)),$BX$12)),"-")</f>
        <v>145</v>
      </c>
      <c r="AY40" s="71">
        <f ca="1">IF(AND(AP40&gt;=$AC$4,AP40&lt;=$AU$4),IF(""=IFERROR(INDEX(INDIRECT("Data!C"&amp;$K$5,FALSE),MATCH(AP40,Data!$A:$A,0)),$BX$12),$BX$11,IFERROR(INDEX(INDIRECT("Data!C"&amp;$K$5,FALSE),MATCH(AP40,Data!$A:$A,0)),$BX$12)),"-")</f>
        <v>151</v>
      </c>
      <c r="AZ40" s="71">
        <f ca="1">IF(AND(AQ40&gt;=$AC$4,AQ40&lt;=$AU$4),IF(""=IFERROR(INDEX(INDIRECT("Data!C"&amp;$K$5,FALSE),MATCH(AQ40,Data!$A:$A,0)),$BX$12),$BX$11,IFERROR(INDEX(INDIRECT("Data!C"&amp;$K$5,FALSE),MATCH(AQ40,Data!$A:$A,0)),$BX$12)),"-")</f>
        <v>97</v>
      </c>
      <c r="BA40" s="71">
        <f ca="1">IF(AND(AR40&gt;=$AC$4,AR40&lt;=$AU$4),IF(""=IFERROR(INDEX(INDIRECT("Data!C"&amp;$K$5,FALSE),MATCH(AR40,Data!$A:$A,0)),$BX$12),$BX$11,IFERROR(INDEX(INDIRECT("Data!C"&amp;$K$5,FALSE),MATCH(AR40,Data!$A:$A,0)),$BX$12)),"-")</f>
        <v>59</v>
      </c>
      <c r="BB40" s="7"/>
      <c r="BD40" s="34">
        <f t="shared" si="51"/>
        <v>42197</v>
      </c>
      <c r="BE40" s="34">
        <f t="shared" si="46"/>
        <v>42198</v>
      </c>
      <c r="BF40" s="34">
        <f t="shared" si="38"/>
        <v>42199</v>
      </c>
      <c r="BG40" s="34">
        <f t="shared" si="39"/>
        <v>42200</v>
      </c>
      <c r="BH40" s="34">
        <f t="shared" si="40"/>
        <v>42201</v>
      </c>
      <c r="BI40" s="34">
        <f t="shared" si="41"/>
        <v>42202</v>
      </c>
      <c r="BJ40" s="34">
        <f t="shared" si="42"/>
        <v>42203</v>
      </c>
      <c r="BL40" s="24" t="str">
        <f t="array" ref="BL40">IFERROR(IF(MATCH(8,DAY(BD40:BJ40),0),BJ40,""),"")</f>
        <v/>
      </c>
      <c r="BM40" s="71">
        <f ca="1">IF(AND(BD40&gt;=$AC$4,BD40&lt;=$AU$4),IF(""=IFERROR(INDEX(INDIRECT("Data!C"&amp;$K$5,FALSE),MATCH(BD40,Data!$A:$A,0)),$BX$12),$BX$11,IFERROR(INDEX(INDIRECT("Data!C"&amp;$K$5,FALSE),MATCH(BD40,Data!$A:$A,0)),$BX$12)),"-")</f>
        <v>26</v>
      </c>
      <c r="BN40" s="71">
        <f ca="1">IF(AND(BE40&gt;=$AC$4,BE40&lt;=$AU$4),IF(""=IFERROR(INDEX(INDIRECT("Data!C"&amp;$K$5,FALSE),MATCH(BE40,Data!$A:$A,0)),$BX$12),$BX$11,IFERROR(INDEX(INDIRECT("Data!C"&amp;$K$5,FALSE),MATCH(BE40,Data!$A:$A,0)),$BX$12)),"-")</f>
        <v>246</v>
      </c>
      <c r="BO40" s="71">
        <f ca="1">IF(AND(BF40&gt;=$AC$4,BF40&lt;=$AU$4),IF(""=IFERROR(INDEX(INDIRECT("Data!C"&amp;$K$5,FALSE),MATCH(BF40,Data!$A:$A,0)),$BX$12),$BX$11,IFERROR(INDEX(INDIRECT("Data!C"&amp;$K$5,FALSE),MATCH(BF40,Data!$A:$A,0)),$BX$12)),"-")</f>
        <v>193</v>
      </c>
      <c r="BP40" s="71">
        <f ca="1">IF(AND(BG40&gt;=$AC$4,BG40&lt;=$AU$4),IF(""=IFERROR(INDEX(INDIRECT("Data!C"&amp;$K$5,FALSE),MATCH(BG40,Data!$A:$A,0)),$BX$12),$BX$11,IFERROR(INDEX(INDIRECT("Data!C"&amp;$K$5,FALSE),MATCH(BG40,Data!$A:$A,0)),$BX$12)),"-")</f>
        <v>156</v>
      </c>
      <c r="BQ40" s="71">
        <f ca="1">IF(AND(BH40&gt;=$AC$4,BH40&lt;=$AU$4),IF(""=IFERROR(INDEX(INDIRECT("Data!C"&amp;$K$5,FALSE),MATCH(BH40,Data!$A:$A,0)),$BX$12),$BX$11,IFERROR(INDEX(INDIRECT("Data!C"&amp;$K$5,FALSE),MATCH(BH40,Data!$A:$A,0)),$BX$12)),"-")</f>
        <v>183</v>
      </c>
      <c r="BR40" s="71">
        <f ca="1">IF(AND(BI40&gt;=$AC$4,BI40&lt;=$AU$4),IF(""=IFERROR(INDEX(INDIRECT("Data!C"&amp;$K$5,FALSE),MATCH(BI40,Data!$A:$A,0)),$BX$12),$BX$11,IFERROR(INDEX(INDIRECT("Data!C"&amp;$K$5,FALSE),MATCH(BI40,Data!$A:$A,0)),$BX$12)),"-")</f>
        <v>181</v>
      </c>
      <c r="BS40" s="71">
        <f ca="1">IF(AND(BJ40&gt;=$AC$4,BJ40&lt;=$AU$4),IF(""=IFERROR(INDEX(INDIRECT("Data!C"&amp;$K$5,FALSE),MATCH(BJ40,Data!$A:$A,0)),$BX$12),$BX$11,IFERROR(INDEX(INDIRECT("Data!C"&amp;$K$5,FALSE),MATCH(BJ40,Data!$A:$A,0)),$BX$12)),"-")</f>
        <v>75</v>
      </c>
      <c r="BT40" s="7"/>
      <c r="BU40" s="58">
        <f t="shared" ca="1" si="47"/>
        <v>130.92857142857142</v>
      </c>
    </row>
    <row r="41" spans="2:73" ht="12" customHeight="1" x14ac:dyDescent="0.2">
      <c r="B41" s="34">
        <f t="shared" si="48"/>
        <v>41112</v>
      </c>
      <c r="C41" s="34">
        <f t="shared" si="52"/>
        <v>41113</v>
      </c>
      <c r="D41" s="34">
        <f t="shared" si="52"/>
        <v>41114</v>
      </c>
      <c r="E41" s="34">
        <f t="shared" si="52"/>
        <v>41115</v>
      </c>
      <c r="F41" s="34">
        <f t="shared" si="52"/>
        <v>41116</v>
      </c>
      <c r="G41" s="34">
        <f t="shared" si="52"/>
        <v>41117</v>
      </c>
      <c r="H41" s="34">
        <f t="shared" si="52"/>
        <v>41118</v>
      </c>
      <c r="J41" s="24" t="str">
        <f t="array" ref="J41">IFERROR(IF(MATCH(8,DAY(B41:H41),0),H41,""),"")</f>
        <v/>
      </c>
      <c r="K41" s="71">
        <f ca="1">IF(AND(B41&gt;=$AC$4,B41&lt;=$AU$4),IF(""=IFERROR(INDEX(INDIRECT("Data!C"&amp;$K$5,FALSE),MATCH(B41,Data!$A:$A,0)),$BX$12),$BX$11,IFERROR(INDEX(INDIRECT("Data!C"&amp;$K$5,FALSE),MATCH(B41,Data!$A:$A,0)),$BX$12)),"-")</f>
        <v>14</v>
      </c>
      <c r="L41" s="71">
        <f ca="1">IF(AND(C41&gt;=$AC$4,C41&lt;=$AU$4),IF(""=IFERROR(INDEX(INDIRECT("Data!C"&amp;$K$5,FALSE),MATCH(C41,Data!$A:$A,0)),$BX$12),$BX$11,IFERROR(INDEX(INDIRECT("Data!C"&amp;$K$5,FALSE),MATCH(C41,Data!$A:$A,0)),$BX$12)),"-")</f>
        <v>236</v>
      </c>
      <c r="M41" s="71">
        <f ca="1">IF(AND(D41&gt;=$AC$4,D41&lt;=$AU$4),IF(""=IFERROR(INDEX(INDIRECT("Data!C"&amp;$K$5,FALSE),MATCH(D41,Data!$A:$A,0)),$BX$12),$BX$11,IFERROR(INDEX(INDIRECT("Data!C"&amp;$K$5,FALSE),MATCH(D41,Data!$A:$A,0)),$BX$12)),"-")</f>
        <v>242</v>
      </c>
      <c r="N41" s="71">
        <f ca="1">IF(AND(E41&gt;=$AC$4,E41&lt;=$AU$4),IF(""=IFERROR(INDEX(INDIRECT("Data!C"&amp;$K$5,FALSE),MATCH(E41,Data!$A:$A,0)),$BX$12),$BX$11,IFERROR(INDEX(INDIRECT("Data!C"&amp;$K$5,FALSE),MATCH(E41,Data!$A:$A,0)),$BX$12)),"-")</f>
        <v>172</v>
      </c>
      <c r="O41" s="71">
        <f ca="1">IF(AND(F41&gt;=$AC$4,F41&lt;=$AU$4),IF(""=IFERROR(INDEX(INDIRECT("Data!C"&amp;$K$5,FALSE),MATCH(F41,Data!$A:$A,0)),$BX$12),$BX$11,IFERROR(INDEX(INDIRECT("Data!C"&amp;$K$5,FALSE),MATCH(F41,Data!$A:$A,0)),$BX$12)),"-")</f>
        <v>177</v>
      </c>
      <c r="P41" s="71">
        <f ca="1">IF(AND(G41&gt;=$AC$4,G41&lt;=$AU$4),IF(""=IFERROR(INDEX(INDIRECT("Data!C"&amp;$K$5,FALSE),MATCH(G41,Data!$A:$A,0)),$BX$12),$BX$11,IFERROR(INDEX(INDIRECT("Data!C"&amp;$K$5,FALSE),MATCH(G41,Data!$A:$A,0)),$BX$12)),"-")</f>
        <v>92</v>
      </c>
      <c r="Q41" s="71">
        <f ca="1">IF(AND(H41&gt;=$AC$4,H41&lt;=$AU$4),IF(""=IFERROR(INDEX(INDIRECT("Data!C"&amp;$K$5,FALSE),MATCH(H41,Data!$A:$A,0)),$BX$12),$BX$11,IFERROR(INDEX(INDIRECT("Data!C"&amp;$K$5,FALSE),MATCH(H41,Data!$A:$A,0)),$BX$12)),"-")</f>
        <v>37</v>
      </c>
      <c r="R41" s="7"/>
      <c r="T41" s="34">
        <f t="shared" si="49"/>
        <v>41476</v>
      </c>
      <c r="U41" s="34">
        <f t="shared" si="44"/>
        <v>41477</v>
      </c>
      <c r="V41" s="34">
        <f t="shared" si="28"/>
        <v>41478</v>
      </c>
      <c r="W41" s="34">
        <f t="shared" si="29"/>
        <v>41479</v>
      </c>
      <c r="X41" s="34">
        <f t="shared" si="30"/>
        <v>41480</v>
      </c>
      <c r="Y41" s="34">
        <f t="shared" si="31"/>
        <v>41481</v>
      </c>
      <c r="Z41" s="34">
        <f t="shared" si="32"/>
        <v>41482</v>
      </c>
      <c r="AB41" s="24" t="str">
        <f t="array" ref="AB41">IFERROR(IF(MATCH(8,DAY(T41:Z41),0),Z41,""),"")</f>
        <v/>
      </c>
      <c r="AC41" s="71">
        <f ca="1">IF(AND(T41&gt;=$AC$4,T41&lt;=$AU$4),IF(""=IFERROR(INDEX(INDIRECT("Data!C"&amp;$K$5,FALSE),MATCH(T41,Data!$A:$A,0)),$BX$12),$BX$11,IFERROR(INDEX(INDIRECT("Data!C"&amp;$K$5,FALSE),MATCH(T41,Data!$A:$A,0)),$BX$12)),"-")</f>
        <v>28</v>
      </c>
      <c r="AD41" s="71">
        <f ca="1">IF(AND(U41&gt;=$AC$4,U41&lt;=$AU$4),IF(""=IFERROR(INDEX(INDIRECT("Data!C"&amp;$K$5,FALSE),MATCH(U41,Data!$A:$A,0)),$BX$12),$BX$11,IFERROR(INDEX(INDIRECT("Data!C"&amp;$K$5,FALSE),MATCH(U41,Data!$A:$A,0)),$BX$12)),"-")</f>
        <v>327</v>
      </c>
      <c r="AE41" s="71">
        <f ca="1">IF(AND(V41&gt;=$AC$4,V41&lt;=$AU$4),IF(""=IFERROR(INDEX(INDIRECT("Data!C"&amp;$K$5,FALSE),MATCH(V41,Data!$A:$A,0)),$BX$12),$BX$11,IFERROR(INDEX(INDIRECT("Data!C"&amp;$K$5,FALSE),MATCH(V41,Data!$A:$A,0)),$BX$12)),"-")</f>
        <v>151</v>
      </c>
      <c r="AF41" s="71">
        <f ca="1">IF(AND(W41&gt;=$AC$4,W41&lt;=$AU$4),IF(""=IFERROR(INDEX(INDIRECT("Data!C"&amp;$K$5,FALSE),MATCH(W41,Data!$A:$A,0)),$BX$12),$BX$11,IFERROR(INDEX(INDIRECT("Data!C"&amp;$K$5,FALSE),MATCH(W41,Data!$A:$A,0)),$BX$12)),"-")</f>
        <v>156</v>
      </c>
      <c r="AG41" s="71">
        <f ca="1">IF(AND(X41&gt;=$AC$4,X41&lt;=$AU$4),IF(""=IFERROR(INDEX(INDIRECT("Data!C"&amp;$K$5,FALSE),MATCH(X41,Data!$A:$A,0)),$BX$12),$BX$11,IFERROR(INDEX(INDIRECT("Data!C"&amp;$K$5,FALSE),MATCH(X41,Data!$A:$A,0)),$BX$12)),"-")</f>
        <v>255</v>
      </c>
      <c r="AH41" s="71">
        <f ca="1">IF(AND(Y41&gt;=$AC$4,Y41&lt;=$AU$4),IF(""=IFERROR(INDEX(INDIRECT("Data!C"&amp;$K$5,FALSE),MATCH(Y41,Data!$A:$A,0)),$BX$12),$BX$11,IFERROR(INDEX(INDIRECT("Data!C"&amp;$K$5,FALSE),MATCH(Y41,Data!$A:$A,0)),$BX$12)),"-")</f>
        <v>115</v>
      </c>
      <c r="AI41" s="71">
        <f ca="1">IF(AND(Z41&gt;=$AC$4,Z41&lt;=$AU$4),IF(""=IFERROR(INDEX(INDIRECT("Data!C"&amp;$K$5,FALSE),MATCH(Z41,Data!$A:$A,0)),$BX$12),$BX$11,IFERROR(INDEX(INDIRECT("Data!C"&amp;$K$5,FALSE),MATCH(Z41,Data!$A:$A,0)),$BX$12)),"-")</f>
        <v>57</v>
      </c>
      <c r="AJ41" s="7"/>
      <c r="AL41" s="34">
        <f t="shared" si="50"/>
        <v>41840</v>
      </c>
      <c r="AM41" s="34">
        <f t="shared" si="45"/>
        <v>41841</v>
      </c>
      <c r="AN41" s="34">
        <f t="shared" si="33"/>
        <v>41842</v>
      </c>
      <c r="AO41" s="34">
        <f t="shared" si="34"/>
        <v>41843</v>
      </c>
      <c r="AP41" s="34">
        <f t="shared" si="35"/>
        <v>41844</v>
      </c>
      <c r="AQ41" s="34">
        <f t="shared" si="36"/>
        <v>41845</v>
      </c>
      <c r="AR41" s="34">
        <f t="shared" si="37"/>
        <v>41846</v>
      </c>
      <c r="AT41" s="24" t="str">
        <f t="array" ref="AT41">IFERROR(IF(MATCH(8,DAY(AL41:AR41),0),AR41,""),"")</f>
        <v/>
      </c>
      <c r="AU41" s="71">
        <f ca="1">IF(AND(AL41&gt;=$AC$4,AL41&lt;=$AU$4),IF(""=IFERROR(INDEX(INDIRECT("Data!C"&amp;$K$5,FALSE),MATCH(AL41,Data!$A:$A,0)),$BX$12),$BX$11,IFERROR(INDEX(INDIRECT("Data!C"&amp;$K$5,FALSE),MATCH(AL41,Data!$A:$A,0)),$BX$12)),"-")</f>
        <v>18</v>
      </c>
      <c r="AV41" s="71">
        <f ca="1">IF(AND(AM41&gt;=$AC$4,AM41&lt;=$AU$4),IF(""=IFERROR(INDEX(INDIRECT("Data!C"&amp;$K$5,FALSE),MATCH(AM41,Data!$A:$A,0)),$BX$12),$BX$11,IFERROR(INDEX(INDIRECT("Data!C"&amp;$K$5,FALSE),MATCH(AM41,Data!$A:$A,0)),$BX$12)),"-")</f>
        <v>276</v>
      </c>
      <c r="AW41" s="71">
        <f ca="1">IF(AND(AN41&gt;=$AC$4,AN41&lt;=$AU$4),IF(""=IFERROR(INDEX(INDIRECT("Data!C"&amp;$K$5,FALSE),MATCH(AN41,Data!$A:$A,0)),$BX$12),$BX$11,IFERROR(INDEX(INDIRECT("Data!C"&amp;$K$5,FALSE),MATCH(AN41,Data!$A:$A,0)),$BX$12)),"-")</f>
        <v>251</v>
      </c>
      <c r="AX41" s="71">
        <f ca="1">IF(AND(AO41&gt;=$AC$4,AO41&lt;=$AU$4),IF(""=IFERROR(INDEX(INDIRECT("Data!C"&amp;$K$5,FALSE),MATCH(AO41,Data!$A:$A,0)),$BX$12),$BX$11,IFERROR(INDEX(INDIRECT("Data!C"&amp;$K$5,FALSE),MATCH(AO41,Data!$A:$A,0)),$BX$12)),"-")</f>
        <v>286</v>
      </c>
      <c r="AY41" s="71">
        <f ca="1">IF(AND(AP41&gt;=$AC$4,AP41&lt;=$AU$4),IF(""=IFERROR(INDEX(INDIRECT("Data!C"&amp;$K$5,FALSE),MATCH(AP41,Data!$A:$A,0)),$BX$12),$BX$11,IFERROR(INDEX(INDIRECT("Data!C"&amp;$K$5,FALSE),MATCH(AP41,Data!$A:$A,0)),$BX$12)),"-")</f>
        <v>175</v>
      </c>
      <c r="AZ41" s="71">
        <f ca="1">IF(AND(AQ41&gt;=$AC$4,AQ41&lt;=$AU$4),IF(""=IFERROR(INDEX(INDIRECT("Data!C"&amp;$K$5,FALSE),MATCH(AQ41,Data!$A:$A,0)),$BX$12),$BX$11,IFERROR(INDEX(INDIRECT("Data!C"&amp;$K$5,FALSE),MATCH(AQ41,Data!$A:$A,0)),$BX$12)),"-")</f>
        <v>232</v>
      </c>
      <c r="BA41" s="71">
        <f ca="1">IF(AND(AR41&gt;=$AC$4,AR41&lt;=$AU$4),IF(""=IFERROR(INDEX(INDIRECT("Data!C"&amp;$K$5,FALSE),MATCH(AR41,Data!$A:$A,0)),$BX$12),$BX$11,IFERROR(INDEX(INDIRECT("Data!C"&amp;$K$5,FALSE),MATCH(AR41,Data!$A:$A,0)),$BX$12)),"-")</f>
        <v>48</v>
      </c>
      <c r="BB41" s="7"/>
      <c r="BD41" s="34">
        <f t="shared" si="51"/>
        <v>42204</v>
      </c>
      <c r="BE41" s="34">
        <f t="shared" si="46"/>
        <v>42205</v>
      </c>
      <c r="BF41" s="34">
        <f t="shared" si="38"/>
        <v>42206</v>
      </c>
      <c r="BG41" s="34">
        <f t="shared" si="39"/>
        <v>42207</v>
      </c>
      <c r="BH41" s="34">
        <f t="shared" si="40"/>
        <v>42208</v>
      </c>
      <c r="BI41" s="34">
        <f t="shared" si="41"/>
        <v>42209</v>
      </c>
      <c r="BJ41" s="34">
        <f t="shared" si="42"/>
        <v>42210</v>
      </c>
      <c r="BL41" s="24" t="str">
        <f t="array" ref="BL41">IFERROR(IF(MATCH(8,DAY(BD41:BJ41),0),BJ41,""),"")</f>
        <v/>
      </c>
      <c r="BM41" s="71">
        <f ca="1">IF(AND(BD41&gt;=$AC$4,BD41&lt;=$AU$4),IF(""=IFERROR(INDEX(INDIRECT("Data!C"&amp;$K$5,FALSE),MATCH(BD41,Data!$A:$A,0)),$BX$12),$BX$11,IFERROR(INDEX(INDIRECT("Data!C"&amp;$K$5,FALSE),MATCH(BD41,Data!$A:$A,0)),$BX$12)),"-")</f>
        <v>35</v>
      </c>
      <c r="BN41" s="71">
        <f ca="1">IF(AND(BE41&gt;=$AC$4,BE41&lt;=$AU$4),IF(""=IFERROR(INDEX(INDIRECT("Data!C"&amp;$K$5,FALSE),MATCH(BE41,Data!$A:$A,0)),$BX$12),$BX$11,IFERROR(INDEX(INDIRECT("Data!C"&amp;$K$5,FALSE),MATCH(BE41,Data!$A:$A,0)),$BX$12)),"-")</f>
        <v>359</v>
      </c>
      <c r="BO41" s="71">
        <f ca="1">IF(AND(BF41&gt;=$AC$4,BF41&lt;=$AU$4),IF(""=IFERROR(INDEX(INDIRECT("Data!C"&amp;$K$5,FALSE),MATCH(BF41,Data!$A:$A,0)),$BX$12),$BX$11,IFERROR(INDEX(INDIRECT("Data!C"&amp;$K$5,FALSE),MATCH(BF41,Data!$A:$A,0)),$BX$12)),"-")</f>
        <v>333</v>
      </c>
      <c r="BP41" s="71">
        <f ca="1">IF(AND(BG41&gt;=$AC$4,BG41&lt;=$AU$4),IF(""=IFERROR(INDEX(INDIRECT("Data!C"&amp;$K$5,FALSE),MATCH(BG41,Data!$A:$A,0)),$BX$12),$BX$11,IFERROR(INDEX(INDIRECT("Data!C"&amp;$K$5,FALSE),MATCH(BG41,Data!$A:$A,0)),$BX$12)),"-")</f>
        <v>307</v>
      </c>
      <c r="BQ41" s="71">
        <f ca="1">IF(AND(BH41&gt;=$AC$4,BH41&lt;=$AU$4),IF(""=IFERROR(INDEX(INDIRECT("Data!C"&amp;$K$5,FALSE),MATCH(BH41,Data!$A:$A,0)),$BX$12),$BX$11,IFERROR(INDEX(INDIRECT("Data!C"&amp;$K$5,FALSE),MATCH(BH41,Data!$A:$A,0)),$BX$12)),"-")</f>
        <v>243</v>
      </c>
      <c r="BR41" s="71">
        <f ca="1">IF(AND(BI41&gt;=$AC$4,BI41&lt;=$AU$4),IF(""=IFERROR(INDEX(INDIRECT("Data!C"&amp;$K$5,FALSE),MATCH(BI41,Data!$A:$A,0)),$BX$12),$BX$11,IFERROR(INDEX(INDIRECT("Data!C"&amp;$K$5,FALSE),MATCH(BI41,Data!$A:$A,0)),$BX$12)),"-")</f>
        <v>201</v>
      </c>
      <c r="BS41" s="71">
        <f ca="1">IF(AND(BJ41&gt;=$AC$4,BJ41&lt;=$AU$4),IF(""=IFERROR(INDEX(INDIRECT("Data!C"&amp;$K$5,FALSE),MATCH(BJ41,Data!$A:$A,0)),$BX$12),$BX$11,IFERROR(INDEX(INDIRECT("Data!C"&amp;$K$5,FALSE),MATCH(BJ41,Data!$A:$A,0)),$BX$12)),"-")</f>
        <v>70</v>
      </c>
      <c r="BT41" s="7"/>
      <c r="BU41" s="58">
        <f t="shared" ca="1" si="47"/>
        <v>174.75</v>
      </c>
    </row>
    <row r="42" spans="2:73" ht="12" customHeight="1" x14ac:dyDescent="0.2">
      <c r="B42" s="34">
        <f t="shared" si="48"/>
        <v>41119</v>
      </c>
      <c r="C42" s="34">
        <f t="shared" si="52"/>
        <v>41120</v>
      </c>
      <c r="D42" s="34">
        <f t="shared" si="52"/>
        <v>41121</v>
      </c>
      <c r="E42" s="34">
        <f t="shared" si="52"/>
        <v>41122</v>
      </c>
      <c r="F42" s="34">
        <f t="shared" si="52"/>
        <v>41123</v>
      </c>
      <c r="G42" s="34">
        <f t="shared" si="52"/>
        <v>41124</v>
      </c>
      <c r="H42" s="34">
        <f t="shared" si="52"/>
        <v>41125</v>
      </c>
      <c r="J42" s="24" t="str">
        <f t="array" ref="J42">IFERROR(IF(MATCH(8,DAY(B42:H42),0),H42,""),"")</f>
        <v/>
      </c>
      <c r="K42" s="71">
        <f ca="1">IF(AND(B42&gt;=$AC$4,B42&lt;=$AU$4),IF(""=IFERROR(INDEX(INDIRECT("Data!C"&amp;$K$5,FALSE),MATCH(B42,Data!$A:$A,0)),$BX$12),$BX$11,IFERROR(INDEX(INDIRECT("Data!C"&amp;$K$5,FALSE),MATCH(B42,Data!$A:$A,0)),$BX$12)),"-")</f>
        <v>21</v>
      </c>
      <c r="L42" s="71">
        <f ca="1">IF(AND(C42&gt;=$AC$4,C42&lt;=$AU$4),IF(""=IFERROR(INDEX(INDIRECT("Data!C"&amp;$K$5,FALSE),MATCH(C42,Data!$A:$A,0)),$BX$12),$BX$11,IFERROR(INDEX(INDIRECT("Data!C"&amp;$K$5,FALSE),MATCH(C42,Data!$A:$A,0)),$BX$12)),"-")</f>
        <v>362</v>
      </c>
      <c r="M42" s="71">
        <f ca="1">IF(AND(D42&gt;=$AC$4,D42&lt;=$AU$4),IF(""=IFERROR(INDEX(INDIRECT("Data!C"&amp;$K$5,FALSE),MATCH(D42,Data!$A:$A,0)),$BX$12),$BX$11,IFERROR(INDEX(INDIRECT("Data!C"&amp;$K$5,FALSE),MATCH(D42,Data!$A:$A,0)),$BX$12)),"-")</f>
        <v>261</v>
      </c>
      <c r="N42" s="71">
        <f ca="1">IF(AND(E42&gt;=$AC$4,E42&lt;=$AU$4),IF(""=IFERROR(INDEX(INDIRECT("Data!C"&amp;$K$5,FALSE),MATCH(E42,Data!$A:$A,0)),$BX$12),$BX$11,IFERROR(INDEX(INDIRECT("Data!C"&amp;$K$5,FALSE),MATCH(E42,Data!$A:$A,0)),$BX$12)),"-")</f>
        <v>207</v>
      </c>
      <c r="O42" s="71">
        <f ca="1">IF(AND(F42&gt;=$AC$4,F42&lt;=$AU$4),IF(""=IFERROR(INDEX(INDIRECT("Data!C"&amp;$K$5,FALSE),MATCH(F42,Data!$A:$A,0)),$BX$12),$BX$11,IFERROR(INDEX(INDIRECT("Data!C"&amp;$K$5,FALSE),MATCH(F42,Data!$A:$A,0)),$BX$12)),"-")</f>
        <v>271</v>
      </c>
      <c r="P42" s="71">
        <f ca="1">IF(AND(G42&gt;=$AC$4,G42&lt;=$AU$4),IF(""=IFERROR(INDEX(INDIRECT("Data!C"&amp;$K$5,FALSE),MATCH(G42,Data!$A:$A,0)),$BX$12),$BX$11,IFERROR(INDEX(INDIRECT("Data!C"&amp;$K$5,FALSE),MATCH(G42,Data!$A:$A,0)),$BX$12)),"-")</f>
        <v>146</v>
      </c>
      <c r="Q42" s="71">
        <f ca="1">IF(AND(H42&gt;=$AC$4,H42&lt;=$AU$4),IF(""=IFERROR(INDEX(INDIRECT("Data!C"&amp;$K$5,FALSE),MATCH(H42,Data!$A:$A,0)),$BX$12),$BX$11,IFERROR(INDEX(INDIRECT("Data!C"&amp;$K$5,FALSE),MATCH(H42,Data!$A:$A,0)),$BX$12)),"-")</f>
        <v>42</v>
      </c>
      <c r="R42" s="7"/>
      <c r="T42" s="34">
        <f t="shared" si="49"/>
        <v>41483</v>
      </c>
      <c r="U42" s="34">
        <f t="shared" si="44"/>
        <v>41484</v>
      </c>
      <c r="V42" s="34">
        <f t="shared" si="28"/>
        <v>41485</v>
      </c>
      <c r="W42" s="34">
        <f t="shared" si="29"/>
        <v>41486</v>
      </c>
      <c r="X42" s="34">
        <f t="shared" si="30"/>
        <v>41487</v>
      </c>
      <c r="Y42" s="34">
        <f t="shared" si="31"/>
        <v>41488</v>
      </c>
      <c r="Z42" s="34">
        <f t="shared" si="32"/>
        <v>41489</v>
      </c>
      <c r="AB42" s="24" t="str">
        <f t="array" ref="AB42">IFERROR(IF(MATCH(8,DAY(T42:Z42),0),Z42,""),"")</f>
        <v/>
      </c>
      <c r="AC42" s="71">
        <f ca="1">IF(AND(T42&gt;=$AC$4,T42&lt;=$AU$4),IF(""=IFERROR(INDEX(INDIRECT("Data!C"&amp;$K$5,FALSE),MATCH(T42,Data!$A:$A,0)),$BX$12),$BX$11,IFERROR(INDEX(INDIRECT("Data!C"&amp;$K$5,FALSE),MATCH(T42,Data!$A:$A,0)),$BX$12)),"-")</f>
        <v>39</v>
      </c>
      <c r="AD42" s="71">
        <f ca="1">IF(AND(U42&gt;=$AC$4,U42&lt;=$AU$4),IF(""=IFERROR(INDEX(INDIRECT("Data!C"&amp;$K$5,FALSE),MATCH(U42,Data!$A:$A,0)),$BX$12),$BX$11,IFERROR(INDEX(INDIRECT("Data!C"&amp;$K$5,FALSE),MATCH(U42,Data!$A:$A,0)),$BX$12)),"-")</f>
        <v>233</v>
      </c>
      <c r="AE42" s="71">
        <f ca="1">IF(AND(V42&gt;=$AC$4,V42&lt;=$AU$4),IF(""=IFERROR(INDEX(INDIRECT("Data!C"&amp;$K$5,FALSE),MATCH(V42,Data!$A:$A,0)),$BX$12),$BX$11,IFERROR(INDEX(INDIRECT("Data!C"&amp;$K$5,FALSE),MATCH(V42,Data!$A:$A,0)),$BX$12)),"-")</f>
        <v>245</v>
      </c>
      <c r="AF42" s="71">
        <f ca="1">IF(AND(W42&gt;=$AC$4,W42&lt;=$AU$4),IF(""=IFERROR(INDEX(INDIRECT("Data!C"&amp;$K$5,FALSE),MATCH(W42,Data!$A:$A,0)),$BX$12),$BX$11,IFERROR(INDEX(INDIRECT("Data!C"&amp;$K$5,FALSE),MATCH(W42,Data!$A:$A,0)),$BX$12)),"-")</f>
        <v>225</v>
      </c>
      <c r="AG42" s="71">
        <f ca="1">IF(AND(X42&gt;=$AC$4,X42&lt;=$AU$4),IF(""=IFERROR(INDEX(INDIRECT("Data!C"&amp;$K$5,FALSE),MATCH(X42,Data!$A:$A,0)),$BX$12),$BX$11,IFERROR(INDEX(INDIRECT("Data!C"&amp;$K$5,FALSE),MATCH(X42,Data!$A:$A,0)),$BX$12)),"-")</f>
        <v>193</v>
      </c>
      <c r="AH42" s="71">
        <f ca="1">IF(AND(Y42&gt;=$AC$4,Y42&lt;=$AU$4),IF(""=IFERROR(INDEX(INDIRECT("Data!C"&amp;$K$5,FALSE),MATCH(Y42,Data!$A:$A,0)),$BX$12),$BX$11,IFERROR(INDEX(INDIRECT("Data!C"&amp;$K$5,FALSE),MATCH(Y42,Data!$A:$A,0)),$BX$12)),"-")</f>
        <v>239</v>
      </c>
      <c r="AI42" s="71">
        <f ca="1">IF(AND(Z42&gt;=$AC$4,Z42&lt;=$AU$4),IF(""=IFERROR(INDEX(INDIRECT("Data!C"&amp;$K$5,FALSE),MATCH(Z42,Data!$A:$A,0)),$BX$12),$BX$11,IFERROR(INDEX(INDIRECT("Data!C"&amp;$K$5,FALSE),MATCH(Z42,Data!$A:$A,0)),$BX$12)),"-")</f>
        <v>56</v>
      </c>
      <c r="AJ42" s="7"/>
      <c r="AL42" s="34">
        <f t="shared" si="50"/>
        <v>41847</v>
      </c>
      <c r="AM42" s="34">
        <f t="shared" si="45"/>
        <v>41848</v>
      </c>
      <c r="AN42" s="34">
        <f t="shared" si="33"/>
        <v>41849</v>
      </c>
      <c r="AO42" s="34">
        <f t="shared" si="34"/>
        <v>41850</v>
      </c>
      <c r="AP42" s="34">
        <f t="shared" si="35"/>
        <v>41851</v>
      </c>
      <c r="AQ42" s="34">
        <f t="shared" si="36"/>
        <v>41852</v>
      </c>
      <c r="AR42" s="34">
        <f t="shared" si="37"/>
        <v>41853</v>
      </c>
      <c r="AT42" s="24" t="str">
        <f t="array" ref="AT42">IFERROR(IF(MATCH(8,DAY(AL42:AR42),0),AR42,""),"")</f>
        <v/>
      </c>
      <c r="AU42" s="71">
        <f ca="1">IF(AND(AL42&gt;=$AC$4,AL42&lt;=$AU$4),IF(""=IFERROR(INDEX(INDIRECT("Data!C"&amp;$K$5,FALSE),MATCH(AL42,Data!$A:$A,0)),$BX$12),$BX$11,IFERROR(INDEX(INDIRECT("Data!C"&amp;$K$5,FALSE),MATCH(AL42,Data!$A:$A,0)),$BX$12)),"-")</f>
        <v>26</v>
      </c>
      <c r="AV42" s="71">
        <f ca="1">IF(AND(AM42&gt;=$AC$4,AM42&lt;=$AU$4),IF(""=IFERROR(INDEX(INDIRECT("Data!C"&amp;$K$5,FALSE),MATCH(AM42,Data!$A:$A,0)),$BX$12),$BX$11,IFERROR(INDEX(INDIRECT("Data!C"&amp;$K$5,FALSE),MATCH(AM42,Data!$A:$A,0)),$BX$12)),"-")</f>
        <v>299</v>
      </c>
      <c r="AW42" s="71">
        <f ca="1">IF(AND(AN42&gt;=$AC$4,AN42&lt;=$AU$4),IF(""=IFERROR(INDEX(INDIRECT("Data!C"&amp;$K$5,FALSE),MATCH(AN42,Data!$A:$A,0)),$BX$12),$BX$11,IFERROR(INDEX(INDIRECT("Data!C"&amp;$K$5,FALSE),MATCH(AN42,Data!$A:$A,0)),$BX$12)),"-")</f>
        <v>339</v>
      </c>
      <c r="AX42" s="71">
        <f ca="1">IF(AND(AO42&gt;=$AC$4,AO42&lt;=$AU$4),IF(""=IFERROR(INDEX(INDIRECT("Data!C"&amp;$K$5,FALSE),MATCH(AO42,Data!$A:$A,0)),$BX$12),$BX$11,IFERROR(INDEX(INDIRECT("Data!C"&amp;$K$5,FALSE),MATCH(AO42,Data!$A:$A,0)),$BX$12)),"-")</f>
        <v>351</v>
      </c>
      <c r="AY42" s="71">
        <f ca="1">IF(AND(AP42&gt;=$AC$4,AP42&lt;=$AU$4),IF(""=IFERROR(INDEX(INDIRECT("Data!C"&amp;$K$5,FALSE),MATCH(AP42,Data!$A:$A,0)),$BX$12),$BX$11,IFERROR(INDEX(INDIRECT("Data!C"&amp;$K$5,FALSE),MATCH(AP42,Data!$A:$A,0)),$BX$12)),"-")</f>
        <v>217</v>
      </c>
      <c r="AZ42" s="71">
        <f ca="1">IF(AND(AQ42&gt;=$AC$4,AQ42&lt;=$AU$4),IF(""=IFERROR(INDEX(INDIRECT("Data!C"&amp;$K$5,FALSE),MATCH(AQ42,Data!$A:$A,0)),$BX$12),$BX$11,IFERROR(INDEX(INDIRECT("Data!C"&amp;$K$5,FALSE),MATCH(AQ42,Data!$A:$A,0)),$BX$12)),"-")</f>
        <v>199</v>
      </c>
      <c r="BA42" s="71">
        <f ca="1">IF(AND(AR42&gt;=$AC$4,AR42&lt;=$AU$4),IF(""=IFERROR(INDEX(INDIRECT("Data!C"&amp;$K$5,FALSE),MATCH(AR42,Data!$A:$A,0)),$BX$12),$BX$11,IFERROR(INDEX(INDIRECT("Data!C"&amp;$K$5,FALSE),MATCH(AR42,Data!$A:$A,0)),$BX$12)),"-")</f>
        <v>90</v>
      </c>
      <c r="BB42" s="7"/>
      <c r="BD42" s="34">
        <f t="shared" si="51"/>
        <v>42211</v>
      </c>
      <c r="BE42" s="34">
        <f t="shared" si="46"/>
        <v>42212</v>
      </c>
      <c r="BF42" s="34">
        <f t="shared" si="38"/>
        <v>42213</v>
      </c>
      <c r="BG42" s="34">
        <f t="shared" si="39"/>
        <v>42214</v>
      </c>
      <c r="BH42" s="34">
        <f t="shared" si="40"/>
        <v>42215</v>
      </c>
      <c r="BI42" s="34">
        <f t="shared" si="41"/>
        <v>42216</v>
      </c>
      <c r="BJ42" s="34">
        <f t="shared" si="42"/>
        <v>42217</v>
      </c>
      <c r="BL42" s="24" t="str">
        <f t="array" ref="BL42">IFERROR(IF(MATCH(8,DAY(BD42:BJ42),0),BJ42,""),"")</f>
        <v/>
      </c>
      <c r="BM42" s="71">
        <f ca="1">IF(AND(BD42&gt;=$AC$4,BD42&lt;=$AU$4),IF(""=IFERROR(INDEX(INDIRECT("Data!C"&amp;$K$5,FALSE),MATCH(BD42,Data!$A:$A,0)),$BX$12),$BX$11,IFERROR(INDEX(INDIRECT("Data!C"&amp;$K$5,FALSE),MATCH(BD42,Data!$A:$A,0)),$BX$12)),"-")</f>
        <v>43</v>
      </c>
      <c r="BN42" s="71">
        <f ca="1">IF(AND(BE42&gt;=$AC$4,BE42&lt;=$AU$4),IF(""=IFERROR(INDEX(INDIRECT("Data!C"&amp;$K$5,FALSE),MATCH(BE42,Data!$A:$A,0)),$BX$12),$BX$11,IFERROR(INDEX(INDIRECT("Data!C"&amp;$K$5,FALSE),MATCH(BE42,Data!$A:$A,0)),$BX$12)),"-")</f>
        <v>343</v>
      </c>
      <c r="BO42" s="71">
        <f ca="1">IF(AND(BF42&gt;=$AC$4,BF42&lt;=$AU$4),IF(""=IFERROR(INDEX(INDIRECT("Data!C"&amp;$K$5,FALSE),MATCH(BF42,Data!$A:$A,0)),$BX$12),$BX$11,IFERROR(INDEX(INDIRECT("Data!C"&amp;$K$5,FALSE),MATCH(BF42,Data!$A:$A,0)),$BX$12)),"-")</f>
        <v>261</v>
      </c>
      <c r="BP42" s="71">
        <f ca="1">IF(AND(BG42&gt;=$AC$4,BG42&lt;=$AU$4),IF(""=IFERROR(INDEX(INDIRECT("Data!C"&amp;$K$5,FALSE),MATCH(BG42,Data!$A:$A,0)),$BX$12),$BX$11,IFERROR(INDEX(INDIRECT("Data!C"&amp;$K$5,FALSE),MATCH(BG42,Data!$A:$A,0)),$BX$12)),"-")</f>
        <v>236</v>
      </c>
      <c r="BQ42" s="71">
        <f ca="1">IF(AND(BH42&gt;=$AC$4,BH42&lt;=$AU$4),IF(""=IFERROR(INDEX(INDIRECT("Data!C"&amp;$K$5,FALSE),MATCH(BH42,Data!$A:$A,0)),$BX$12),$BX$11,IFERROR(INDEX(INDIRECT("Data!C"&amp;$K$5,FALSE),MATCH(BH42,Data!$A:$A,0)),$BX$12)),"-")</f>
        <v>246</v>
      </c>
      <c r="BR42" s="71">
        <f ca="1">IF(AND(BI42&gt;=$AC$4,BI42&lt;=$AU$4),IF(""=IFERROR(INDEX(INDIRECT("Data!C"&amp;$K$5,FALSE),MATCH(BI42,Data!$A:$A,0)),$BX$12),$BX$11,IFERROR(INDEX(INDIRECT("Data!C"&amp;$K$5,FALSE),MATCH(BI42,Data!$A:$A,0)),$BX$12)),"-")</f>
        <v>171</v>
      </c>
      <c r="BS42" s="71">
        <f ca="1">IF(AND(BJ42&gt;=$AC$4,BJ42&lt;=$AU$4),IF(""=IFERROR(INDEX(INDIRECT("Data!C"&amp;$K$5,FALSE),MATCH(BJ42,Data!$A:$A,0)),$BX$12),$BX$11,IFERROR(INDEX(INDIRECT("Data!C"&amp;$K$5,FALSE),MATCH(BJ42,Data!$A:$A,0)),$BX$12)),"-")</f>
        <v>79</v>
      </c>
      <c r="BT42" s="7"/>
      <c r="BU42" s="58">
        <f t="shared" ca="1" si="47"/>
        <v>194.28571428571428</v>
      </c>
    </row>
    <row r="43" spans="2:73" ht="12" customHeight="1" x14ac:dyDescent="0.2">
      <c r="B43" s="34">
        <f t="shared" si="48"/>
        <v>41126</v>
      </c>
      <c r="C43" s="34">
        <f t="shared" si="52"/>
        <v>41127</v>
      </c>
      <c r="D43" s="34">
        <f t="shared" si="52"/>
        <v>41128</v>
      </c>
      <c r="E43" s="34">
        <f t="shared" si="52"/>
        <v>41129</v>
      </c>
      <c r="F43" s="34">
        <f t="shared" si="52"/>
        <v>41130</v>
      </c>
      <c r="G43" s="34">
        <f t="shared" si="52"/>
        <v>41131</v>
      </c>
      <c r="H43" s="34">
        <f t="shared" si="52"/>
        <v>41132</v>
      </c>
      <c r="J43" s="24">
        <f t="array" ref="J43">IFERROR(IF(MATCH(8,DAY(B43:H43),0),H43,""),"")</f>
        <v>41132</v>
      </c>
      <c r="K43" s="71">
        <f ca="1">IF(AND(B43&gt;=$AC$4,B43&lt;=$AU$4),IF(""=IFERROR(INDEX(INDIRECT("Data!C"&amp;$K$5,FALSE),MATCH(B43,Data!$A:$A,0)),$BX$12),$BX$11,IFERROR(INDEX(INDIRECT("Data!C"&amp;$K$5,FALSE),MATCH(B43,Data!$A:$A,0)),$BX$12)),"-")</f>
        <v>37</v>
      </c>
      <c r="L43" s="71">
        <f ca="1">IF(AND(C43&gt;=$AC$4,C43&lt;=$AU$4),IF(""=IFERROR(INDEX(INDIRECT("Data!C"&amp;$K$5,FALSE),MATCH(C43,Data!$A:$A,0)),$BX$12),$BX$11,IFERROR(INDEX(INDIRECT("Data!C"&amp;$K$5,FALSE),MATCH(C43,Data!$A:$A,0)),$BX$12)),"-")</f>
        <v>317</v>
      </c>
      <c r="M43" s="71">
        <f ca="1">IF(AND(D43&gt;=$AC$4,D43&lt;=$AU$4),IF(""=IFERROR(INDEX(INDIRECT("Data!C"&amp;$K$5,FALSE),MATCH(D43,Data!$A:$A,0)),$BX$12),$BX$11,IFERROR(INDEX(INDIRECT("Data!C"&amp;$K$5,FALSE),MATCH(D43,Data!$A:$A,0)),$BX$12)),"-")</f>
        <v>354</v>
      </c>
      <c r="N43" s="71">
        <f ca="1">IF(AND(E43&gt;=$AC$4,E43&lt;=$AU$4),IF(""=IFERROR(INDEX(INDIRECT("Data!C"&amp;$K$5,FALSE),MATCH(E43,Data!$A:$A,0)),$BX$12),$BX$11,IFERROR(INDEX(INDIRECT("Data!C"&amp;$K$5,FALSE),MATCH(E43,Data!$A:$A,0)),$BX$12)),"-")</f>
        <v>324</v>
      </c>
      <c r="O43" s="71">
        <f ca="1">IF(AND(F43&gt;=$AC$4,F43&lt;=$AU$4),IF(""=IFERROR(INDEX(INDIRECT("Data!C"&amp;$K$5,FALSE),MATCH(F43,Data!$A:$A,0)),$BX$12),$BX$11,IFERROR(INDEX(INDIRECT("Data!C"&amp;$K$5,FALSE),MATCH(F43,Data!$A:$A,0)),$BX$12)),"-")</f>
        <v>257</v>
      </c>
      <c r="P43" s="71">
        <f ca="1">IF(AND(G43&gt;=$AC$4,G43&lt;=$AU$4),IF(""=IFERROR(INDEX(INDIRECT("Data!C"&amp;$K$5,FALSE),MATCH(G43,Data!$A:$A,0)),$BX$12),$BX$11,IFERROR(INDEX(INDIRECT("Data!C"&amp;$K$5,FALSE),MATCH(G43,Data!$A:$A,0)),$BX$12)),"-")</f>
        <v>233</v>
      </c>
      <c r="Q43" s="71">
        <f ca="1">IF(AND(H43&gt;=$AC$4,H43&lt;=$AU$4),IF(""=IFERROR(INDEX(INDIRECT("Data!C"&amp;$K$5,FALSE),MATCH(H43,Data!$A:$A,0)),$BX$12),$BX$11,IFERROR(INDEX(INDIRECT("Data!C"&amp;$K$5,FALSE),MATCH(H43,Data!$A:$A,0)),$BX$12)),"-")</f>
        <v>78</v>
      </c>
      <c r="R43" s="7"/>
      <c r="T43" s="34">
        <f t="shared" si="49"/>
        <v>41490</v>
      </c>
      <c r="U43" s="34">
        <f t="shared" si="44"/>
        <v>41491</v>
      </c>
      <c r="V43" s="34">
        <f t="shared" si="28"/>
        <v>41492</v>
      </c>
      <c r="W43" s="34">
        <f t="shared" si="29"/>
        <v>41493</v>
      </c>
      <c r="X43" s="34">
        <f t="shared" si="30"/>
        <v>41494</v>
      </c>
      <c r="Y43" s="34">
        <f t="shared" si="31"/>
        <v>41495</v>
      </c>
      <c r="Z43" s="34">
        <f t="shared" si="32"/>
        <v>41496</v>
      </c>
      <c r="AB43" s="24">
        <f t="array" ref="AB43">IFERROR(IF(MATCH(8,DAY(T43:Z43),0),Z43,""),"")</f>
        <v>41496</v>
      </c>
      <c r="AC43" s="71">
        <f ca="1">IF(AND(T43&gt;=$AC$4,T43&lt;=$AU$4),IF(""=IFERROR(INDEX(INDIRECT("Data!C"&amp;$K$5,FALSE),MATCH(T43,Data!$A:$A,0)),$BX$12),$BX$11,IFERROR(INDEX(INDIRECT("Data!C"&amp;$K$5,FALSE),MATCH(T43,Data!$A:$A,0)),$BX$12)),"-")</f>
        <v>32</v>
      </c>
      <c r="AD43" s="71">
        <f ca="1">IF(AND(U43&gt;=$AC$4,U43&lt;=$AU$4),IF(""=IFERROR(INDEX(INDIRECT("Data!C"&amp;$K$5,FALSE),MATCH(U43,Data!$A:$A,0)),$BX$12),$BX$11,IFERROR(INDEX(INDIRECT("Data!C"&amp;$K$5,FALSE),MATCH(U43,Data!$A:$A,0)),$BX$12)),"-")</f>
        <v>301</v>
      </c>
      <c r="AE43" s="71">
        <f ca="1">IF(AND(V43&gt;=$AC$4,V43&lt;=$AU$4),IF(""=IFERROR(INDEX(INDIRECT("Data!C"&amp;$K$5,FALSE),MATCH(V43,Data!$A:$A,0)),$BX$12),$BX$11,IFERROR(INDEX(INDIRECT("Data!C"&amp;$K$5,FALSE),MATCH(V43,Data!$A:$A,0)),$BX$12)),"-")</f>
        <v>304</v>
      </c>
      <c r="AF43" s="71">
        <f ca="1">IF(AND(W43&gt;=$AC$4,W43&lt;=$AU$4),IF(""=IFERROR(INDEX(INDIRECT("Data!C"&amp;$K$5,FALSE),MATCH(W43,Data!$A:$A,0)),$BX$12),$BX$11,IFERROR(INDEX(INDIRECT("Data!C"&amp;$K$5,FALSE),MATCH(W43,Data!$A:$A,0)),$BX$12)),"-")</f>
        <v>215</v>
      </c>
      <c r="AG43" s="71">
        <f ca="1">IF(AND(X43&gt;=$AC$4,X43&lt;=$AU$4),IF(""=IFERROR(INDEX(INDIRECT("Data!C"&amp;$K$5,FALSE),MATCH(X43,Data!$A:$A,0)),$BX$12),$BX$11,IFERROR(INDEX(INDIRECT("Data!C"&amp;$K$5,FALSE),MATCH(X43,Data!$A:$A,0)),$BX$12)),"-")</f>
        <v>191</v>
      </c>
      <c r="AH43" s="71">
        <f ca="1">IF(AND(Y43&gt;=$AC$4,Y43&lt;=$AU$4),IF(""=IFERROR(INDEX(INDIRECT("Data!C"&amp;$K$5,FALSE),MATCH(Y43,Data!$A:$A,0)),$BX$12),$BX$11,IFERROR(INDEX(INDIRECT("Data!C"&amp;$K$5,FALSE),MATCH(Y43,Data!$A:$A,0)),$BX$12)),"-")</f>
        <v>181</v>
      </c>
      <c r="AI43" s="71">
        <f ca="1">IF(AND(Z43&gt;=$AC$4,Z43&lt;=$AU$4),IF(""=IFERROR(INDEX(INDIRECT("Data!C"&amp;$K$5,FALSE),MATCH(Z43,Data!$A:$A,0)),$BX$12),$BX$11,IFERROR(INDEX(INDIRECT("Data!C"&amp;$K$5,FALSE),MATCH(Z43,Data!$A:$A,0)),$BX$12)),"-")</f>
        <v>89</v>
      </c>
      <c r="AJ43" s="7"/>
      <c r="AL43" s="34">
        <f t="shared" si="50"/>
        <v>41854</v>
      </c>
      <c r="AM43" s="34">
        <f t="shared" si="45"/>
        <v>41855</v>
      </c>
      <c r="AN43" s="34">
        <f t="shared" si="33"/>
        <v>41856</v>
      </c>
      <c r="AO43" s="34">
        <f t="shared" si="34"/>
        <v>41857</v>
      </c>
      <c r="AP43" s="34">
        <f t="shared" si="35"/>
        <v>41858</v>
      </c>
      <c r="AQ43" s="34">
        <f t="shared" si="36"/>
        <v>41859</v>
      </c>
      <c r="AR43" s="34">
        <f t="shared" si="37"/>
        <v>41860</v>
      </c>
      <c r="AT43" s="24">
        <f t="array" ref="AT43">IFERROR(IF(MATCH(8,DAY(AL43:AR43),0),AR43,""),"")</f>
        <v>41860</v>
      </c>
      <c r="AU43" s="71">
        <f ca="1">IF(AND(AL43&gt;=$AC$4,AL43&lt;=$AU$4),IF(""=IFERROR(INDEX(INDIRECT("Data!C"&amp;$K$5,FALSE),MATCH(AL43,Data!$A:$A,0)),$BX$12),$BX$11,IFERROR(INDEX(INDIRECT("Data!C"&amp;$K$5,FALSE),MATCH(AL43,Data!$A:$A,0)),$BX$12)),"-")</f>
        <v>36</v>
      </c>
      <c r="AV43" s="71">
        <f ca="1">IF(AND(AM43&gt;=$AC$4,AM43&lt;=$AU$4),IF(""=IFERROR(INDEX(INDIRECT("Data!C"&amp;$K$5,FALSE),MATCH(AM43,Data!$A:$A,0)),$BX$12),$BX$11,IFERROR(INDEX(INDIRECT("Data!C"&amp;$K$5,FALSE),MATCH(AM43,Data!$A:$A,0)),$BX$12)),"-")</f>
        <v>291</v>
      </c>
      <c r="AW43" s="71">
        <f ca="1">IF(AND(AN43&gt;=$AC$4,AN43&lt;=$AU$4),IF(""=IFERROR(INDEX(INDIRECT("Data!C"&amp;$K$5,FALSE),MATCH(AN43,Data!$A:$A,0)),$BX$12),$BX$11,IFERROR(INDEX(INDIRECT("Data!C"&amp;$K$5,FALSE),MATCH(AN43,Data!$A:$A,0)),$BX$12)),"-")</f>
        <v>267</v>
      </c>
      <c r="AX43" s="71">
        <f ca="1">IF(AND(AO43&gt;=$AC$4,AO43&lt;=$AU$4),IF(""=IFERROR(INDEX(INDIRECT("Data!C"&amp;$K$5,FALSE),MATCH(AO43,Data!$A:$A,0)),$BX$12),$BX$11,IFERROR(INDEX(INDIRECT("Data!C"&amp;$K$5,FALSE),MATCH(AO43,Data!$A:$A,0)),$BX$12)),"-")</f>
        <v>356</v>
      </c>
      <c r="AY43" s="71">
        <f ca="1">IF(AND(AP43&gt;=$AC$4,AP43&lt;=$AU$4),IF(""=IFERROR(INDEX(INDIRECT("Data!C"&amp;$K$5,FALSE),MATCH(AP43,Data!$A:$A,0)),$BX$12),$BX$11,IFERROR(INDEX(INDIRECT("Data!C"&amp;$K$5,FALSE),MATCH(AP43,Data!$A:$A,0)),$BX$12)),"-")</f>
        <v>270</v>
      </c>
      <c r="AZ43" s="71">
        <f ca="1">IF(AND(AQ43&gt;=$AC$4,AQ43&lt;=$AU$4),IF(""=IFERROR(INDEX(INDIRECT("Data!C"&amp;$K$5,FALSE),MATCH(AQ43,Data!$A:$A,0)),$BX$12),$BX$11,IFERROR(INDEX(INDIRECT("Data!C"&amp;$K$5,FALSE),MATCH(AQ43,Data!$A:$A,0)),$BX$12)),"-")</f>
        <v>193</v>
      </c>
      <c r="BA43" s="71">
        <f ca="1">IF(AND(AR43&gt;=$AC$4,AR43&lt;=$AU$4),IF(""=IFERROR(INDEX(INDIRECT("Data!C"&amp;$K$5,FALSE),MATCH(AR43,Data!$A:$A,0)),$BX$12),$BX$11,IFERROR(INDEX(INDIRECT("Data!C"&amp;$K$5,FALSE),MATCH(AR43,Data!$A:$A,0)),$BX$12)),"-")</f>
        <v>96</v>
      </c>
      <c r="BB43" s="7"/>
      <c r="BD43" s="34">
        <f t="shared" si="51"/>
        <v>42218</v>
      </c>
      <c r="BE43" s="34">
        <f t="shared" si="46"/>
        <v>42219</v>
      </c>
      <c r="BF43" s="34">
        <f t="shared" si="38"/>
        <v>42220</v>
      </c>
      <c r="BG43" s="34">
        <f t="shared" si="39"/>
        <v>42221</v>
      </c>
      <c r="BH43" s="34">
        <f t="shared" si="40"/>
        <v>42222</v>
      </c>
      <c r="BI43" s="34">
        <f t="shared" si="41"/>
        <v>42223</v>
      </c>
      <c r="BJ43" s="34">
        <f t="shared" si="42"/>
        <v>42224</v>
      </c>
      <c r="BL43" s="24">
        <f t="array" ref="BL43">IFERROR(IF(MATCH(8,DAY(BD43:BJ43),0),BJ43,""),"")</f>
        <v>42224</v>
      </c>
      <c r="BM43" s="71">
        <f ca="1">IF(AND(BD43&gt;=$AC$4,BD43&lt;=$AU$4),IF(""=IFERROR(INDEX(INDIRECT("Data!C"&amp;$K$5,FALSE),MATCH(BD43,Data!$A:$A,0)),$BX$12),$BX$11,IFERROR(INDEX(INDIRECT("Data!C"&amp;$K$5,FALSE),MATCH(BD43,Data!$A:$A,0)),$BX$12)),"-")</f>
        <v>28</v>
      </c>
      <c r="BN43" s="71">
        <f ca="1">IF(AND(BE43&gt;=$AC$4,BE43&lt;=$AU$4),IF(""=IFERROR(INDEX(INDIRECT("Data!C"&amp;$K$5,FALSE),MATCH(BE43,Data!$A:$A,0)),$BX$12),$BX$11,IFERROR(INDEX(INDIRECT("Data!C"&amp;$K$5,FALSE),MATCH(BE43,Data!$A:$A,0)),$BX$12)),"-")</f>
        <v>422</v>
      </c>
      <c r="BO43" s="71">
        <f ca="1">IF(AND(BF43&gt;=$AC$4,BF43&lt;=$AU$4),IF(""=IFERROR(INDEX(INDIRECT("Data!C"&amp;$K$5,FALSE),MATCH(BF43,Data!$A:$A,0)),$BX$12),$BX$11,IFERROR(INDEX(INDIRECT("Data!C"&amp;$K$5,FALSE),MATCH(BF43,Data!$A:$A,0)),$BX$12)),"-")</f>
        <v>270</v>
      </c>
      <c r="BP43" s="71">
        <f ca="1">IF(AND(BG43&gt;=$AC$4,BG43&lt;=$AU$4),IF(""=IFERROR(INDEX(INDIRECT("Data!C"&amp;$K$5,FALSE),MATCH(BG43,Data!$A:$A,0)),$BX$12),$BX$11,IFERROR(INDEX(INDIRECT("Data!C"&amp;$K$5,FALSE),MATCH(BG43,Data!$A:$A,0)),$BX$12)),"-")</f>
        <v>262</v>
      </c>
      <c r="BQ43" s="71">
        <f ca="1">IF(AND(BH43&gt;=$AC$4,BH43&lt;=$AU$4),IF(""=IFERROR(INDEX(INDIRECT("Data!C"&amp;$K$5,FALSE),MATCH(BH43,Data!$A:$A,0)),$BX$12),$BX$11,IFERROR(INDEX(INDIRECT("Data!C"&amp;$K$5,FALSE),MATCH(BH43,Data!$A:$A,0)),$BX$12)),"-")</f>
        <v>230</v>
      </c>
      <c r="BR43" s="71">
        <f ca="1">IF(AND(BI43&gt;=$AC$4,BI43&lt;=$AU$4),IF(""=IFERROR(INDEX(INDIRECT("Data!C"&amp;$K$5,FALSE),MATCH(BI43,Data!$A:$A,0)),$BX$12),$BX$11,IFERROR(INDEX(INDIRECT("Data!C"&amp;$K$5,FALSE),MATCH(BI43,Data!$A:$A,0)),$BX$12)),"-")</f>
        <v>229</v>
      </c>
      <c r="BS43" s="71">
        <f ca="1">IF(AND(BJ43&gt;=$AC$4,BJ43&lt;=$AU$4),IF(""=IFERROR(INDEX(INDIRECT("Data!C"&amp;$K$5,FALSE),MATCH(BJ43,Data!$A:$A,0)),$BX$12),$BX$11,IFERROR(INDEX(INDIRECT("Data!C"&amp;$K$5,FALSE),MATCH(BJ43,Data!$A:$A,0)),$BX$12)),"-")</f>
        <v>64</v>
      </c>
      <c r="BT43" s="7"/>
      <c r="BU43" s="58">
        <f t="shared" ca="1" si="47"/>
        <v>211.67857142857142</v>
      </c>
    </row>
    <row r="44" spans="2:73" ht="12" customHeight="1" x14ac:dyDescent="0.2">
      <c r="B44" s="34">
        <f t="shared" si="48"/>
        <v>41133</v>
      </c>
      <c r="C44" s="34">
        <f t="shared" si="52"/>
        <v>41134</v>
      </c>
      <c r="D44" s="34">
        <f t="shared" si="52"/>
        <v>41135</v>
      </c>
      <c r="E44" s="34">
        <f t="shared" si="52"/>
        <v>41136</v>
      </c>
      <c r="F44" s="34">
        <f t="shared" si="52"/>
        <v>41137</v>
      </c>
      <c r="G44" s="34">
        <f t="shared" si="52"/>
        <v>41138</v>
      </c>
      <c r="H44" s="34">
        <f t="shared" si="52"/>
        <v>41139</v>
      </c>
      <c r="J44" s="24" t="str">
        <f t="array" ref="J44">IFERROR(IF(MATCH(8,DAY(B44:H44),0),H44,""),"")</f>
        <v/>
      </c>
      <c r="K44" s="71">
        <f ca="1">IF(AND(B44&gt;=$AC$4,B44&lt;=$AU$4),IF(""=IFERROR(INDEX(INDIRECT("Data!C"&amp;$K$5,FALSE),MATCH(B44,Data!$A:$A,0)),$BX$12),$BX$11,IFERROR(INDEX(INDIRECT("Data!C"&amp;$K$5,FALSE),MATCH(B44,Data!$A:$A,0)),$BX$12)),"-")</f>
        <v>35</v>
      </c>
      <c r="L44" s="71">
        <f ca="1">IF(AND(C44&gt;=$AC$4,C44&lt;=$AU$4),IF(""=IFERROR(INDEX(INDIRECT("Data!C"&amp;$K$5,FALSE),MATCH(C44,Data!$A:$A,0)),$BX$12),$BX$11,IFERROR(INDEX(INDIRECT("Data!C"&amp;$K$5,FALSE),MATCH(C44,Data!$A:$A,0)),$BX$12)),"-")</f>
        <v>434</v>
      </c>
      <c r="M44" s="71">
        <f ca="1">IF(AND(D44&gt;=$AC$4,D44&lt;=$AU$4),IF(""=IFERROR(INDEX(INDIRECT("Data!C"&amp;$K$5,FALSE),MATCH(D44,Data!$A:$A,0)),$BX$12),$BX$11,IFERROR(INDEX(INDIRECT("Data!C"&amp;$K$5,FALSE),MATCH(D44,Data!$A:$A,0)),$BX$12)),"-")</f>
        <v>418</v>
      </c>
      <c r="N44" s="71">
        <f ca="1">IF(AND(E44&gt;=$AC$4,E44&lt;=$AU$4),IF(""=IFERROR(INDEX(INDIRECT("Data!C"&amp;$K$5,FALSE),MATCH(E44,Data!$A:$A,0)),$BX$12),$BX$11,IFERROR(INDEX(INDIRECT("Data!C"&amp;$K$5,FALSE),MATCH(E44,Data!$A:$A,0)),$BX$12)),"-")</f>
        <v>278</v>
      </c>
      <c r="O44" s="71">
        <f ca="1">IF(AND(F44&gt;=$AC$4,F44&lt;=$AU$4),IF(""=IFERROR(INDEX(INDIRECT("Data!C"&amp;$K$5,FALSE),MATCH(F44,Data!$A:$A,0)),$BX$12),$BX$11,IFERROR(INDEX(INDIRECT("Data!C"&amp;$K$5,FALSE),MATCH(F44,Data!$A:$A,0)),$BX$12)),"-")</f>
        <v>333</v>
      </c>
      <c r="P44" s="71">
        <f ca="1">IF(AND(G44&gt;=$AC$4,G44&lt;=$AU$4),IF(""=IFERROR(INDEX(INDIRECT("Data!C"&amp;$K$5,FALSE),MATCH(G44,Data!$A:$A,0)),$BX$12),$BX$11,IFERROR(INDEX(INDIRECT("Data!C"&amp;$K$5,FALSE),MATCH(G44,Data!$A:$A,0)),$BX$12)),"-")</f>
        <v>256</v>
      </c>
      <c r="Q44" s="71">
        <f ca="1">IF(AND(H44&gt;=$AC$4,H44&lt;=$AU$4),IF(""=IFERROR(INDEX(INDIRECT("Data!C"&amp;$K$5,FALSE),MATCH(H44,Data!$A:$A,0)),$BX$12),$BX$11,IFERROR(INDEX(INDIRECT("Data!C"&amp;$K$5,FALSE),MATCH(H44,Data!$A:$A,0)),$BX$12)),"-")</f>
        <v>69</v>
      </c>
      <c r="R44" s="7"/>
      <c r="T44" s="34">
        <f t="shared" si="49"/>
        <v>41497</v>
      </c>
      <c r="U44" s="34">
        <f t="shared" si="44"/>
        <v>41498</v>
      </c>
      <c r="V44" s="34">
        <f t="shared" si="28"/>
        <v>41499</v>
      </c>
      <c r="W44" s="34">
        <f t="shared" si="29"/>
        <v>41500</v>
      </c>
      <c r="X44" s="34">
        <f t="shared" si="30"/>
        <v>41501</v>
      </c>
      <c r="Y44" s="34">
        <f t="shared" si="31"/>
        <v>41502</v>
      </c>
      <c r="Z44" s="34">
        <f t="shared" si="32"/>
        <v>41503</v>
      </c>
      <c r="AB44" s="24" t="str">
        <f t="array" ref="AB44">IFERROR(IF(MATCH(8,DAY(T44:Z44),0),Z44,""),"")</f>
        <v/>
      </c>
      <c r="AC44" s="71">
        <f ca="1">IF(AND(T44&gt;=$AC$4,T44&lt;=$AU$4),IF(""=IFERROR(INDEX(INDIRECT("Data!C"&amp;$K$5,FALSE),MATCH(T44,Data!$A:$A,0)),$BX$12),$BX$11,IFERROR(INDEX(INDIRECT("Data!C"&amp;$K$5,FALSE),MATCH(T44,Data!$A:$A,0)),$BX$12)),"-")</f>
        <v>34</v>
      </c>
      <c r="AD44" s="71">
        <f ca="1">IF(AND(U44&gt;=$AC$4,U44&lt;=$AU$4),IF(""=IFERROR(INDEX(INDIRECT("Data!C"&amp;$K$5,FALSE),MATCH(U44,Data!$A:$A,0)),$BX$12),$BX$11,IFERROR(INDEX(INDIRECT("Data!C"&amp;$K$5,FALSE),MATCH(U44,Data!$A:$A,0)),$BX$12)),"-")</f>
        <v>457</v>
      </c>
      <c r="AE44" s="71">
        <f ca="1">IF(AND(V44&gt;=$AC$4,V44&lt;=$AU$4),IF(""=IFERROR(INDEX(INDIRECT("Data!C"&amp;$K$5,FALSE),MATCH(V44,Data!$A:$A,0)),$BX$12),$BX$11,IFERROR(INDEX(INDIRECT("Data!C"&amp;$K$5,FALSE),MATCH(V44,Data!$A:$A,0)),$BX$12)),"-")</f>
        <v>360</v>
      </c>
      <c r="AF44" s="71">
        <f ca="1">IF(AND(W44&gt;=$AC$4,W44&lt;=$AU$4),IF(""=IFERROR(INDEX(INDIRECT("Data!C"&amp;$K$5,FALSE),MATCH(W44,Data!$A:$A,0)),$BX$12),$BX$11,IFERROR(INDEX(INDIRECT("Data!C"&amp;$K$5,FALSE),MATCH(W44,Data!$A:$A,0)),$BX$12)),"-")</f>
        <v>295</v>
      </c>
      <c r="AG44" s="71">
        <f ca="1">IF(AND(X44&gt;=$AC$4,X44&lt;=$AU$4),IF(""=IFERROR(INDEX(INDIRECT("Data!C"&amp;$K$5,FALSE),MATCH(X44,Data!$A:$A,0)),$BX$12),$BX$11,IFERROR(INDEX(INDIRECT("Data!C"&amp;$K$5,FALSE),MATCH(X44,Data!$A:$A,0)),$BX$12)),"-")</f>
        <v>252</v>
      </c>
      <c r="AH44" s="71">
        <f ca="1">IF(AND(Y44&gt;=$AC$4,Y44&lt;=$AU$4),IF(""=IFERROR(INDEX(INDIRECT("Data!C"&amp;$K$5,FALSE),MATCH(Y44,Data!$A:$A,0)),$BX$12),$BX$11,IFERROR(INDEX(INDIRECT("Data!C"&amp;$K$5,FALSE),MATCH(Y44,Data!$A:$A,0)),$BX$12)),"-")</f>
        <v>239</v>
      </c>
      <c r="AI44" s="71">
        <f ca="1">IF(AND(Z44&gt;=$AC$4,Z44&lt;=$AU$4),IF(""=IFERROR(INDEX(INDIRECT("Data!C"&amp;$K$5,FALSE),MATCH(Z44,Data!$A:$A,0)),$BX$12),$BX$11,IFERROR(INDEX(INDIRECT("Data!C"&amp;$K$5,FALSE),MATCH(Z44,Data!$A:$A,0)),$BX$12)),"-")</f>
        <v>97</v>
      </c>
      <c r="AJ44" s="7"/>
      <c r="AL44" s="34">
        <f t="shared" si="50"/>
        <v>41861</v>
      </c>
      <c r="AM44" s="34">
        <f t="shared" si="45"/>
        <v>41862</v>
      </c>
      <c r="AN44" s="34">
        <f t="shared" si="33"/>
        <v>41863</v>
      </c>
      <c r="AO44" s="34">
        <f t="shared" si="34"/>
        <v>41864</v>
      </c>
      <c r="AP44" s="34">
        <f t="shared" si="35"/>
        <v>41865</v>
      </c>
      <c r="AQ44" s="34">
        <f t="shared" si="36"/>
        <v>41866</v>
      </c>
      <c r="AR44" s="34">
        <f t="shared" si="37"/>
        <v>41867</v>
      </c>
      <c r="AT44" s="24" t="str">
        <f t="array" ref="AT44">IFERROR(IF(MATCH(8,DAY(AL44:AR44),0),AR44,""),"")</f>
        <v/>
      </c>
      <c r="AU44" s="71">
        <f ca="1">IF(AND(AL44&gt;=$AC$4,AL44&lt;=$AU$4),IF(""=IFERROR(INDEX(INDIRECT("Data!C"&amp;$K$5,FALSE),MATCH(AL44,Data!$A:$A,0)),$BX$12),$BX$11,IFERROR(INDEX(INDIRECT("Data!C"&amp;$K$5,FALSE),MATCH(AL44,Data!$A:$A,0)),$BX$12)),"-")</f>
        <v>42</v>
      </c>
      <c r="AV44" s="71">
        <f ca="1">IF(AND(AM44&gt;=$AC$4,AM44&lt;=$AU$4),IF(""=IFERROR(INDEX(INDIRECT("Data!C"&amp;$K$5,FALSE),MATCH(AM44,Data!$A:$A,0)),$BX$12),$BX$11,IFERROR(INDEX(INDIRECT("Data!C"&amp;$K$5,FALSE),MATCH(AM44,Data!$A:$A,0)),$BX$12)),"-")</f>
        <v>456</v>
      </c>
      <c r="AW44" s="71">
        <f ca="1">IF(AND(AN44&gt;=$AC$4,AN44&lt;=$AU$4),IF(""=IFERROR(INDEX(INDIRECT("Data!C"&amp;$K$5,FALSE),MATCH(AN44,Data!$A:$A,0)),$BX$12),$BX$11,IFERROR(INDEX(INDIRECT("Data!C"&amp;$K$5,FALSE),MATCH(AN44,Data!$A:$A,0)),$BX$12)),"-")</f>
        <v>396</v>
      </c>
      <c r="AX44" s="71">
        <f ca="1">IF(AND(AO44&gt;=$AC$4,AO44&lt;=$AU$4),IF(""=IFERROR(INDEX(INDIRECT("Data!C"&amp;$K$5,FALSE),MATCH(AO44,Data!$A:$A,0)),$BX$12),$BX$11,IFERROR(INDEX(INDIRECT("Data!C"&amp;$K$5,FALSE),MATCH(AO44,Data!$A:$A,0)),$BX$12)),"-")</f>
        <v>321</v>
      </c>
      <c r="AY44" s="71">
        <f ca="1">IF(AND(AP44&gt;=$AC$4,AP44&lt;=$AU$4),IF(""=IFERROR(INDEX(INDIRECT("Data!C"&amp;$K$5,FALSE),MATCH(AP44,Data!$A:$A,0)),$BX$12),$BX$11,IFERROR(INDEX(INDIRECT("Data!C"&amp;$K$5,FALSE),MATCH(AP44,Data!$A:$A,0)),$BX$12)),"-")</f>
        <v>249</v>
      </c>
      <c r="AZ44" s="71">
        <f ca="1">IF(AND(AQ44&gt;=$AC$4,AQ44&lt;=$AU$4),IF(""=IFERROR(INDEX(INDIRECT("Data!C"&amp;$K$5,FALSE),MATCH(AQ44,Data!$A:$A,0)),$BX$12),$BX$11,IFERROR(INDEX(INDIRECT("Data!C"&amp;$K$5,FALSE),MATCH(AQ44,Data!$A:$A,0)),$BX$12)),"-")</f>
        <v>205</v>
      </c>
      <c r="BA44" s="71">
        <f ca="1">IF(AND(AR44&gt;=$AC$4,AR44&lt;=$AU$4),IF(""=IFERROR(INDEX(INDIRECT("Data!C"&amp;$K$5,FALSE),MATCH(AR44,Data!$A:$A,0)),$BX$12),$BX$11,IFERROR(INDEX(INDIRECT("Data!C"&amp;$K$5,FALSE),MATCH(AR44,Data!$A:$A,0)),$BX$12)),"-")</f>
        <v>66</v>
      </c>
      <c r="BB44" s="7"/>
      <c r="BD44" s="34">
        <f t="shared" si="51"/>
        <v>42225</v>
      </c>
      <c r="BE44" s="34">
        <f t="shared" si="46"/>
        <v>42226</v>
      </c>
      <c r="BF44" s="34">
        <f t="shared" si="38"/>
        <v>42227</v>
      </c>
      <c r="BG44" s="34">
        <f t="shared" si="39"/>
        <v>42228</v>
      </c>
      <c r="BH44" s="34">
        <f t="shared" si="40"/>
        <v>42229</v>
      </c>
      <c r="BI44" s="34">
        <f t="shared" si="41"/>
        <v>42230</v>
      </c>
      <c r="BJ44" s="34">
        <f t="shared" si="42"/>
        <v>42231</v>
      </c>
      <c r="BL44" s="24" t="str">
        <f t="array" ref="BL44">IFERROR(IF(MATCH(8,DAY(BD44:BJ44),0),BJ44,""),"")</f>
        <v/>
      </c>
      <c r="BM44" s="71">
        <f ca="1">IF(AND(BD44&gt;=$AC$4,BD44&lt;=$AU$4),IF(""=IFERROR(INDEX(INDIRECT("Data!C"&amp;$K$5,FALSE),MATCH(BD44,Data!$A:$A,0)),$BX$12),$BX$11,IFERROR(INDEX(INDIRECT("Data!C"&amp;$K$5,FALSE),MATCH(BD44,Data!$A:$A,0)),$BX$12)),"-")</f>
        <v>33</v>
      </c>
      <c r="BN44" s="71">
        <f ca="1">IF(AND(BE44&gt;=$AC$4,BE44&lt;=$AU$4),IF(""=IFERROR(INDEX(INDIRECT("Data!C"&amp;$K$5,FALSE),MATCH(BE44,Data!$A:$A,0)),$BX$12),$BX$11,IFERROR(INDEX(INDIRECT("Data!C"&amp;$K$5,FALSE),MATCH(BE44,Data!$A:$A,0)),$BX$12)),"-")</f>
        <v>487</v>
      </c>
      <c r="BO44" s="71">
        <f ca="1">IF(AND(BF44&gt;=$AC$4,BF44&lt;=$AU$4),IF(""=IFERROR(INDEX(INDIRECT("Data!C"&amp;$K$5,FALSE),MATCH(BF44,Data!$A:$A,0)),$BX$12),$BX$11,IFERROR(INDEX(INDIRECT("Data!C"&amp;$K$5,FALSE),MATCH(BF44,Data!$A:$A,0)),$BX$12)),"-")</f>
        <v>350</v>
      </c>
      <c r="BP44" s="71">
        <f ca="1">IF(AND(BG44&gt;=$AC$4,BG44&lt;=$AU$4),IF(""=IFERROR(INDEX(INDIRECT("Data!C"&amp;$K$5,FALSE),MATCH(BG44,Data!$A:$A,0)),$BX$12),$BX$11,IFERROR(INDEX(INDIRECT("Data!C"&amp;$K$5,FALSE),MATCH(BG44,Data!$A:$A,0)),$BX$12)),"-")</f>
        <v>328</v>
      </c>
      <c r="BQ44" s="71">
        <f ca="1">IF(AND(BH44&gt;=$AC$4,BH44&lt;=$AU$4),IF(""=IFERROR(INDEX(INDIRECT("Data!C"&amp;$K$5,FALSE),MATCH(BH44,Data!$A:$A,0)),$BX$12),$BX$11,IFERROR(INDEX(INDIRECT("Data!C"&amp;$K$5,FALSE),MATCH(BH44,Data!$A:$A,0)),$BX$12)),"-")</f>
        <v>237</v>
      </c>
      <c r="BR44" s="71">
        <f ca="1">IF(AND(BI44&gt;=$AC$4,BI44&lt;=$AU$4),IF(""=IFERROR(INDEX(INDIRECT("Data!C"&amp;$K$5,FALSE),MATCH(BI44,Data!$A:$A,0)),$BX$12),$BX$11,IFERROR(INDEX(INDIRECT("Data!C"&amp;$K$5,FALSE),MATCH(BI44,Data!$A:$A,0)),$BX$12)),"-")</f>
        <v>241</v>
      </c>
      <c r="BS44" s="71">
        <f ca="1">IF(AND(BJ44&gt;=$AC$4,BJ44&lt;=$AU$4),IF(""=IFERROR(INDEX(INDIRECT("Data!C"&amp;$K$5,FALSE),MATCH(BJ44,Data!$A:$A,0)),$BX$12),$BX$11,IFERROR(INDEX(INDIRECT("Data!C"&amp;$K$5,FALSE),MATCH(BJ44,Data!$A:$A,0)),$BX$12)),"-")</f>
        <v>80</v>
      </c>
      <c r="BT44" s="7"/>
      <c r="BU44" s="58">
        <f t="shared" ca="1" si="47"/>
        <v>251.71428571428572</v>
      </c>
    </row>
    <row r="45" spans="2:73" ht="12" customHeight="1" x14ac:dyDescent="0.2">
      <c r="B45" s="34">
        <f t="shared" si="48"/>
        <v>41140</v>
      </c>
      <c r="C45" s="34">
        <f t="shared" ref="C45:H60" si="53">B45+1</f>
        <v>41141</v>
      </c>
      <c r="D45" s="34">
        <f t="shared" si="53"/>
        <v>41142</v>
      </c>
      <c r="E45" s="34">
        <f t="shared" si="53"/>
        <v>41143</v>
      </c>
      <c r="F45" s="34">
        <f t="shared" si="53"/>
        <v>41144</v>
      </c>
      <c r="G45" s="34">
        <f t="shared" si="53"/>
        <v>41145</v>
      </c>
      <c r="H45" s="34">
        <f t="shared" si="53"/>
        <v>41146</v>
      </c>
      <c r="J45" s="24" t="str">
        <f t="array" ref="J45">IFERROR(IF(MATCH(8,DAY(B45:H45),0),H45,""),"")</f>
        <v/>
      </c>
      <c r="K45" s="71">
        <f ca="1">IF(AND(B45&gt;=$AC$4,B45&lt;=$AU$4),IF(""=IFERROR(INDEX(INDIRECT("Data!C"&amp;$K$5,FALSE),MATCH(B45,Data!$A:$A,0)),$BX$12),$BX$11,IFERROR(INDEX(INDIRECT("Data!C"&amp;$K$5,FALSE),MATCH(B45,Data!$A:$A,0)),$BX$12)),"-")</f>
        <v>38</v>
      </c>
      <c r="L45" s="71">
        <f ca="1">IF(AND(C45&gt;=$AC$4,C45&lt;=$AU$4),IF(""=IFERROR(INDEX(INDIRECT("Data!C"&amp;$K$5,FALSE),MATCH(C45,Data!$A:$A,0)),$BX$12),$BX$11,IFERROR(INDEX(INDIRECT("Data!C"&amp;$K$5,FALSE),MATCH(C45,Data!$A:$A,0)),$BX$12)),"-")</f>
        <v>292</v>
      </c>
      <c r="M45" s="71">
        <f ca="1">IF(AND(D45&gt;=$AC$4,D45&lt;=$AU$4),IF(""=IFERROR(INDEX(INDIRECT("Data!C"&amp;$K$5,FALSE),MATCH(D45,Data!$A:$A,0)),$BX$12),$BX$11,IFERROR(INDEX(INDIRECT("Data!C"&amp;$K$5,FALSE),MATCH(D45,Data!$A:$A,0)),$BX$12)),"-")</f>
        <v>340</v>
      </c>
      <c r="N45" s="71">
        <f ca="1">IF(AND(E45&gt;=$AC$4,E45&lt;=$AU$4),IF(""=IFERROR(INDEX(INDIRECT("Data!C"&amp;$K$5,FALSE),MATCH(E45,Data!$A:$A,0)),$BX$12),$BX$11,IFERROR(INDEX(INDIRECT("Data!C"&amp;$K$5,FALSE),MATCH(E45,Data!$A:$A,0)),$BX$12)),"-")</f>
        <v>256</v>
      </c>
      <c r="O45" s="71">
        <f ca="1">IF(AND(F45&gt;=$AC$4,F45&lt;=$AU$4),IF(""=IFERROR(INDEX(INDIRECT("Data!C"&amp;$K$5,FALSE),MATCH(F45,Data!$A:$A,0)),$BX$12),$BX$11,IFERROR(INDEX(INDIRECT("Data!C"&amp;$K$5,FALSE),MATCH(F45,Data!$A:$A,0)),$BX$12)),"-")</f>
        <v>224</v>
      </c>
      <c r="P45" s="71">
        <f ca="1">IF(AND(G45&gt;=$AC$4,G45&lt;=$AU$4),IF(""=IFERROR(INDEX(INDIRECT("Data!C"&amp;$K$5,FALSE),MATCH(G45,Data!$A:$A,0)),$BX$12),$BX$11,IFERROR(INDEX(INDIRECT("Data!C"&amp;$K$5,FALSE),MATCH(G45,Data!$A:$A,0)),$BX$12)),"-")</f>
        <v>232</v>
      </c>
      <c r="Q45" s="71">
        <f ca="1">IF(AND(H45&gt;=$AC$4,H45&lt;=$AU$4),IF(""=IFERROR(INDEX(INDIRECT("Data!C"&amp;$K$5,FALSE),MATCH(H45,Data!$A:$A,0)),$BX$12),$BX$11,IFERROR(INDEX(INDIRECT("Data!C"&amp;$K$5,FALSE),MATCH(H45,Data!$A:$A,0)),$BX$12)),"-")</f>
        <v>90</v>
      </c>
      <c r="R45" s="7"/>
      <c r="T45" s="34">
        <f t="shared" si="49"/>
        <v>41504</v>
      </c>
      <c r="U45" s="34">
        <f t="shared" si="44"/>
        <v>41505</v>
      </c>
      <c r="V45" s="34">
        <f t="shared" si="28"/>
        <v>41506</v>
      </c>
      <c r="W45" s="34">
        <f t="shared" si="29"/>
        <v>41507</v>
      </c>
      <c r="X45" s="34">
        <f t="shared" si="30"/>
        <v>41508</v>
      </c>
      <c r="Y45" s="34">
        <f t="shared" si="31"/>
        <v>41509</v>
      </c>
      <c r="Z45" s="34">
        <f t="shared" si="32"/>
        <v>41510</v>
      </c>
      <c r="AB45" s="24" t="str">
        <f t="array" ref="AB45">IFERROR(IF(MATCH(8,DAY(T45:Z45),0),Z45,""),"")</f>
        <v/>
      </c>
      <c r="AC45" s="71">
        <f ca="1">IF(AND(T45&gt;=$AC$4,T45&lt;=$AU$4),IF(""=IFERROR(INDEX(INDIRECT("Data!C"&amp;$K$5,FALSE),MATCH(T45,Data!$A:$A,0)),$BX$12),$BX$11,IFERROR(INDEX(INDIRECT("Data!C"&amp;$K$5,FALSE),MATCH(T45,Data!$A:$A,0)),$BX$12)),"-")</f>
        <v>33</v>
      </c>
      <c r="AD45" s="71">
        <f ca="1">IF(AND(U45&gt;=$AC$4,U45&lt;=$AU$4),IF(""=IFERROR(INDEX(INDIRECT("Data!C"&amp;$K$5,FALSE),MATCH(U45,Data!$A:$A,0)),$BX$12),$BX$11,IFERROR(INDEX(INDIRECT("Data!C"&amp;$K$5,FALSE),MATCH(U45,Data!$A:$A,0)),$BX$12)),"-")</f>
        <v>379</v>
      </c>
      <c r="AE45" s="71">
        <f ca="1">IF(AND(V45&gt;=$AC$4,V45&lt;=$AU$4),IF(""=IFERROR(INDEX(INDIRECT("Data!C"&amp;$K$5,FALSE),MATCH(V45,Data!$A:$A,0)),$BX$12),$BX$11,IFERROR(INDEX(INDIRECT("Data!C"&amp;$K$5,FALSE),MATCH(V45,Data!$A:$A,0)),$BX$12)),"-")</f>
        <v>357</v>
      </c>
      <c r="AF45" s="71">
        <f ca="1">IF(AND(W45&gt;=$AC$4,W45&lt;=$AU$4),IF(""=IFERROR(INDEX(INDIRECT("Data!C"&amp;$K$5,FALSE),MATCH(W45,Data!$A:$A,0)),$BX$12),$BX$11,IFERROR(INDEX(INDIRECT("Data!C"&amp;$K$5,FALSE),MATCH(W45,Data!$A:$A,0)),$BX$12)),"-")</f>
        <v>385</v>
      </c>
      <c r="AG45" s="71">
        <f ca="1">IF(AND(X45&gt;=$AC$4,X45&lt;=$AU$4),IF(""=IFERROR(INDEX(INDIRECT("Data!C"&amp;$K$5,FALSE),MATCH(X45,Data!$A:$A,0)),$BX$12),$BX$11,IFERROR(INDEX(INDIRECT("Data!C"&amp;$K$5,FALSE),MATCH(X45,Data!$A:$A,0)),$BX$12)),"-")</f>
        <v>348</v>
      </c>
      <c r="AH45" s="71">
        <f ca="1">IF(AND(Y45&gt;=$AC$4,Y45&lt;=$AU$4),IF(""=IFERROR(INDEX(INDIRECT("Data!C"&amp;$K$5,FALSE),MATCH(Y45,Data!$A:$A,0)),$BX$12),$BX$11,IFERROR(INDEX(INDIRECT("Data!C"&amp;$K$5,FALSE),MATCH(Y45,Data!$A:$A,0)),$BX$12)),"-")</f>
        <v>282</v>
      </c>
      <c r="AI45" s="71">
        <f ca="1">IF(AND(Z45&gt;=$AC$4,Z45&lt;=$AU$4),IF(""=IFERROR(INDEX(INDIRECT("Data!C"&amp;$K$5,FALSE),MATCH(Z45,Data!$A:$A,0)),$BX$12),$BX$11,IFERROR(INDEX(INDIRECT("Data!C"&amp;$K$5,FALSE),MATCH(Z45,Data!$A:$A,0)),$BX$12)),"-")</f>
        <v>81</v>
      </c>
      <c r="AJ45" s="7"/>
      <c r="AL45" s="34">
        <f t="shared" si="50"/>
        <v>41868</v>
      </c>
      <c r="AM45" s="34">
        <f t="shared" si="45"/>
        <v>41869</v>
      </c>
      <c r="AN45" s="34">
        <f t="shared" si="33"/>
        <v>41870</v>
      </c>
      <c r="AO45" s="34">
        <f t="shared" si="34"/>
        <v>41871</v>
      </c>
      <c r="AP45" s="34">
        <f t="shared" si="35"/>
        <v>41872</v>
      </c>
      <c r="AQ45" s="34">
        <f t="shared" si="36"/>
        <v>41873</v>
      </c>
      <c r="AR45" s="34">
        <f t="shared" si="37"/>
        <v>41874</v>
      </c>
      <c r="AT45" s="24" t="str">
        <f t="array" ref="AT45">IFERROR(IF(MATCH(8,DAY(AL45:AR45),0),AR45,""),"")</f>
        <v/>
      </c>
      <c r="AU45" s="71">
        <f ca="1">IF(AND(AL45&gt;=$AC$4,AL45&lt;=$AU$4),IF(""=IFERROR(INDEX(INDIRECT("Data!C"&amp;$K$5,FALSE),MATCH(AL45,Data!$A:$A,0)),$BX$12),$BX$11,IFERROR(INDEX(INDIRECT("Data!C"&amp;$K$5,FALSE),MATCH(AL45,Data!$A:$A,0)),$BX$12)),"-")</f>
        <v>30</v>
      </c>
      <c r="AV45" s="71">
        <f ca="1">IF(AND(AM45&gt;=$AC$4,AM45&lt;=$AU$4),IF(""=IFERROR(INDEX(INDIRECT("Data!C"&amp;$K$5,FALSE),MATCH(AM45,Data!$A:$A,0)),$BX$12),$BX$11,IFERROR(INDEX(INDIRECT("Data!C"&amp;$K$5,FALSE),MATCH(AM45,Data!$A:$A,0)),$BX$12)),"-")</f>
        <v>414</v>
      </c>
      <c r="AW45" s="71">
        <f ca="1">IF(AND(AN45&gt;=$AC$4,AN45&lt;=$AU$4),IF(""=IFERROR(INDEX(INDIRECT("Data!C"&amp;$K$5,FALSE),MATCH(AN45,Data!$A:$A,0)),$BX$12),$BX$11,IFERROR(INDEX(INDIRECT("Data!C"&amp;$K$5,FALSE),MATCH(AN45,Data!$A:$A,0)),$BX$12)),"-")</f>
        <v>306</v>
      </c>
      <c r="AX45" s="71">
        <f ca="1">IF(AND(AO45&gt;=$AC$4,AO45&lt;=$AU$4),IF(""=IFERROR(INDEX(INDIRECT("Data!C"&amp;$K$5,FALSE),MATCH(AO45,Data!$A:$A,0)),$BX$12),$BX$11,IFERROR(INDEX(INDIRECT("Data!C"&amp;$K$5,FALSE),MATCH(AO45,Data!$A:$A,0)),$BX$12)),"-")</f>
        <v>320</v>
      </c>
      <c r="AY45" s="71">
        <f ca="1">IF(AND(AP45&gt;=$AC$4,AP45&lt;=$AU$4),IF(""=IFERROR(INDEX(INDIRECT("Data!C"&amp;$K$5,FALSE),MATCH(AP45,Data!$A:$A,0)),$BX$12),$BX$11,IFERROR(INDEX(INDIRECT("Data!C"&amp;$K$5,FALSE),MATCH(AP45,Data!$A:$A,0)),$BX$12)),"-")</f>
        <v>313</v>
      </c>
      <c r="AZ45" s="71">
        <f ca="1">IF(AND(AQ45&gt;=$AC$4,AQ45&lt;=$AU$4),IF(""=IFERROR(INDEX(INDIRECT("Data!C"&amp;$K$5,FALSE),MATCH(AQ45,Data!$A:$A,0)),$BX$12),$BX$11,IFERROR(INDEX(INDIRECT("Data!C"&amp;$K$5,FALSE),MATCH(AQ45,Data!$A:$A,0)),$BX$12)),"-")</f>
        <v>285</v>
      </c>
      <c r="BA45" s="71">
        <f ca="1">IF(AND(AR45&gt;=$AC$4,AR45&lt;=$AU$4),IF(""=IFERROR(INDEX(INDIRECT("Data!C"&amp;$K$5,FALSE),MATCH(AR45,Data!$A:$A,0)),$BX$12),$BX$11,IFERROR(INDEX(INDIRECT("Data!C"&amp;$K$5,FALSE),MATCH(AR45,Data!$A:$A,0)),$BX$12)),"-")</f>
        <v>75</v>
      </c>
      <c r="BB45" s="7"/>
      <c r="BD45" s="34">
        <f t="shared" si="51"/>
        <v>42232</v>
      </c>
      <c r="BE45" s="34">
        <f t="shared" si="46"/>
        <v>42233</v>
      </c>
      <c r="BF45" s="34">
        <f t="shared" si="38"/>
        <v>42234</v>
      </c>
      <c r="BG45" s="34">
        <f t="shared" si="39"/>
        <v>42235</v>
      </c>
      <c r="BH45" s="34">
        <f t="shared" si="40"/>
        <v>42236</v>
      </c>
      <c r="BI45" s="34">
        <f t="shared" si="41"/>
        <v>42237</v>
      </c>
      <c r="BJ45" s="34">
        <f t="shared" si="42"/>
        <v>42238</v>
      </c>
      <c r="BL45" s="24" t="str">
        <f t="array" ref="BL45">IFERROR(IF(MATCH(8,DAY(BD45:BJ45),0),BJ45,""),"")</f>
        <v/>
      </c>
      <c r="BM45" s="71">
        <f ca="1">IF(AND(BD45&gt;=$AC$4,BD45&lt;=$AU$4),IF(""=IFERROR(INDEX(INDIRECT("Data!C"&amp;$K$5,FALSE),MATCH(BD45,Data!$A:$A,0)),$BX$12),$BX$11,IFERROR(INDEX(INDIRECT("Data!C"&amp;$K$5,FALSE),MATCH(BD45,Data!$A:$A,0)),$BX$12)),"-")</f>
        <v>36</v>
      </c>
      <c r="BN45" s="71">
        <f ca="1">IF(AND(BE45&gt;=$AC$4,BE45&lt;=$AU$4),IF(""=IFERROR(INDEX(INDIRECT("Data!C"&amp;$K$5,FALSE),MATCH(BE45,Data!$A:$A,0)),$BX$12),$BX$11,IFERROR(INDEX(INDIRECT("Data!C"&amp;$K$5,FALSE),MATCH(BE45,Data!$A:$A,0)),$BX$12)),"-")</f>
        <v>319</v>
      </c>
      <c r="BO45" s="71">
        <f ca="1">IF(AND(BF45&gt;=$AC$4,BF45&lt;=$AU$4),IF(""=IFERROR(INDEX(INDIRECT("Data!C"&amp;$K$5,FALSE),MATCH(BF45,Data!$A:$A,0)),$BX$12),$BX$11,IFERROR(INDEX(INDIRECT("Data!C"&amp;$K$5,FALSE),MATCH(BF45,Data!$A:$A,0)),$BX$12)),"-")</f>
        <v>386</v>
      </c>
      <c r="BP45" s="71">
        <f ca="1">IF(AND(BG45&gt;=$AC$4,BG45&lt;=$AU$4),IF(""=IFERROR(INDEX(INDIRECT("Data!C"&amp;$K$5,FALSE),MATCH(BG45,Data!$A:$A,0)),$BX$12),$BX$11,IFERROR(INDEX(INDIRECT("Data!C"&amp;$K$5,FALSE),MATCH(BG45,Data!$A:$A,0)),$BX$12)),"-")</f>
        <v>325</v>
      </c>
      <c r="BQ45" s="71">
        <f ca="1">IF(AND(BH45&gt;=$AC$4,BH45&lt;=$AU$4),IF(""=IFERROR(INDEX(INDIRECT("Data!C"&amp;$K$5,FALSE),MATCH(BH45,Data!$A:$A,0)),$BX$12),$BX$11,IFERROR(INDEX(INDIRECT("Data!C"&amp;$K$5,FALSE),MATCH(BH45,Data!$A:$A,0)),$BX$12)),"-")</f>
        <v>334</v>
      </c>
      <c r="BR45" s="71">
        <f ca="1">IF(AND(BI45&gt;=$AC$4,BI45&lt;=$AU$4),IF(""=IFERROR(INDEX(INDIRECT("Data!C"&amp;$K$5,FALSE),MATCH(BI45,Data!$A:$A,0)),$BX$12),$BX$11,IFERROR(INDEX(INDIRECT("Data!C"&amp;$K$5,FALSE),MATCH(BI45,Data!$A:$A,0)),$BX$12)),"-")</f>
        <v>207</v>
      </c>
      <c r="BS45" s="71">
        <f ca="1">IF(AND(BJ45&gt;=$AC$4,BJ45&lt;=$AU$4),IF(""=IFERROR(INDEX(INDIRECT("Data!C"&amp;$K$5,FALSE),MATCH(BJ45,Data!$A:$A,0)),$BX$12),$BX$11,IFERROR(INDEX(INDIRECT("Data!C"&amp;$K$5,FALSE),MATCH(BJ45,Data!$A:$A,0)),$BX$12)),"-")</f>
        <v>86</v>
      </c>
      <c r="BT45" s="7"/>
      <c r="BU45" s="58">
        <f t="shared" ca="1" si="47"/>
        <v>241.89285714285714</v>
      </c>
    </row>
    <row r="46" spans="2:73" ht="12" customHeight="1" x14ac:dyDescent="0.2">
      <c r="B46" s="34">
        <f t="shared" si="48"/>
        <v>41147</v>
      </c>
      <c r="C46" s="34">
        <f t="shared" si="53"/>
        <v>41148</v>
      </c>
      <c r="D46" s="34">
        <f t="shared" si="53"/>
        <v>41149</v>
      </c>
      <c r="E46" s="34">
        <f t="shared" si="53"/>
        <v>41150</v>
      </c>
      <c r="F46" s="34">
        <f t="shared" si="53"/>
        <v>41151</v>
      </c>
      <c r="G46" s="34">
        <f t="shared" si="53"/>
        <v>41152</v>
      </c>
      <c r="H46" s="34">
        <f t="shared" si="53"/>
        <v>41153</v>
      </c>
      <c r="J46" s="24" t="str">
        <f t="array" ref="J46">IFERROR(IF(MATCH(8,DAY(B46:H46),0),H46,""),"")</f>
        <v/>
      </c>
      <c r="K46" s="71">
        <f ca="1">IF(AND(B46&gt;=$AC$4,B46&lt;=$AU$4),IF(""=IFERROR(INDEX(INDIRECT("Data!C"&amp;$K$5,FALSE),MATCH(B46,Data!$A:$A,0)),$BX$12),$BX$11,IFERROR(INDEX(INDIRECT("Data!C"&amp;$K$5,FALSE),MATCH(B46,Data!$A:$A,0)),$BX$12)),"-")</f>
        <v>49</v>
      </c>
      <c r="L46" s="71">
        <f ca="1">IF(AND(C46&gt;=$AC$4,C46&lt;=$AU$4),IF(""=IFERROR(INDEX(INDIRECT("Data!C"&amp;$K$5,FALSE),MATCH(C46,Data!$A:$A,0)),$BX$12),$BX$11,IFERROR(INDEX(INDIRECT("Data!C"&amp;$K$5,FALSE),MATCH(C46,Data!$A:$A,0)),$BX$12)),"-")</f>
        <v>318</v>
      </c>
      <c r="M46" s="71">
        <f ca="1">IF(AND(D46&gt;=$AC$4,D46&lt;=$AU$4),IF(""=IFERROR(INDEX(INDIRECT("Data!C"&amp;$K$5,FALSE),MATCH(D46,Data!$A:$A,0)),$BX$12),$BX$11,IFERROR(INDEX(INDIRECT("Data!C"&amp;$K$5,FALSE),MATCH(D46,Data!$A:$A,0)),$BX$12)),"-")</f>
        <v>311</v>
      </c>
      <c r="N46" s="71">
        <f ca="1">IF(AND(E46&gt;=$AC$4,E46&lt;=$AU$4),IF(""=IFERROR(INDEX(INDIRECT("Data!C"&amp;$K$5,FALSE),MATCH(E46,Data!$A:$A,0)),$BX$12),$BX$11,IFERROR(INDEX(INDIRECT("Data!C"&amp;$K$5,FALSE),MATCH(E46,Data!$A:$A,0)),$BX$12)),"-")</f>
        <v>252</v>
      </c>
      <c r="O46" s="71">
        <f ca="1">IF(AND(F46&gt;=$AC$4,F46&lt;=$AU$4),IF(""=IFERROR(INDEX(INDIRECT("Data!C"&amp;$K$5,FALSE),MATCH(F46,Data!$A:$A,0)),$BX$12),$BX$11,IFERROR(INDEX(INDIRECT("Data!C"&amp;$K$5,FALSE),MATCH(F46,Data!$A:$A,0)),$BX$12)),"-")</f>
        <v>315</v>
      </c>
      <c r="P46" s="71">
        <f ca="1">IF(AND(G46&gt;=$AC$4,G46&lt;=$AU$4),IF(""=IFERROR(INDEX(INDIRECT("Data!C"&amp;$K$5,FALSE),MATCH(G46,Data!$A:$A,0)),$BX$12),$BX$11,IFERROR(INDEX(INDIRECT("Data!C"&amp;$K$5,FALSE),MATCH(G46,Data!$A:$A,0)),$BX$12)),"-")</f>
        <v>283</v>
      </c>
      <c r="Q46" s="71">
        <f ca="1">IF(AND(H46&gt;=$AC$4,H46&lt;=$AU$4),IF(""=IFERROR(INDEX(INDIRECT("Data!C"&amp;$K$5,FALSE),MATCH(H46,Data!$A:$A,0)),$BX$12),$BX$11,IFERROR(INDEX(INDIRECT("Data!C"&amp;$K$5,FALSE),MATCH(H46,Data!$A:$A,0)),$BX$12)),"-")</f>
        <v>65</v>
      </c>
      <c r="R46" s="7"/>
      <c r="T46" s="34">
        <f t="shared" si="49"/>
        <v>41511</v>
      </c>
      <c r="U46" s="34">
        <f t="shared" si="44"/>
        <v>41512</v>
      </c>
      <c r="V46" s="34">
        <f t="shared" si="28"/>
        <v>41513</v>
      </c>
      <c r="W46" s="34">
        <f t="shared" si="29"/>
        <v>41514</v>
      </c>
      <c r="X46" s="34">
        <f t="shared" si="30"/>
        <v>41515</v>
      </c>
      <c r="Y46" s="34">
        <f t="shared" si="31"/>
        <v>41516</v>
      </c>
      <c r="Z46" s="34">
        <f t="shared" si="32"/>
        <v>41517</v>
      </c>
      <c r="AB46" s="24" t="str">
        <f t="array" ref="AB46">IFERROR(IF(MATCH(8,DAY(T46:Z46),0),Z46,""),"")</f>
        <v/>
      </c>
      <c r="AC46" s="71">
        <f ca="1">IF(AND(T46&gt;=$AC$4,T46&lt;=$AU$4),IF(""=IFERROR(INDEX(INDIRECT("Data!C"&amp;$K$5,FALSE),MATCH(T46,Data!$A:$A,0)),$BX$12),$BX$11,IFERROR(INDEX(INDIRECT("Data!C"&amp;$K$5,FALSE),MATCH(T46,Data!$A:$A,0)),$BX$12)),"-")</f>
        <v>29</v>
      </c>
      <c r="AD46" s="71">
        <f ca="1">IF(AND(U46&gt;=$AC$4,U46&lt;=$AU$4),IF(""=IFERROR(INDEX(INDIRECT("Data!C"&amp;$K$5,FALSE),MATCH(U46,Data!$A:$A,0)),$BX$12),$BX$11,IFERROR(INDEX(INDIRECT("Data!C"&amp;$K$5,FALSE),MATCH(U46,Data!$A:$A,0)),$BX$12)),"-")</f>
        <v>405</v>
      </c>
      <c r="AE46" s="71">
        <f ca="1">IF(AND(V46&gt;=$AC$4,V46&lt;=$AU$4),IF(""=IFERROR(INDEX(INDIRECT("Data!C"&amp;$K$5,FALSE),MATCH(V46,Data!$A:$A,0)),$BX$12),$BX$11,IFERROR(INDEX(INDIRECT("Data!C"&amp;$K$5,FALSE),MATCH(V46,Data!$A:$A,0)),$BX$12)),"-")</f>
        <v>387</v>
      </c>
      <c r="AF46" s="71">
        <f ca="1">IF(AND(W46&gt;=$AC$4,W46&lt;=$AU$4),IF(""=IFERROR(INDEX(INDIRECT("Data!C"&amp;$K$5,FALSE),MATCH(W46,Data!$A:$A,0)),$BX$12),$BX$11,IFERROR(INDEX(INDIRECT("Data!C"&amp;$K$5,FALSE),MATCH(W46,Data!$A:$A,0)),$BX$12)),"-")</f>
        <v>308</v>
      </c>
      <c r="AG46" s="71">
        <f ca="1">IF(AND(X46&gt;=$AC$4,X46&lt;=$AU$4),IF(""=IFERROR(INDEX(INDIRECT("Data!C"&amp;$K$5,FALSE),MATCH(X46,Data!$A:$A,0)),$BX$12),$BX$11,IFERROR(INDEX(INDIRECT("Data!C"&amp;$K$5,FALSE),MATCH(X46,Data!$A:$A,0)),$BX$12)),"-")</f>
        <v>281</v>
      </c>
      <c r="AH46" s="71">
        <f ca="1">IF(AND(Y46&gt;=$AC$4,Y46&lt;=$AU$4),IF(""=IFERROR(INDEX(INDIRECT("Data!C"&amp;$K$5,FALSE),MATCH(Y46,Data!$A:$A,0)),$BX$12),$BX$11,IFERROR(INDEX(INDIRECT("Data!C"&amp;$K$5,FALSE),MATCH(Y46,Data!$A:$A,0)),$BX$12)),"-")</f>
        <v>181</v>
      </c>
      <c r="AI46" s="71">
        <f ca="1">IF(AND(Z46&gt;=$AC$4,Z46&lt;=$AU$4),IF(""=IFERROR(INDEX(INDIRECT("Data!C"&amp;$K$5,FALSE),MATCH(Z46,Data!$A:$A,0)),$BX$12),$BX$11,IFERROR(INDEX(INDIRECT("Data!C"&amp;$K$5,FALSE),MATCH(Z46,Data!$A:$A,0)),$BX$12)),"-")</f>
        <v>63</v>
      </c>
      <c r="AJ46" s="7"/>
      <c r="AL46" s="34">
        <f t="shared" si="50"/>
        <v>41875</v>
      </c>
      <c r="AM46" s="34">
        <f t="shared" si="45"/>
        <v>41876</v>
      </c>
      <c r="AN46" s="34">
        <f t="shared" si="33"/>
        <v>41877</v>
      </c>
      <c r="AO46" s="34">
        <f t="shared" si="34"/>
        <v>41878</v>
      </c>
      <c r="AP46" s="34">
        <f t="shared" si="35"/>
        <v>41879</v>
      </c>
      <c r="AQ46" s="34">
        <f t="shared" si="36"/>
        <v>41880</v>
      </c>
      <c r="AR46" s="34">
        <f t="shared" si="37"/>
        <v>41881</v>
      </c>
      <c r="AT46" s="24" t="str">
        <f t="array" ref="AT46">IFERROR(IF(MATCH(8,DAY(AL46:AR46),0),AR46,""),"")</f>
        <v/>
      </c>
      <c r="AU46" s="71">
        <f ca="1">IF(AND(AL46&gt;=$AC$4,AL46&lt;=$AU$4),IF(""=IFERROR(INDEX(INDIRECT("Data!C"&amp;$K$5,FALSE),MATCH(AL46,Data!$A:$A,0)),$BX$12),$BX$11,IFERROR(INDEX(INDIRECT("Data!C"&amp;$K$5,FALSE),MATCH(AL46,Data!$A:$A,0)),$BX$12)),"-")</f>
        <v>44</v>
      </c>
      <c r="AV46" s="71">
        <f ca="1">IF(AND(AM46&gt;=$AC$4,AM46&lt;=$AU$4),IF(""=IFERROR(INDEX(INDIRECT("Data!C"&amp;$K$5,FALSE),MATCH(AM46,Data!$A:$A,0)),$BX$12),$BX$11,IFERROR(INDEX(INDIRECT("Data!C"&amp;$K$5,FALSE),MATCH(AM46,Data!$A:$A,0)),$BX$12)),"-")</f>
        <v>410</v>
      </c>
      <c r="AW46" s="71">
        <f ca="1">IF(AND(AN46&gt;=$AC$4,AN46&lt;=$AU$4),IF(""=IFERROR(INDEX(INDIRECT("Data!C"&amp;$K$5,FALSE),MATCH(AN46,Data!$A:$A,0)),$BX$12),$BX$11,IFERROR(INDEX(INDIRECT("Data!C"&amp;$K$5,FALSE),MATCH(AN46,Data!$A:$A,0)),$BX$12)),"-")</f>
        <v>270</v>
      </c>
      <c r="AX46" s="71">
        <f ca="1">IF(AND(AO46&gt;=$AC$4,AO46&lt;=$AU$4),IF(""=IFERROR(INDEX(INDIRECT("Data!C"&amp;$K$5,FALSE),MATCH(AO46,Data!$A:$A,0)),$BX$12),$BX$11,IFERROR(INDEX(INDIRECT("Data!C"&amp;$K$5,FALSE),MATCH(AO46,Data!$A:$A,0)),$BX$12)),"-")</f>
        <v>230</v>
      </c>
      <c r="AY46" s="71">
        <f ca="1">IF(AND(AP46&gt;=$AC$4,AP46&lt;=$AU$4),IF(""=IFERROR(INDEX(INDIRECT("Data!C"&amp;$K$5,FALSE),MATCH(AP46,Data!$A:$A,0)),$BX$12),$BX$11,IFERROR(INDEX(INDIRECT("Data!C"&amp;$K$5,FALSE),MATCH(AP46,Data!$A:$A,0)),$BX$12)),"-")</f>
        <v>222</v>
      </c>
      <c r="AZ46" s="71">
        <f ca="1">IF(AND(AQ46&gt;=$AC$4,AQ46&lt;=$AU$4),IF(""=IFERROR(INDEX(INDIRECT("Data!C"&amp;$K$5,FALSE),MATCH(AQ46,Data!$A:$A,0)),$BX$12),$BX$11,IFERROR(INDEX(INDIRECT("Data!C"&amp;$K$5,FALSE),MATCH(AQ46,Data!$A:$A,0)),$BX$12)),"-")</f>
        <v>214</v>
      </c>
      <c r="BA46" s="71">
        <f ca="1">IF(AND(AR46&gt;=$AC$4,AR46&lt;=$AU$4),IF(""=IFERROR(INDEX(INDIRECT("Data!C"&amp;$K$5,FALSE),MATCH(AR46,Data!$A:$A,0)),$BX$12),$BX$11,IFERROR(INDEX(INDIRECT("Data!C"&amp;$K$5,FALSE),MATCH(AR46,Data!$A:$A,0)),$BX$12)),"-")</f>
        <v>59</v>
      </c>
      <c r="BB46" s="7"/>
      <c r="BD46" s="34">
        <f t="shared" si="51"/>
        <v>42239</v>
      </c>
      <c r="BE46" s="34">
        <f t="shared" si="46"/>
        <v>42240</v>
      </c>
      <c r="BF46" s="34">
        <f t="shared" si="38"/>
        <v>42241</v>
      </c>
      <c r="BG46" s="34">
        <f t="shared" si="39"/>
        <v>42242</v>
      </c>
      <c r="BH46" s="34">
        <f t="shared" si="40"/>
        <v>42243</v>
      </c>
      <c r="BI46" s="34">
        <f t="shared" si="41"/>
        <v>42244</v>
      </c>
      <c r="BJ46" s="34">
        <f t="shared" si="42"/>
        <v>42245</v>
      </c>
      <c r="BL46" s="24" t="str">
        <f t="array" ref="BL46">IFERROR(IF(MATCH(8,DAY(BD46:BJ46),0),BJ46,""),"")</f>
        <v/>
      </c>
      <c r="BM46" s="71">
        <f ca="1">IF(AND(BD46&gt;=$AC$4,BD46&lt;=$AU$4),IF(""=IFERROR(INDEX(INDIRECT("Data!C"&amp;$K$5,FALSE),MATCH(BD46,Data!$A:$A,0)),$BX$12),$BX$11,IFERROR(INDEX(INDIRECT("Data!C"&amp;$K$5,FALSE),MATCH(BD46,Data!$A:$A,0)),$BX$12)),"-")</f>
        <v>28</v>
      </c>
      <c r="BN46" s="71">
        <f ca="1">IF(AND(BE46&gt;=$AC$4,BE46&lt;=$AU$4),IF(""=IFERROR(INDEX(INDIRECT("Data!C"&amp;$K$5,FALSE),MATCH(BE46,Data!$A:$A,0)),$BX$12),$BX$11,IFERROR(INDEX(INDIRECT("Data!C"&amp;$K$5,FALSE),MATCH(BE46,Data!$A:$A,0)),$BX$12)),"-")</f>
        <v>429</v>
      </c>
      <c r="BO46" s="71">
        <f ca="1">IF(AND(BF46&gt;=$AC$4,BF46&lt;=$AU$4),IF(""=IFERROR(INDEX(INDIRECT("Data!C"&amp;$K$5,FALSE),MATCH(BF46,Data!$A:$A,0)),$BX$12),$BX$11,IFERROR(INDEX(INDIRECT("Data!C"&amp;$K$5,FALSE),MATCH(BF46,Data!$A:$A,0)),$BX$12)),"-")</f>
        <v>404</v>
      </c>
      <c r="BP46" s="71">
        <f ca="1">IF(AND(BG46&gt;=$AC$4,BG46&lt;=$AU$4),IF(""=IFERROR(INDEX(INDIRECT("Data!C"&amp;$K$5,FALSE),MATCH(BG46,Data!$A:$A,0)),$BX$12),$BX$11,IFERROR(INDEX(INDIRECT("Data!C"&amp;$K$5,FALSE),MATCH(BG46,Data!$A:$A,0)),$BX$12)),"-")</f>
        <v>314</v>
      </c>
      <c r="BQ46" s="71">
        <f ca="1">IF(AND(BH46&gt;=$AC$4,BH46&lt;=$AU$4),IF(""=IFERROR(INDEX(INDIRECT("Data!C"&amp;$K$5,FALSE),MATCH(BH46,Data!$A:$A,0)),$BX$12),$BX$11,IFERROR(INDEX(INDIRECT("Data!C"&amp;$K$5,FALSE),MATCH(BH46,Data!$A:$A,0)),$BX$12)),"-")</f>
        <v>269</v>
      </c>
      <c r="BR46" s="71">
        <f ca="1">IF(AND(BI46&gt;=$AC$4,BI46&lt;=$AU$4),IF(""=IFERROR(INDEX(INDIRECT("Data!C"&amp;$K$5,FALSE),MATCH(BI46,Data!$A:$A,0)),$BX$12),$BX$11,IFERROR(INDEX(INDIRECT("Data!C"&amp;$K$5,FALSE),MATCH(BI46,Data!$A:$A,0)),$BX$12)),"-")</f>
        <v>156</v>
      </c>
      <c r="BS46" s="71">
        <f ca="1">IF(AND(BJ46&gt;=$AC$4,BJ46&lt;=$AU$4),IF(""=IFERROR(INDEX(INDIRECT("Data!C"&amp;$K$5,FALSE),MATCH(BJ46,Data!$A:$A,0)),$BX$12),$BX$11,IFERROR(INDEX(INDIRECT("Data!C"&amp;$K$5,FALSE),MATCH(BJ46,Data!$A:$A,0)),$BX$12)),"-")</f>
        <v>79</v>
      </c>
      <c r="BT46" s="7"/>
      <c r="BU46" s="58">
        <f t="shared" ca="1" si="47"/>
        <v>227.67857142857142</v>
      </c>
    </row>
    <row r="47" spans="2:73" ht="12" customHeight="1" x14ac:dyDescent="0.2">
      <c r="B47" s="34">
        <f t="shared" si="48"/>
        <v>41154</v>
      </c>
      <c r="C47" s="34">
        <f t="shared" si="53"/>
        <v>41155</v>
      </c>
      <c r="D47" s="34">
        <f t="shared" si="53"/>
        <v>41156</v>
      </c>
      <c r="E47" s="34">
        <f t="shared" si="53"/>
        <v>41157</v>
      </c>
      <c r="F47" s="34">
        <f t="shared" si="53"/>
        <v>41158</v>
      </c>
      <c r="G47" s="34">
        <f t="shared" si="53"/>
        <v>41159</v>
      </c>
      <c r="H47" s="34">
        <f t="shared" si="53"/>
        <v>41160</v>
      </c>
      <c r="J47" s="24">
        <f t="array" ref="J47">IFERROR(IF(MATCH(8,DAY(B47:H47),0),H47,""),"")</f>
        <v>41160</v>
      </c>
      <c r="K47" s="71">
        <f ca="1">IF(AND(B47&gt;=$AC$4,B47&lt;=$AU$4),IF(""=IFERROR(INDEX(INDIRECT("Data!C"&amp;$K$5,FALSE),MATCH(B47,Data!$A:$A,0)),$BX$12),$BX$11,IFERROR(INDEX(INDIRECT("Data!C"&amp;$K$5,FALSE),MATCH(B47,Data!$A:$A,0)),$BX$12)),"-")</f>
        <v>33</v>
      </c>
      <c r="L47" s="71">
        <f ca="1">IF(AND(C47&gt;=$AC$4,C47&lt;=$AU$4),IF(""=IFERROR(INDEX(INDIRECT("Data!C"&amp;$K$5,FALSE),MATCH(C47,Data!$A:$A,0)),$BX$12),$BX$11,IFERROR(INDEX(INDIRECT("Data!C"&amp;$K$5,FALSE),MATCH(C47,Data!$A:$A,0)),$BX$12)),"-")</f>
        <v>306</v>
      </c>
      <c r="M47" s="71">
        <f ca="1">IF(AND(D47&gt;=$AC$4,D47&lt;=$AU$4),IF(""=IFERROR(INDEX(INDIRECT("Data!C"&amp;$K$5,FALSE),MATCH(D47,Data!$A:$A,0)),$BX$12),$BX$11,IFERROR(INDEX(INDIRECT("Data!C"&amp;$K$5,FALSE),MATCH(D47,Data!$A:$A,0)),$BX$12)),"-")</f>
        <v>354</v>
      </c>
      <c r="N47" s="71">
        <f ca="1">IF(AND(E47&gt;=$AC$4,E47&lt;=$AU$4),IF(""=IFERROR(INDEX(INDIRECT("Data!C"&amp;$K$5,FALSE),MATCH(E47,Data!$A:$A,0)),$BX$12),$BX$11,IFERROR(INDEX(INDIRECT("Data!C"&amp;$K$5,FALSE),MATCH(E47,Data!$A:$A,0)),$BX$12)),"-")</f>
        <v>250</v>
      </c>
      <c r="O47" s="71">
        <f ca="1">IF(AND(F47&gt;=$AC$4,F47&lt;=$AU$4),IF(""=IFERROR(INDEX(INDIRECT("Data!C"&amp;$K$5,FALSE),MATCH(F47,Data!$A:$A,0)),$BX$12),$BX$11,IFERROR(INDEX(INDIRECT("Data!C"&amp;$K$5,FALSE),MATCH(F47,Data!$A:$A,0)),$BX$12)),"-")</f>
        <v>264</v>
      </c>
      <c r="P47" s="71">
        <f ca="1">IF(AND(G47&gt;=$AC$4,G47&lt;=$AU$4),IF(""=IFERROR(INDEX(INDIRECT("Data!C"&amp;$K$5,FALSE),MATCH(G47,Data!$A:$A,0)),$BX$12),$BX$11,IFERROR(INDEX(INDIRECT("Data!C"&amp;$K$5,FALSE),MATCH(G47,Data!$A:$A,0)),$BX$12)),"-")</f>
        <v>217</v>
      </c>
      <c r="Q47" s="71">
        <f ca="1">IF(AND(H47&gt;=$AC$4,H47&lt;=$AU$4),IF(""=IFERROR(INDEX(INDIRECT("Data!C"&amp;$K$5,FALSE),MATCH(H47,Data!$A:$A,0)),$BX$12),$BX$11,IFERROR(INDEX(INDIRECT("Data!C"&amp;$K$5,FALSE),MATCH(H47,Data!$A:$A,0)),$BX$12)),"-")</f>
        <v>78</v>
      </c>
      <c r="R47" s="7"/>
      <c r="T47" s="34">
        <f t="shared" si="49"/>
        <v>41518</v>
      </c>
      <c r="U47" s="34">
        <f t="shared" si="44"/>
        <v>41519</v>
      </c>
      <c r="V47" s="34">
        <f t="shared" si="28"/>
        <v>41520</v>
      </c>
      <c r="W47" s="34">
        <f t="shared" si="29"/>
        <v>41521</v>
      </c>
      <c r="X47" s="34">
        <f t="shared" si="30"/>
        <v>41522</v>
      </c>
      <c r="Y47" s="34">
        <f t="shared" si="31"/>
        <v>41523</v>
      </c>
      <c r="Z47" s="34">
        <f t="shared" si="32"/>
        <v>41524</v>
      </c>
      <c r="AB47" s="24" t="str">
        <f t="array" ref="AB47">IFERROR(IF(MATCH(8,DAY(T47:Z47),0),Z47,""),"")</f>
        <v/>
      </c>
      <c r="AC47" s="71">
        <f ca="1">IF(AND(T47&gt;=$AC$4,T47&lt;=$AU$4),IF(""=IFERROR(INDEX(INDIRECT("Data!C"&amp;$K$5,FALSE),MATCH(T47,Data!$A:$A,0)),$BX$12),$BX$11,IFERROR(INDEX(INDIRECT("Data!C"&amp;$K$5,FALSE),MATCH(T47,Data!$A:$A,0)),$BX$12)),"-")</f>
        <v>46</v>
      </c>
      <c r="AD47" s="71">
        <f ca="1">IF(AND(U47&gt;=$AC$4,U47&lt;=$AU$4),IF(""=IFERROR(INDEX(INDIRECT("Data!C"&amp;$K$5,FALSE),MATCH(U47,Data!$A:$A,0)),$BX$12),$BX$11,IFERROR(INDEX(INDIRECT("Data!C"&amp;$K$5,FALSE),MATCH(U47,Data!$A:$A,0)),$BX$12)),"-")</f>
        <v>280</v>
      </c>
      <c r="AE47" s="71">
        <f ca="1">IF(AND(V47&gt;=$AC$4,V47&lt;=$AU$4),IF(""=IFERROR(INDEX(INDIRECT("Data!C"&amp;$K$5,FALSE),MATCH(V47,Data!$A:$A,0)),$BX$12),$BX$11,IFERROR(INDEX(INDIRECT("Data!C"&amp;$K$5,FALSE),MATCH(V47,Data!$A:$A,0)),$BX$12)),"-")</f>
        <v>391</v>
      </c>
      <c r="AF47" s="71">
        <f ca="1">IF(AND(W47&gt;=$AC$4,W47&lt;=$AU$4),IF(""=IFERROR(INDEX(INDIRECT("Data!C"&amp;$K$5,FALSE),MATCH(W47,Data!$A:$A,0)),$BX$12),$BX$11,IFERROR(INDEX(INDIRECT("Data!C"&amp;$K$5,FALSE),MATCH(W47,Data!$A:$A,0)),$BX$12)),"-")</f>
        <v>295</v>
      </c>
      <c r="AG47" s="71">
        <f ca="1">IF(AND(X47&gt;=$AC$4,X47&lt;=$AU$4),IF(""=IFERROR(INDEX(INDIRECT("Data!C"&amp;$K$5,FALSE),MATCH(X47,Data!$A:$A,0)),$BX$12),$BX$11,IFERROR(INDEX(INDIRECT("Data!C"&amp;$K$5,FALSE),MATCH(X47,Data!$A:$A,0)),$BX$12)),"-")</f>
        <v>187</v>
      </c>
      <c r="AH47" s="71">
        <f ca="1">IF(AND(Y47&gt;=$AC$4,Y47&lt;=$AU$4),IF(""=IFERROR(INDEX(INDIRECT("Data!C"&amp;$K$5,FALSE),MATCH(Y47,Data!$A:$A,0)),$BX$12),$BX$11,IFERROR(INDEX(INDIRECT("Data!C"&amp;$K$5,FALSE),MATCH(Y47,Data!$A:$A,0)),$BX$12)),"-")</f>
        <v>227</v>
      </c>
      <c r="AI47" s="71">
        <f ca="1">IF(AND(Z47&gt;=$AC$4,Z47&lt;=$AU$4),IF(""=IFERROR(INDEX(INDIRECT("Data!C"&amp;$K$5,FALSE),MATCH(Z47,Data!$A:$A,0)),$BX$12),$BX$11,IFERROR(INDEX(INDIRECT("Data!C"&amp;$K$5,FALSE),MATCH(Z47,Data!$A:$A,0)),$BX$12)),"-")</f>
        <v>58</v>
      </c>
      <c r="AJ47" s="7"/>
      <c r="AL47" s="34">
        <f t="shared" si="50"/>
        <v>41882</v>
      </c>
      <c r="AM47" s="34">
        <f t="shared" si="45"/>
        <v>41883</v>
      </c>
      <c r="AN47" s="34">
        <f t="shared" si="33"/>
        <v>41884</v>
      </c>
      <c r="AO47" s="34">
        <f t="shared" si="34"/>
        <v>41885</v>
      </c>
      <c r="AP47" s="34">
        <f t="shared" si="35"/>
        <v>41886</v>
      </c>
      <c r="AQ47" s="34">
        <f t="shared" si="36"/>
        <v>41887</v>
      </c>
      <c r="AR47" s="34">
        <f t="shared" si="37"/>
        <v>41888</v>
      </c>
      <c r="AT47" s="24" t="str">
        <f t="array" ref="AT47">IFERROR(IF(MATCH(8,DAY(AL47:AR47),0),AR47,""),"")</f>
        <v/>
      </c>
      <c r="AU47" s="71">
        <f ca="1">IF(AND(AL47&gt;=$AC$4,AL47&lt;=$AU$4),IF(""=IFERROR(INDEX(INDIRECT("Data!C"&amp;$K$5,FALSE),MATCH(AL47,Data!$A:$A,0)),$BX$12),$BX$11,IFERROR(INDEX(INDIRECT("Data!C"&amp;$K$5,FALSE),MATCH(AL47,Data!$A:$A,0)),$BX$12)),"-")</f>
        <v>30</v>
      </c>
      <c r="AV47" s="71">
        <f ca="1">IF(AND(AM47&gt;=$AC$4,AM47&lt;=$AU$4),IF(""=IFERROR(INDEX(INDIRECT("Data!C"&amp;$K$5,FALSE),MATCH(AM47,Data!$A:$A,0)),$BX$12),$BX$11,IFERROR(INDEX(INDIRECT("Data!C"&amp;$K$5,FALSE),MATCH(AM47,Data!$A:$A,0)),$BX$12)),"-")</f>
        <v>245</v>
      </c>
      <c r="AW47" s="71">
        <f ca="1">IF(AND(AN47&gt;=$AC$4,AN47&lt;=$AU$4),IF(""=IFERROR(INDEX(INDIRECT("Data!C"&amp;$K$5,FALSE),MATCH(AN47,Data!$A:$A,0)),$BX$12),$BX$11,IFERROR(INDEX(INDIRECT("Data!C"&amp;$K$5,FALSE),MATCH(AN47,Data!$A:$A,0)),$BX$12)),"-")</f>
        <v>301</v>
      </c>
      <c r="AX47" s="71">
        <f ca="1">IF(AND(AO47&gt;=$AC$4,AO47&lt;=$AU$4),IF(""=IFERROR(INDEX(INDIRECT("Data!C"&amp;$K$5,FALSE),MATCH(AO47,Data!$A:$A,0)),$BX$12),$BX$11,IFERROR(INDEX(INDIRECT("Data!C"&amp;$K$5,FALSE),MATCH(AO47,Data!$A:$A,0)),$BX$12)),"-")</f>
        <v>334</v>
      </c>
      <c r="AY47" s="71">
        <f ca="1">IF(AND(AP47&gt;=$AC$4,AP47&lt;=$AU$4),IF(""=IFERROR(INDEX(INDIRECT("Data!C"&amp;$K$5,FALSE),MATCH(AP47,Data!$A:$A,0)),$BX$12),$BX$11,IFERROR(INDEX(INDIRECT("Data!C"&amp;$K$5,FALSE),MATCH(AP47,Data!$A:$A,0)),$BX$12)),"-")</f>
        <v>169</v>
      </c>
      <c r="AZ47" s="71">
        <f ca="1">IF(AND(AQ47&gt;=$AC$4,AQ47&lt;=$AU$4),IF(""=IFERROR(INDEX(INDIRECT("Data!C"&amp;$K$5,FALSE),MATCH(AQ47,Data!$A:$A,0)),$BX$12),$BX$11,IFERROR(INDEX(INDIRECT("Data!C"&amp;$K$5,FALSE),MATCH(AQ47,Data!$A:$A,0)),$BX$12)),"-")</f>
        <v>150</v>
      </c>
      <c r="BA47" s="71">
        <f ca="1">IF(AND(AR47&gt;=$AC$4,AR47&lt;=$AU$4),IF(""=IFERROR(INDEX(INDIRECT("Data!C"&amp;$K$5,FALSE),MATCH(AR47,Data!$A:$A,0)),$BX$12),$BX$11,IFERROR(INDEX(INDIRECT("Data!C"&amp;$K$5,FALSE),MATCH(AR47,Data!$A:$A,0)),$BX$12)),"-")</f>
        <v>73</v>
      </c>
      <c r="BB47" s="7"/>
      <c r="BD47" s="34">
        <f t="shared" si="51"/>
        <v>42246</v>
      </c>
      <c r="BE47" s="34">
        <f t="shared" si="46"/>
        <v>42247</v>
      </c>
      <c r="BF47" s="34">
        <f t="shared" si="38"/>
        <v>42248</v>
      </c>
      <c r="BG47" s="34">
        <f t="shared" si="39"/>
        <v>42249</v>
      </c>
      <c r="BH47" s="34">
        <f t="shared" si="40"/>
        <v>42250</v>
      </c>
      <c r="BI47" s="34">
        <f t="shared" si="41"/>
        <v>42251</v>
      </c>
      <c r="BJ47" s="34">
        <f t="shared" si="42"/>
        <v>42252</v>
      </c>
      <c r="BL47" s="24" t="str">
        <f t="array" ref="BL47">IFERROR(IF(MATCH(8,DAY(BD47:BJ47),0),BJ47,""),"")</f>
        <v/>
      </c>
      <c r="BM47" s="71">
        <f ca="1">IF(AND(BD47&gt;=$AC$4,BD47&lt;=$AU$4),IF(""=IFERROR(INDEX(INDIRECT("Data!C"&amp;$K$5,FALSE),MATCH(BD47,Data!$A:$A,0)),$BX$12),$BX$11,IFERROR(INDEX(INDIRECT("Data!C"&amp;$K$5,FALSE),MATCH(BD47,Data!$A:$A,0)),$BX$12)),"-")</f>
        <v>32</v>
      </c>
      <c r="BN47" s="71">
        <f ca="1">IF(AND(BE47&gt;=$AC$4,BE47&lt;=$AU$4),IF(""=IFERROR(INDEX(INDIRECT("Data!C"&amp;$K$5,FALSE),MATCH(BE47,Data!$A:$A,0)),$BX$12),$BX$11,IFERROR(INDEX(INDIRECT("Data!C"&amp;$K$5,FALSE),MATCH(BE47,Data!$A:$A,0)),$BX$12)),"-")</f>
        <v>323</v>
      </c>
      <c r="BO47" s="71">
        <f ca="1">IF(AND(BF47&gt;=$AC$4,BF47&lt;=$AU$4),IF(""=IFERROR(INDEX(INDIRECT("Data!C"&amp;$K$5,FALSE),MATCH(BF47,Data!$A:$A,0)),$BX$12),$BX$11,IFERROR(INDEX(INDIRECT("Data!C"&amp;$K$5,FALSE),MATCH(BF47,Data!$A:$A,0)),$BX$12)),"-")</f>
        <v>342</v>
      </c>
      <c r="BP47" s="71">
        <f ca="1">IF(AND(BG47&gt;=$AC$4,BG47&lt;=$AU$4),IF(""=IFERROR(INDEX(INDIRECT("Data!C"&amp;$K$5,FALSE),MATCH(BG47,Data!$A:$A,0)),$BX$12),$BX$11,IFERROR(INDEX(INDIRECT("Data!C"&amp;$K$5,FALSE),MATCH(BG47,Data!$A:$A,0)),$BX$12)),"-")</f>
        <v>276</v>
      </c>
      <c r="BQ47" s="71">
        <f ca="1">IF(AND(BH47&gt;=$AC$4,BH47&lt;=$AU$4),IF(""=IFERROR(INDEX(INDIRECT("Data!C"&amp;$K$5,FALSE),MATCH(BH47,Data!$A:$A,0)),$BX$12),$BX$11,IFERROR(INDEX(INDIRECT("Data!C"&amp;$K$5,FALSE),MATCH(BH47,Data!$A:$A,0)),$BX$12)),"-")</f>
        <v>141</v>
      </c>
      <c r="BR47" s="71">
        <f ca="1">IF(AND(BI47&gt;=$AC$4,BI47&lt;=$AU$4),IF(""=IFERROR(INDEX(INDIRECT("Data!C"&amp;$K$5,FALSE),MATCH(BI47,Data!$A:$A,0)),$BX$12),$BX$11,IFERROR(INDEX(INDIRECT("Data!C"&amp;$K$5,FALSE),MATCH(BI47,Data!$A:$A,0)),$BX$12)),"-")</f>
        <v>194</v>
      </c>
      <c r="BS47" s="71">
        <f ca="1">IF(AND(BJ47&gt;=$AC$4,BJ47&lt;=$AU$4),IF(""=IFERROR(INDEX(INDIRECT("Data!C"&amp;$K$5,FALSE),MATCH(BJ47,Data!$A:$A,0)),$BX$12),$BX$11,IFERROR(INDEX(INDIRECT("Data!C"&amp;$K$5,FALSE),MATCH(BJ47,Data!$A:$A,0)),$BX$12)),"-")</f>
        <v>64</v>
      </c>
      <c r="BT47" s="7"/>
      <c r="BU47" s="58">
        <f t="shared" ca="1" si="47"/>
        <v>202.14285714285714</v>
      </c>
    </row>
    <row r="48" spans="2:73" ht="12" customHeight="1" x14ac:dyDescent="0.2">
      <c r="B48" s="34">
        <f t="shared" si="48"/>
        <v>41161</v>
      </c>
      <c r="C48" s="34">
        <f t="shared" si="53"/>
        <v>41162</v>
      </c>
      <c r="D48" s="34">
        <f t="shared" si="53"/>
        <v>41163</v>
      </c>
      <c r="E48" s="34">
        <f t="shared" si="53"/>
        <v>41164</v>
      </c>
      <c r="F48" s="34">
        <f t="shared" si="53"/>
        <v>41165</v>
      </c>
      <c r="G48" s="34">
        <f t="shared" si="53"/>
        <v>41166</v>
      </c>
      <c r="H48" s="34">
        <f t="shared" si="53"/>
        <v>41167</v>
      </c>
      <c r="J48" s="24" t="str">
        <f t="array" ref="J48">IFERROR(IF(MATCH(8,DAY(B48:H48),0),H48,""),"")</f>
        <v/>
      </c>
      <c r="K48" s="71">
        <f ca="1">IF(AND(B48&gt;=$AC$4,B48&lt;=$AU$4),IF(""=IFERROR(INDEX(INDIRECT("Data!C"&amp;$K$5,FALSE),MATCH(B48,Data!$A:$A,0)),$BX$12),$BX$11,IFERROR(INDEX(INDIRECT("Data!C"&amp;$K$5,FALSE),MATCH(B48,Data!$A:$A,0)),$BX$12)),"-")</f>
        <v>30</v>
      </c>
      <c r="L48" s="71">
        <f ca="1">IF(AND(C48&gt;=$AC$4,C48&lt;=$AU$4),IF(""=IFERROR(INDEX(INDIRECT("Data!C"&amp;$K$5,FALSE),MATCH(C48,Data!$A:$A,0)),$BX$12),$BX$11,IFERROR(INDEX(INDIRECT("Data!C"&amp;$K$5,FALSE),MATCH(C48,Data!$A:$A,0)),$BX$12)),"-")</f>
        <v>254</v>
      </c>
      <c r="M48" s="71">
        <f ca="1">IF(AND(D48&gt;=$AC$4,D48&lt;=$AU$4),IF(""=IFERROR(INDEX(INDIRECT("Data!C"&amp;$K$5,FALSE),MATCH(D48,Data!$A:$A,0)),$BX$12),$BX$11,IFERROR(INDEX(INDIRECT("Data!C"&amp;$K$5,FALSE),MATCH(D48,Data!$A:$A,0)),$BX$12)),"-")</f>
        <v>231</v>
      </c>
      <c r="N48" s="71">
        <f ca="1">IF(AND(E48&gt;=$AC$4,E48&lt;=$AU$4),IF(""=IFERROR(INDEX(INDIRECT("Data!C"&amp;$K$5,FALSE),MATCH(E48,Data!$A:$A,0)),$BX$12),$BX$11,IFERROR(INDEX(INDIRECT("Data!C"&amp;$K$5,FALSE),MATCH(E48,Data!$A:$A,0)),$BX$12)),"-")</f>
        <v>220</v>
      </c>
      <c r="O48" s="71">
        <f ca="1">IF(AND(F48&gt;=$AC$4,F48&lt;=$AU$4),IF(""=IFERROR(INDEX(INDIRECT("Data!C"&amp;$K$5,FALSE),MATCH(F48,Data!$A:$A,0)),$BX$12),$BX$11,IFERROR(INDEX(INDIRECT("Data!C"&amp;$K$5,FALSE),MATCH(F48,Data!$A:$A,0)),$BX$12)),"-")</f>
        <v>194</v>
      </c>
      <c r="P48" s="71">
        <f ca="1">IF(AND(G48&gt;=$AC$4,G48&lt;=$AU$4),IF(""=IFERROR(INDEX(INDIRECT("Data!C"&amp;$K$5,FALSE),MATCH(G48,Data!$A:$A,0)),$BX$12),$BX$11,IFERROR(INDEX(INDIRECT("Data!C"&amp;$K$5,FALSE),MATCH(G48,Data!$A:$A,0)),$BX$12)),"-")</f>
        <v>150</v>
      </c>
      <c r="Q48" s="71">
        <f ca="1">IF(AND(H48&gt;=$AC$4,H48&lt;=$AU$4),IF(""=IFERROR(INDEX(INDIRECT("Data!C"&amp;$K$5,FALSE),MATCH(H48,Data!$A:$A,0)),$BX$12),$BX$11,IFERROR(INDEX(INDIRECT("Data!C"&amp;$K$5,FALSE),MATCH(H48,Data!$A:$A,0)),$BX$12)),"-")</f>
        <v>50</v>
      </c>
      <c r="R48" s="7"/>
      <c r="T48" s="34">
        <f t="shared" si="49"/>
        <v>41525</v>
      </c>
      <c r="U48" s="34">
        <f t="shared" si="44"/>
        <v>41526</v>
      </c>
      <c r="V48" s="34">
        <f t="shared" si="28"/>
        <v>41527</v>
      </c>
      <c r="W48" s="34">
        <f t="shared" si="29"/>
        <v>41528</v>
      </c>
      <c r="X48" s="34">
        <f t="shared" si="30"/>
        <v>41529</v>
      </c>
      <c r="Y48" s="34">
        <f t="shared" si="31"/>
        <v>41530</v>
      </c>
      <c r="Z48" s="34">
        <f t="shared" si="32"/>
        <v>41531</v>
      </c>
      <c r="AB48" s="24">
        <f t="array" ref="AB48">IFERROR(IF(MATCH(8,DAY(T48:Z48),0),Z48,""),"")</f>
        <v>41531</v>
      </c>
      <c r="AC48" s="71">
        <f ca="1">IF(AND(T48&gt;=$AC$4,T48&lt;=$AU$4),IF(""=IFERROR(INDEX(INDIRECT("Data!C"&amp;$K$5,FALSE),MATCH(T48,Data!$A:$A,0)),$BX$12),$BX$11,IFERROR(INDEX(INDIRECT("Data!C"&amp;$K$5,FALSE),MATCH(T48,Data!$A:$A,0)),$BX$12)),"-")</f>
        <v>41</v>
      </c>
      <c r="AD48" s="71">
        <f ca="1">IF(AND(U48&gt;=$AC$4,U48&lt;=$AU$4),IF(""=IFERROR(INDEX(INDIRECT("Data!C"&amp;$K$5,FALSE),MATCH(U48,Data!$A:$A,0)),$BX$12),$BX$11,IFERROR(INDEX(INDIRECT("Data!C"&amp;$K$5,FALSE),MATCH(U48,Data!$A:$A,0)),$BX$12)),"-")</f>
        <v>297</v>
      </c>
      <c r="AE48" s="71">
        <f ca="1">IF(AND(V48&gt;=$AC$4,V48&lt;=$AU$4),IF(""=IFERROR(INDEX(INDIRECT("Data!C"&amp;$K$5,FALSE),MATCH(V48,Data!$A:$A,0)),$BX$12),$BX$11,IFERROR(INDEX(INDIRECT("Data!C"&amp;$K$5,FALSE),MATCH(V48,Data!$A:$A,0)),$BX$12)),"-")</f>
        <v>261</v>
      </c>
      <c r="AF48" s="71">
        <f ca="1">IF(AND(W48&gt;=$AC$4,W48&lt;=$AU$4),IF(""=IFERROR(INDEX(INDIRECT("Data!C"&amp;$K$5,FALSE),MATCH(W48,Data!$A:$A,0)),$BX$12),$BX$11,IFERROR(INDEX(INDIRECT("Data!C"&amp;$K$5,FALSE),MATCH(W48,Data!$A:$A,0)),$BX$12)),"-")</f>
        <v>229</v>
      </c>
      <c r="AG48" s="71">
        <f ca="1">IF(AND(X48&gt;=$AC$4,X48&lt;=$AU$4),IF(""=IFERROR(INDEX(INDIRECT("Data!C"&amp;$K$5,FALSE),MATCH(X48,Data!$A:$A,0)),$BX$12),$BX$11,IFERROR(INDEX(INDIRECT("Data!C"&amp;$K$5,FALSE),MATCH(X48,Data!$A:$A,0)),$BX$12)),"-")</f>
        <v>163</v>
      </c>
      <c r="AH48" s="71">
        <f ca="1">IF(AND(Y48&gt;=$AC$4,Y48&lt;=$AU$4),IF(""=IFERROR(INDEX(INDIRECT("Data!C"&amp;$K$5,FALSE),MATCH(Y48,Data!$A:$A,0)),$BX$12),$BX$11,IFERROR(INDEX(INDIRECT("Data!C"&amp;$K$5,FALSE),MATCH(Y48,Data!$A:$A,0)),$BX$12)),"-")</f>
        <v>179</v>
      </c>
      <c r="AI48" s="71">
        <f ca="1">IF(AND(Z48&gt;=$AC$4,Z48&lt;=$AU$4),IF(""=IFERROR(INDEX(INDIRECT("Data!C"&amp;$K$5,FALSE),MATCH(Z48,Data!$A:$A,0)),$BX$12),$BX$11,IFERROR(INDEX(INDIRECT("Data!C"&amp;$K$5,FALSE),MATCH(Z48,Data!$A:$A,0)),$BX$12)),"-")</f>
        <v>47</v>
      </c>
      <c r="AJ48" s="7"/>
      <c r="AL48" s="34">
        <f t="shared" si="50"/>
        <v>41889</v>
      </c>
      <c r="AM48" s="34">
        <f t="shared" si="45"/>
        <v>41890</v>
      </c>
      <c r="AN48" s="34">
        <f t="shared" si="33"/>
        <v>41891</v>
      </c>
      <c r="AO48" s="34">
        <f t="shared" si="34"/>
        <v>41892</v>
      </c>
      <c r="AP48" s="34">
        <f t="shared" si="35"/>
        <v>41893</v>
      </c>
      <c r="AQ48" s="34">
        <f t="shared" si="36"/>
        <v>41894</v>
      </c>
      <c r="AR48" s="34">
        <f t="shared" si="37"/>
        <v>41895</v>
      </c>
      <c r="AT48" s="24">
        <f t="array" ref="AT48">IFERROR(IF(MATCH(8,DAY(AL48:AR48),0),AR48,""),"")</f>
        <v>41895</v>
      </c>
      <c r="AU48" s="71">
        <f ca="1">IF(AND(AL48&gt;=$AC$4,AL48&lt;=$AU$4),IF(""=IFERROR(INDEX(INDIRECT("Data!C"&amp;$K$5,FALSE),MATCH(AL48,Data!$A:$A,0)),$BX$12),$BX$11,IFERROR(INDEX(INDIRECT("Data!C"&amp;$K$5,FALSE),MATCH(AL48,Data!$A:$A,0)),$BX$12)),"-")</f>
        <v>26</v>
      </c>
      <c r="AV48" s="71">
        <f ca="1">IF(AND(AM48&gt;=$AC$4,AM48&lt;=$AU$4),IF(""=IFERROR(INDEX(INDIRECT("Data!C"&amp;$K$5,FALSE),MATCH(AM48,Data!$A:$A,0)),$BX$12),$BX$11,IFERROR(INDEX(INDIRECT("Data!C"&amp;$K$5,FALSE),MATCH(AM48,Data!$A:$A,0)),$BX$12)),"-")</f>
        <v>376</v>
      </c>
      <c r="AW48" s="71">
        <f ca="1">IF(AND(AN48&gt;=$AC$4,AN48&lt;=$AU$4),IF(""=IFERROR(INDEX(INDIRECT("Data!C"&amp;$K$5,FALSE),MATCH(AN48,Data!$A:$A,0)),$BX$12),$BX$11,IFERROR(INDEX(INDIRECT("Data!C"&amp;$K$5,FALSE),MATCH(AN48,Data!$A:$A,0)),$BX$12)),"-")</f>
        <v>227</v>
      </c>
      <c r="AX48" s="71">
        <f ca="1">IF(AND(AO48&gt;=$AC$4,AO48&lt;=$AU$4),IF(""=IFERROR(INDEX(INDIRECT("Data!C"&amp;$K$5,FALSE),MATCH(AO48,Data!$A:$A,0)),$BX$12),$BX$11,IFERROR(INDEX(INDIRECT("Data!C"&amp;$K$5,FALSE),MATCH(AO48,Data!$A:$A,0)),$BX$12)),"-")</f>
        <v>173</v>
      </c>
      <c r="AY48" s="71">
        <f ca="1">IF(AND(AP48&gt;=$AC$4,AP48&lt;=$AU$4),IF(""=IFERROR(INDEX(INDIRECT("Data!C"&amp;$K$5,FALSE),MATCH(AP48,Data!$A:$A,0)),$BX$12),$BX$11,IFERROR(INDEX(INDIRECT("Data!C"&amp;$K$5,FALSE),MATCH(AP48,Data!$A:$A,0)),$BX$12)),"-")</f>
        <v>126</v>
      </c>
      <c r="AZ48" s="71">
        <f ca="1">IF(AND(AQ48&gt;=$AC$4,AQ48&lt;=$AU$4),IF(""=IFERROR(INDEX(INDIRECT("Data!C"&amp;$K$5,FALSE),MATCH(AQ48,Data!$A:$A,0)),$BX$12),$BX$11,IFERROR(INDEX(INDIRECT("Data!C"&amp;$K$5,FALSE),MATCH(AQ48,Data!$A:$A,0)),$BX$12)),"-")</f>
        <v>157</v>
      </c>
      <c r="BA48" s="71">
        <f ca="1">IF(AND(AR48&gt;=$AC$4,AR48&lt;=$AU$4),IF(""=IFERROR(INDEX(INDIRECT("Data!C"&amp;$K$5,FALSE),MATCH(AR48,Data!$A:$A,0)),$BX$12),$BX$11,IFERROR(INDEX(INDIRECT("Data!C"&amp;$K$5,FALSE),MATCH(AR48,Data!$A:$A,0)),$BX$12)),"-")</f>
        <v>51</v>
      </c>
      <c r="BB48" s="7"/>
      <c r="BD48" s="34">
        <f t="shared" si="51"/>
        <v>42253</v>
      </c>
      <c r="BE48" s="34">
        <f t="shared" si="46"/>
        <v>42254</v>
      </c>
      <c r="BF48" s="34">
        <f t="shared" si="38"/>
        <v>42255</v>
      </c>
      <c r="BG48" s="34">
        <f t="shared" si="39"/>
        <v>42256</v>
      </c>
      <c r="BH48" s="34">
        <f t="shared" si="40"/>
        <v>42257</v>
      </c>
      <c r="BI48" s="34">
        <f t="shared" si="41"/>
        <v>42258</v>
      </c>
      <c r="BJ48" s="34">
        <f t="shared" si="42"/>
        <v>42259</v>
      </c>
      <c r="BL48" s="24">
        <f t="array" ref="BL48">IFERROR(IF(MATCH(8,DAY(BD48:BJ48),0),BJ48,""),"")</f>
        <v>42259</v>
      </c>
      <c r="BM48" s="71">
        <f ca="1">IF(AND(BD48&gt;=$AC$4,BD48&lt;=$AU$4),IF(""=IFERROR(INDEX(INDIRECT("Data!C"&amp;$K$5,FALSE),MATCH(BD48,Data!$A:$A,0)),$BX$12),$BX$11,IFERROR(INDEX(INDIRECT("Data!C"&amp;$K$5,FALSE),MATCH(BD48,Data!$A:$A,0)),$BX$12)),"-")</f>
        <v>26</v>
      </c>
      <c r="BN48" s="71">
        <f ca="1">IF(AND(BE48&gt;=$AC$4,BE48&lt;=$AU$4),IF(""=IFERROR(INDEX(INDIRECT("Data!C"&amp;$K$5,FALSE),MATCH(BE48,Data!$A:$A,0)),$BX$12),$BX$11,IFERROR(INDEX(INDIRECT("Data!C"&amp;$K$5,FALSE),MATCH(BE48,Data!$A:$A,0)),$BX$12)),"-")</f>
        <v>246</v>
      </c>
      <c r="BO48" s="71">
        <f ca="1">IF(AND(BF48&gt;=$AC$4,BF48&lt;=$AU$4),IF(""=IFERROR(INDEX(INDIRECT("Data!C"&amp;$K$5,FALSE),MATCH(BF48,Data!$A:$A,0)),$BX$12),$BX$11,IFERROR(INDEX(INDIRECT("Data!C"&amp;$K$5,FALSE),MATCH(BF48,Data!$A:$A,0)),$BX$12)),"-")</f>
        <v>150</v>
      </c>
      <c r="BP48" s="71">
        <f ca="1">IF(AND(BG48&gt;=$AC$4,BG48&lt;=$AU$4),IF(""=IFERROR(INDEX(INDIRECT("Data!C"&amp;$K$5,FALSE),MATCH(BG48,Data!$A:$A,0)),$BX$12),$BX$11,IFERROR(INDEX(INDIRECT("Data!C"&amp;$K$5,FALSE),MATCH(BG48,Data!$A:$A,0)),$BX$12)),"-")</f>
        <v>275</v>
      </c>
      <c r="BQ48" s="71">
        <f ca="1">IF(AND(BH48&gt;=$AC$4,BH48&lt;=$AU$4),IF(""=IFERROR(INDEX(INDIRECT("Data!C"&amp;$K$5,FALSE),MATCH(BH48,Data!$A:$A,0)),$BX$12),$BX$11,IFERROR(INDEX(INDIRECT("Data!C"&amp;$K$5,FALSE),MATCH(BH48,Data!$A:$A,0)),$BX$12)),"-")</f>
        <v>236</v>
      </c>
      <c r="BR48" s="71">
        <f ca="1">IF(AND(BI48&gt;=$AC$4,BI48&lt;=$AU$4),IF(""=IFERROR(INDEX(INDIRECT("Data!C"&amp;$K$5,FALSE),MATCH(BI48,Data!$A:$A,0)),$BX$12),$BX$11,IFERROR(INDEX(INDIRECT("Data!C"&amp;$K$5,FALSE),MATCH(BI48,Data!$A:$A,0)),$BX$12)),"-")</f>
        <v>195</v>
      </c>
      <c r="BS48" s="71">
        <f ca="1">IF(AND(BJ48&gt;=$AC$4,BJ48&lt;=$AU$4),IF(""=IFERROR(INDEX(INDIRECT("Data!C"&amp;$K$5,FALSE),MATCH(BJ48,Data!$A:$A,0)),$BX$12),$BX$11,IFERROR(INDEX(INDIRECT("Data!C"&amp;$K$5,FALSE),MATCH(BJ48,Data!$A:$A,0)),$BX$12)),"-")</f>
        <v>67</v>
      </c>
      <c r="BT48" s="7"/>
      <c r="BU48" s="58">
        <f t="shared" ca="1" si="47"/>
        <v>167.03571428571428</v>
      </c>
    </row>
    <row r="49" spans="2:73" ht="12" customHeight="1" x14ac:dyDescent="0.2">
      <c r="B49" s="34">
        <f t="shared" si="48"/>
        <v>41168</v>
      </c>
      <c r="C49" s="34">
        <f t="shared" si="53"/>
        <v>41169</v>
      </c>
      <c r="D49" s="34">
        <f t="shared" si="53"/>
        <v>41170</v>
      </c>
      <c r="E49" s="34">
        <f t="shared" si="53"/>
        <v>41171</v>
      </c>
      <c r="F49" s="34">
        <f t="shared" si="53"/>
        <v>41172</v>
      </c>
      <c r="G49" s="34">
        <f t="shared" si="53"/>
        <v>41173</v>
      </c>
      <c r="H49" s="34">
        <f t="shared" si="53"/>
        <v>41174</v>
      </c>
      <c r="J49" s="24" t="str">
        <f t="array" ref="J49">IFERROR(IF(MATCH(8,DAY(B49:H49),0),H49,""),"")</f>
        <v/>
      </c>
      <c r="K49" s="71">
        <f ca="1">IF(AND(B49&gt;=$AC$4,B49&lt;=$AU$4),IF(""=IFERROR(INDEX(INDIRECT("Data!C"&amp;$K$5,FALSE),MATCH(B49,Data!$A:$A,0)),$BX$12),$BX$11,IFERROR(INDEX(INDIRECT("Data!C"&amp;$K$5,FALSE),MATCH(B49,Data!$A:$A,0)),$BX$12)),"-")</f>
        <v>24</v>
      </c>
      <c r="L49" s="71">
        <f ca="1">IF(AND(C49&gt;=$AC$4,C49&lt;=$AU$4),IF(""=IFERROR(INDEX(INDIRECT("Data!C"&amp;$K$5,FALSE),MATCH(C49,Data!$A:$A,0)),$BX$12),$BX$11,IFERROR(INDEX(INDIRECT("Data!C"&amp;$K$5,FALSE),MATCH(C49,Data!$A:$A,0)),$BX$12)),"-")</f>
        <v>214</v>
      </c>
      <c r="M49" s="71">
        <f ca="1">IF(AND(D49&gt;=$AC$4,D49&lt;=$AU$4),IF(""=IFERROR(INDEX(INDIRECT("Data!C"&amp;$K$5,FALSE),MATCH(D49,Data!$A:$A,0)),$BX$12),$BX$11,IFERROR(INDEX(INDIRECT("Data!C"&amp;$K$5,FALSE),MATCH(D49,Data!$A:$A,0)),$BX$12)),"-")</f>
        <v>184</v>
      </c>
      <c r="N49" s="71">
        <f ca="1">IF(AND(E49&gt;=$AC$4,E49&lt;=$AU$4),IF(""=IFERROR(INDEX(INDIRECT("Data!C"&amp;$K$5,FALSE),MATCH(E49,Data!$A:$A,0)),$BX$12),$BX$11,IFERROR(INDEX(INDIRECT("Data!C"&amp;$K$5,FALSE),MATCH(E49,Data!$A:$A,0)),$BX$12)),"-")</f>
        <v>188</v>
      </c>
      <c r="O49" s="71">
        <f ca="1">IF(AND(F49&gt;=$AC$4,F49&lt;=$AU$4),IF(""=IFERROR(INDEX(INDIRECT("Data!C"&amp;$K$5,FALSE),MATCH(F49,Data!$A:$A,0)),$BX$12),$BX$11,IFERROR(INDEX(INDIRECT("Data!C"&amp;$K$5,FALSE),MATCH(F49,Data!$A:$A,0)),$BX$12)),"-")</f>
        <v>181</v>
      </c>
      <c r="P49" s="71">
        <f ca="1">IF(AND(G49&gt;=$AC$4,G49&lt;=$AU$4),IF(""=IFERROR(INDEX(INDIRECT("Data!C"&amp;$K$5,FALSE),MATCH(G49,Data!$A:$A,0)),$BX$12),$BX$11,IFERROR(INDEX(INDIRECT("Data!C"&amp;$K$5,FALSE),MATCH(G49,Data!$A:$A,0)),$BX$12)),"-")</f>
        <v>147</v>
      </c>
      <c r="Q49" s="71">
        <f ca="1">IF(AND(H49&gt;=$AC$4,H49&lt;=$AU$4),IF(""=IFERROR(INDEX(INDIRECT("Data!C"&amp;$K$5,FALSE),MATCH(H49,Data!$A:$A,0)),$BX$12),$BX$11,IFERROR(INDEX(INDIRECT("Data!C"&amp;$K$5,FALSE),MATCH(H49,Data!$A:$A,0)),$BX$12)),"-")</f>
        <v>65</v>
      </c>
      <c r="R49" s="7"/>
      <c r="T49" s="34">
        <f t="shared" si="49"/>
        <v>41532</v>
      </c>
      <c r="U49" s="34">
        <f t="shared" si="44"/>
        <v>41533</v>
      </c>
      <c r="V49" s="34">
        <f t="shared" si="28"/>
        <v>41534</v>
      </c>
      <c r="W49" s="34">
        <f t="shared" si="29"/>
        <v>41535</v>
      </c>
      <c r="X49" s="34">
        <f t="shared" si="30"/>
        <v>41536</v>
      </c>
      <c r="Y49" s="34">
        <f t="shared" si="31"/>
        <v>41537</v>
      </c>
      <c r="Z49" s="34">
        <f t="shared" si="32"/>
        <v>41538</v>
      </c>
      <c r="AB49" s="24" t="str">
        <f t="array" ref="AB49">IFERROR(IF(MATCH(8,DAY(T49:Z49),0),Z49,""),"")</f>
        <v/>
      </c>
      <c r="AC49" s="71">
        <f ca="1">IF(AND(T49&gt;=$AC$4,T49&lt;=$AU$4),IF(""=IFERROR(INDEX(INDIRECT("Data!C"&amp;$K$5,FALSE),MATCH(T49,Data!$A:$A,0)),$BX$12),$BX$11,IFERROR(INDEX(INDIRECT("Data!C"&amp;$K$5,FALSE),MATCH(T49,Data!$A:$A,0)),$BX$12)),"-")</f>
        <v>18</v>
      </c>
      <c r="AD49" s="71">
        <f ca="1">IF(AND(U49&gt;=$AC$4,U49&lt;=$AU$4),IF(""=IFERROR(INDEX(INDIRECT("Data!C"&amp;$K$5,FALSE),MATCH(U49,Data!$A:$A,0)),$BX$12),$BX$11,IFERROR(INDEX(INDIRECT("Data!C"&amp;$K$5,FALSE),MATCH(U49,Data!$A:$A,0)),$BX$12)),"-")</f>
        <v>214</v>
      </c>
      <c r="AE49" s="71">
        <f ca="1">IF(AND(V49&gt;=$AC$4,V49&lt;=$AU$4),IF(""=IFERROR(INDEX(INDIRECT("Data!C"&amp;$K$5,FALSE),MATCH(V49,Data!$A:$A,0)),$BX$12),$BX$11,IFERROR(INDEX(INDIRECT("Data!C"&amp;$K$5,FALSE),MATCH(V49,Data!$A:$A,0)),$BX$12)),"-")</f>
        <v>181</v>
      </c>
      <c r="AF49" s="71">
        <f ca="1">IF(AND(W49&gt;=$AC$4,W49&lt;=$AU$4),IF(""=IFERROR(INDEX(INDIRECT("Data!C"&amp;$K$5,FALSE),MATCH(W49,Data!$A:$A,0)),$BX$12),$BX$11,IFERROR(INDEX(INDIRECT("Data!C"&amp;$K$5,FALSE),MATCH(W49,Data!$A:$A,0)),$BX$12)),"-")</f>
        <v>259</v>
      </c>
      <c r="AG49" s="71">
        <f ca="1">IF(AND(X49&gt;=$AC$4,X49&lt;=$AU$4),IF(""=IFERROR(INDEX(INDIRECT("Data!C"&amp;$K$5,FALSE),MATCH(X49,Data!$A:$A,0)),$BX$12),$BX$11,IFERROR(INDEX(INDIRECT("Data!C"&amp;$K$5,FALSE),MATCH(X49,Data!$A:$A,0)),$BX$12)),"-")</f>
        <v>133</v>
      </c>
      <c r="AH49" s="71">
        <f ca="1">IF(AND(Y49&gt;=$AC$4,Y49&lt;=$AU$4),IF(""=IFERROR(INDEX(INDIRECT("Data!C"&amp;$K$5,FALSE),MATCH(Y49,Data!$A:$A,0)),$BX$12),$BX$11,IFERROR(INDEX(INDIRECT("Data!C"&amp;$K$5,FALSE),MATCH(Y49,Data!$A:$A,0)),$BX$12)),"-")</f>
        <v>119</v>
      </c>
      <c r="AI49" s="71">
        <f ca="1">IF(AND(Z49&gt;=$AC$4,Z49&lt;=$AU$4),IF(""=IFERROR(INDEX(INDIRECT("Data!C"&amp;$K$5,FALSE),MATCH(Z49,Data!$A:$A,0)),$BX$12),$BX$11,IFERROR(INDEX(INDIRECT("Data!C"&amp;$K$5,FALSE),MATCH(Z49,Data!$A:$A,0)),$BX$12)),"-")</f>
        <v>57</v>
      </c>
      <c r="AJ49" s="7"/>
      <c r="AL49" s="34">
        <f t="shared" si="50"/>
        <v>41896</v>
      </c>
      <c r="AM49" s="34">
        <f t="shared" si="45"/>
        <v>41897</v>
      </c>
      <c r="AN49" s="34">
        <f t="shared" si="33"/>
        <v>41898</v>
      </c>
      <c r="AO49" s="34">
        <f t="shared" si="34"/>
        <v>41899</v>
      </c>
      <c r="AP49" s="34">
        <f t="shared" si="35"/>
        <v>41900</v>
      </c>
      <c r="AQ49" s="34">
        <f t="shared" si="36"/>
        <v>41901</v>
      </c>
      <c r="AR49" s="34">
        <f t="shared" si="37"/>
        <v>41902</v>
      </c>
      <c r="AT49" s="24" t="str">
        <f t="array" ref="AT49">IFERROR(IF(MATCH(8,DAY(AL49:AR49),0),AR49,""),"")</f>
        <v/>
      </c>
      <c r="AU49" s="71">
        <f ca="1">IF(AND(AL49&gt;=$AC$4,AL49&lt;=$AU$4),IF(""=IFERROR(INDEX(INDIRECT("Data!C"&amp;$K$5,FALSE),MATCH(AL49,Data!$A:$A,0)),$BX$12),$BX$11,IFERROR(INDEX(INDIRECT("Data!C"&amp;$K$5,FALSE),MATCH(AL49,Data!$A:$A,0)),$BX$12)),"-")</f>
        <v>20</v>
      </c>
      <c r="AV49" s="71">
        <f ca="1">IF(AND(AM49&gt;=$AC$4,AM49&lt;=$AU$4),IF(""=IFERROR(INDEX(INDIRECT("Data!C"&amp;$K$5,FALSE),MATCH(AM49,Data!$A:$A,0)),$BX$12),$BX$11,IFERROR(INDEX(INDIRECT("Data!C"&amp;$K$5,FALSE),MATCH(AM49,Data!$A:$A,0)),$BX$12)),"-")</f>
        <v>310</v>
      </c>
      <c r="AW49" s="71">
        <f ca="1">IF(AND(AN49&gt;=$AC$4,AN49&lt;=$AU$4),IF(""=IFERROR(INDEX(INDIRECT("Data!C"&amp;$K$5,FALSE),MATCH(AN49,Data!$A:$A,0)),$BX$12),$BX$11,IFERROR(INDEX(INDIRECT("Data!C"&amp;$K$5,FALSE),MATCH(AN49,Data!$A:$A,0)),$BX$12)),"-")</f>
        <v>183</v>
      </c>
      <c r="AX49" s="71">
        <f ca="1">IF(AND(AO49&gt;=$AC$4,AO49&lt;=$AU$4),IF(""=IFERROR(INDEX(INDIRECT("Data!C"&amp;$K$5,FALSE),MATCH(AO49,Data!$A:$A,0)),$BX$12),$BX$11,IFERROR(INDEX(INDIRECT("Data!C"&amp;$K$5,FALSE),MATCH(AO49,Data!$A:$A,0)),$BX$12)),"-")</f>
        <v>217</v>
      </c>
      <c r="AY49" s="71">
        <f ca="1">IF(AND(AP49&gt;=$AC$4,AP49&lt;=$AU$4),IF(""=IFERROR(INDEX(INDIRECT("Data!C"&amp;$K$5,FALSE),MATCH(AP49,Data!$A:$A,0)),$BX$12),$BX$11,IFERROR(INDEX(INDIRECT("Data!C"&amp;$K$5,FALSE),MATCH(AP49,Data!$A:$A,0)),$BX$12)),"-")</f>
        <v>138</v>
      </c>
      <c r="AZ49" s="71">
        <f ca="1">IF(AND(AQ49&gt;=$AC$4,AQ49&lt;=$AU$4),IF(""=IFERROR(INDEX(INDIRECT("Data!C"&amp;$K$5,FALSE),MATCH(AQ49,Data!$A:$A,0)),$BX$12),$BX$11,IFERROR(INDEX(INDIRECT("Data!C"&amp;$K$5,FALSE),MATCH(AQ49,Data!$A:$A,0)),$BX$12)),"-")</f>
        <v>139</v>
      </c>
      <c r="BA49" s="71">
        <f ca="1">IF(AND(AR49&gt;=$AC$4,AR49&lt;=$AU$4),IF(""=IFERROR(INDEX(INDIRECT("Data!C"&amp;$K$5,FALSE),MATCH(AR49,Data!$A:$A,0)),$BX$12),$BX$11,IFERROR(INDEX(INDIRECT("Data!C"&amp;$K$5,FALSE),MATCH(AR49,Data!$A:$A,0)),$BX$12)),"-")</f>
        <v>64</v>
      </c>
      <c r="BB49" s="7"/>
      <c r="BD49" s="34">
        <f t="shared" si="51"/>
        <v>42260</v>
      </c>
      <c r="BE49" s="34">
        <f t="shared" si="46"/>
        <v>42261</v>
      </c>
      <c r="BF49" s="34">
        <f t="shared" si="38"/>
        <v>42262</v>
      </c>
      <c r="BG49" s="34">
        <f t="shared" si="39"/>
        <v>42263</v>
      </c>
      <c r="BH49" s="34">
        <f t="shared" si="40"/>
        <v>42264</v>
      </c>
      <c r="BI49" s="34">
        <f t="shared" si="41"/>
        <v>42265</v>
      </c>
      <c r="BJ49" s="34">
        <f t="shared" si="42"/>
        <v>42266</v>
      </c>
      <c r="BL49" s="24" t="str">
        <f t="array" ref="BL49">IFERROR(IF(MATCH(8,DAY(BD49:BJ49),0),BJ49,""),"")</f>
        <v/>
      </c>
      <c r="BM49" s="71">
        <f ca="1">IF(AND(BD49&gt;=$AC$4,BD49&lt;=$AU$4),IF(""=IFERROR(INDEX(INDIRECT("Data!C"&amp;$K$5,FALSE),MATCH(BD49,Data!$A:$A,0)),$BX$12),$BX$11,IFERROR(INDEX(INDIRECT("Data!C"&amp;$K$5,FALSE),MATCH(BD49,Data!$A:$A,0)),$BX$12)),"-")</f>
        <v>25</v>
      </c>
      <c r="BN49" s="71">
        <f ca="1">IF(AND(BE49&gt;=$AC$4,BE49&lt;=$AU$4),IF(""=IFERROR(INDEX(INDIRECT("Data!C"&amp;$K$5,FALSE),MATCH(BE49,Data!$A:$A,0)),$BX$12),$BX$11,IFERROR(INDEX(INDIRECT("Data!C"&amp;$K$5,FALSE),MATCH(BE49,Data!$A:$A,0)),$BX$12)),"-")</f>
        <v>318</v>
      </c>
      <c r="BO49" s="71">
        <f ca="1">IF(AND(BF49&gt;=$AC$4,BF49&lt;=$AU$4),IF(""=IFERROR(INDEX(INDIRECT("Data!C"&amp;$K$5,FALSE),MATCH(BF49,Data!$A:$A,0)),$BX$12),$BX$11,IFERROR(INDEX(INDIRECT("Data!C"&amp;$K$5,FALSE),MATCH(BF49,Data!$A:$A,0)),$BX$12)),"-")</f>
        <v>195</v>
      </c>
      <c r="BP49" s="71">
        <f ca="1">IF(AND(BG49&gt;=$AC$4,BG49&lt;=$AU$4),IF(""=IFERROR(INDEX(INDIRECT("Data!C"&amp;$K$5,FALSE),MATCH(BG49,Data!$A:$A,0)),$BX$12),$BX$11,IFERROR(INDEX(INDIRECT("Data!C"&amp;$K$5,FALSE),MATCH(BG49,Data!$A:$A,0)),$BX$12)),"-")</f>
        <v>107</v>
      </c>
      <c r="BQ49" s="71">
        <f ca="1">IF(AND(BH49&gt;=$AC$4,BH49&lt;=$AU$4),IF(""=IFERROR(INDEX(INDIRECT("Data!C"&amp;$K$5,FALSE),MATCH(BH49,Data!$A:$A,0)),$BX$12),$BX$11,IFERROR(INDEX(INDIRECT("Data!C"&amp;$K$5,FALSE),MATCH(BH49,Data!$A:$A,0)),$BX$12)),"-")</f>
        <v>110</v>
      </c>
      <c r="BR49" s="71">
        <f ca="1">IF(AND(BI49&gt;=$AC$4,BI49&lt;=$AU$4),IF(""=IFERROR(INDEX(INDIRECT("Data!C"&amp;$K$5,FALSE),MATCH(BI49,Data!$A:$A,0)),$BX$12),$BX$11,IFERROR(INDEX(INDIRECT("Data!C"&amp;$K$5,FALSE),MATCH(BI49,Data!$A:$A,0)),$BX$12)),"-")</f>
        <v>122</v>
      </c>
      <c r="BS49" s="71">
        <f ca="1">IF(AND(BJ49&gt;=$AC$4,BJ49&lt;=$AU$4),IF(""=IFERROR(INDEX(INDIRECT("Data!C"&amp;$K$5,FALSE),MATCH(BJ49,Data!$A:$A,0)),$BX$12),$BX$11,IFERROR(INDEX(INDIRECT("Data!C"&amp;$K$5,FALSE),MATCH(BJ49,Data!$A:$A,0)),$BX$12)),"-")</f>
        <v>49</v>
      </c>
      <c r="BT49" s="7"/>
      <c r="BU49" s="58">
        <f t="shared" ca="1" si="47"/>
        <v>142.17857142857142</v>
      </c>
    </row>
    <row r="50" spans="2:73" ht="12" customHeight="1" x14ac:dyDescent="0.2">
      <c r="B50" s="34">
        <f t="shared" si="48"/>
        <v>41175</v>
      </c>
      <c r="C50" s="34">
        <f t="shared" si="53"/>
        <v>41176</v>
      </c>
      <c r="D50" s="34">
        <f t="shared" si="53"/>
        <v>41177</v>
      </c>
      <c r="E50" s="34">
        <f t="shared" si="53"/>
        <v>41178</v>
      </c>
      <c r="F50" s="34">
        <f t="shared" si="53"/>
        <v>41179</v>
      </c>
      <c r="G50" s="34">
        <f t="shared" si="53"/>
        <v>41180</v>
      </c>
      <c r="H50" s="34">
        <f t="shared" si="53"/>
        <v>41181</v>
      </c>
      <c r="J50" s="24" t="str">
        <f t="array" ref="J50">IFERROR(IF(MATCH(8,DAY(B50:H50),0),H50,""),"")</f>
        <v/>
      </c>
      <c r="K50" s="71">
        <f ca="1">IF(AND(B50&gt;=$AC$4,B50&lt;=$AU$4),IF(""=IFERROR(INDEX(INDIRECT("Data!C"&amp;$K$5,FALSE),MATCH(B50,Data!$A:$A,0)),$BX$12),$BX$11,IFERROR(INDEX(INDIRECT("Data!C"&amp;$K$5,FALSE),MATCH(B50,Data!$A:$A,0)),$BX$12)),"-")</f>
        <v>29</v>
      </c>
      <c r="L50" s="71">
        <f ca="1">IF(AND(C50&gt;=$AC$4,C50&lt;=$AU$4),IF(""=IFERROR(INDEX(INDIRECT("Data!C"&amp;$K$5,FALSE),MATCH(C50,Data!$A:$A,0)),$BX$12),$BX$11,IFERROR(INDEX(INDIRECT("Data!C"&amp;$K$5,FALSE),MATCH(C50,Data!$A:$A,0)),$BX$12)),"-")</f>
        <v>333</v>
      </c>
      <c r="M50" s="71">
        <f ca="1">IF(AND(D50&gt;=$AC$4,D50&lt;=$AU$4),IF(""=IFERROR(INDEX(INDIRECT("Data!C"&amp;$K$5,FALSE),MATCH(D50,Data!$A:$A,0)),$BX$12),$BX$11,IFERROR(INDEX(INDIRECT("Data!C"&amp;$K$5,FALSE),MATCH(D50,Data!$A:$A,0)),$BX$12)),"-")</f>
        <v>253</v>
      </c>
      <c r="N50" s="71">
        <f ca="1">IF(AND(E50&gt;=$AC$4,E50&lt;=$AU$4),IF(""=IFERROR(INDEX(INDIRECT("Data!C"&amp;$K$5,FALSE),MATCH(E50,Data!$A:$A,0)),$BX$12),$BX$11,IFERROR(INDEX(INDIRECT("Data!C"&amp;$K$5,FALSE),MATCH(E50,Data!$A:$A,0)),$BX$12)),"-")</f>
        <v>131</v>
      </c>
      <c r="O50" s="71">
        <f ca="1">IF(AND(F50&gt;=$AC$4,F50&lt;=$AU$4),IF(""=IFERROR(INDEX(INDIRECT("Data!C"&amp;$K$5,FALSE),MATCH(F50,Data!$A:$A,0)),$BX$12),$BX$11,IFERROR(INDEX(INDIRECT("Data!C"&amp;$K$5,FALSE),MATCH(F50,Data!$A:$A,0)),$BX$12)),"-")</f>
        <v>211</v>
      </c>
      <c r="P50" s="71">
        <f ca="1">IF(AND(G50&gt;=$AC$4,G50&lt;=$AU$4),IF(""=IFERROR(INDEX(INDIRECT("Data!C"&amp;$K$5,FALSE),MATCH(G50,Data!$A:$A,0)),$BX$12),$BX$11,IFERROR(INDEX(INDIRECT("Data!C"&amp;$K$5,FALSE),MATCH(G50,Data!$A:$A,0)),$BX$12)),"-")</f>
        <v>127</v>
      </c>
      <c r="Q50" s="71">
        <f ca="1">IF(AND(H50&gt;=$AC$4,H50&lt;=$AU$4),IF(""=IFERROR(INDEX(INDIRECT("Data!C"&amp;$K$5,FALSE),MATCH(H50,Data!$A:$A,0)),$BX$12),$BX$11,IFERROR(INDEX(INDIRECT("Data!C"&amp;$K$5,FALSE),MATCH(H50,Data!$A:$A,0)),$BX$12)),"-")</f>
        <v>35</v>
      </c>
      <c r="R50" s="7"/>
      <c r="T50" s="34">
        <f t="shared" si="49"/>
        <v>41539</v>
      </c>
      <c r="U50" s="34">
        <f t="shared" si="44"/>
        <v>41540</v>
      </c>
      <c r="V50" s="34">
        <f t="shared" si="28"/>
        <v>41541</v>
      </c>
      <c r="W50" s="34">
        <f t="shared" si="29"/>
        <v>41542</v>
      </c>
      <c r="X50" s="34">
        <f t="shared" si="30"/>
        <v>41543</v>
      </c>
      <c r="Y50" s="34">
        <f t="shared" si="31"/>
        <v>41544</v>
      </c>
      <c r="Z50" s="34">
        <f t="shared" si="32"/>
        <v>41545</v>
      </c>
      <c r="AB50" s="24" t="str">
        <f t="array" ref="AB50">IFERROR(IF(MATCH(8,DAY(T50:Z50),0),Z50,""),"")</f>
        <v/>
      </c>
      <c r="AC50" s="71">
        <f ca="1">IF(AND(T50&gt;=$AC$4,T50&lt;=$AU$4),IF(""=IFERROR(INDEX(INDIRECT("Data!C"&amp;$K$5,FALSE),MATCH(T50,Data!$A:$A,0)),$BX$12),$BX$11,IFERROR(INDEX(INDIRECT("Data!C"&amp;$K$5,FALSE),MATCH(T50,Data!$A:$A,0)),$BX$12)),"-")</f>
        <v>15</v>
      </c>
      <c r="AD50" s="71">
        <f ca="1">IF(AND(U50&gt;=$AC$4,U50&lt;=$AU$4),IF(""=IFERROR(INDEX(INDIRECT("Data!C"&amp;$K$5,FALSE),MATCH(U50,Data!$A:$A,0)),$BX$12),$BX$11,IFERROR(INDEX(INDIRECT("Data!C"&amp;$K$5,FALSE),MATCH(U50,Data!$A:$A,0)),$BX$12)),"-")</f>
        <v>160</v>
      </c>
      <c r="AE50" s="71">
        <f ca="1">IF(AND(V50&gt;=$AC$4,V50&lt;=$AU$4),IF(""=IFERROR(INDEX(INDIRECT("Data!C"&amp;$K$5,FALSE),MATCH(V50,Data!$A:$A,0)),$BX$12),$BX$11,IFERROR(INDEX(INDIRECT("Data!C"&amp;$K$5,FALSE),MATCH(V50,Data!$A:$A,0)),$BX$12)),"-")</f>
        <v>137</v>
      </c>
      <c r="AF50" s="71">
        <f ca="1">IF(AND(W50&gt;=$AC$4,W50&lt;=$AU$4),IF(""=IFERROR(INDEX(INDIRECT("Data!C"&amp;$K$5,FALSE),MATCH(W50,Data!$A:$A,0)),$BX$12),$BX$11,IFERROR(INDEX(INDIRECT("Data!C"&amp;$K$5,FALSE),MATCH(W50,Data!$A:$A,0)),$BX$12)),"-")</f>
        <v>127</v>
      </c>
      <c r="AG50" s="71">
        <f ca="1">IF(AND(X50&gt;=$AC$4,X50&lt;=$AU$4),IF(""=IFERROR(INDEX(INDIRECT("Data!C"&amp;$K$5,FALSE),MATCH(X50,Data!$A:$A,0)),$BX$12),$BX$11,IFERROR(INDEX(INDIRECT("Data!C"&amp;$K$5,FALSE),MATCH(X50,Data!$A:$A,0)),$BX$12)),"-")</f>
        <v>133</v>
      </c>
      <c r="AH50" s="71">
        <f ca="1">IF(AND(Y50&gt;=$AC$4,Y50&lt;=$AU$4),IF(""=IFERROR(INDEX(INDIRECT("Data!C"&amp;$K$5,FALSE),MATCH(Y50,Data!$A:$A,0)),$BX$12),$BX$11,IFERROR(INDEX(INDIRECT("Data!C"&amp;$K$5,FALSE),MATCH(Y50,Data!$A:$A,0)),$BX$12)),"-")</f>
        <v>97</v>
      </c>
      <c r="AI50" s="71">
        <f ca="1">IF(AND(Z50&gt;=$AC$4,Z50&lt;=$AU$4),IF(""=IFERROR(INDEX(INDIRECT("Data!C"&amp;$K$5,FALSE),MATCH(Z50,Data!$A:$A,0)),$BX$12),$BX$11,IFERROR(INDEX(INDIRECT("Data!C"&amp;$K$5,FALSE),MATCH(Z50,Data!$A:$A,0)),$BX$12)),"-")</f>
        <v>55</v>
      </c>
      <c r="AJ50" s="7"/>
      <c r="AL50" s="34">
        <f t="shared" si="50"/>
        <v>41903</v>
      </c>
      <c r="AM50" s="34">
        <f t="shared" si="45"/>
        <v>41904</v>
      </c>
      <c r="AN50" s="34">
        <f t="shared" si="33"/>
        <v>41905</v>
      </c>
      <c r="AO50" s="34">
        <f t="shared" si="34"/>
        <v>41906</v>
      </c>
      <c r="AP50" s="34">
        <f t="shared" si="35"/>
        <v>41907</v>
      </c>
      <c r="AQ50" s="34">
        <f t="shared" si="36"/>
        <v>41908</v>
      </c>
      <c r="AR50" s="34">
        <f t="shared" si="37"/>
        <v>41909</v>
      </c>
      <c r="AT50" s="24" t="str">
        <f t="array" ref="AT50">IFERROR(IF(MATCH(8,DAY(AL50:AR50),0),AR50,""),"")</f>
        <v/>
      </c>
      <c r="AU50" s="71">
        <f ca="1">IF(AND(AL50&gt;=$AC$4,AL50&lt;=$AU$4),IF(""=IFERROR(INDEX(INDIRECT("Data!C"&amp;$K$5,FALSE),MATCH(AL50,Data!$A:$A,0)),$BX$12),$BX$11,IFERROR(INDEX(INDIRECT("Data!C"&amp;$K$5,FALSE),MATCH(AL50,Data!$A:$A,0)),$BX$12)),"-")</f>
        <v>18</v>
      </c>
      <c r="AV50" s="71">
        <f ca="1">IF(AND(AM50&gt;=$AC$4,AM50&lt;=$AU$4),IF(""=IFERROR(INDEX(INDIRECT("Data!C"&amp;$K$5,FALSE),MATCH(AM50,Data!$A:$A,0)),$BX$12),$BX$11,IFERROR(INDEX(INDIRECT("Data!C"&amp;$K$5,FALSE),MATCH(AM50,Data!$A:$A,0)),$BX$12)),"-")</f>
        <v>221</v>
      </c>
      <c r="AW50" s="71">
        <f ca="1">IF(AND(AN50&gt;=$AC$4,AN50&lt;=$AU$4),IF(""=IFERROR(INDEX(INDIRECT("Data!C"&amp;$K$5,FALSE),MATCH(AN50,Data!$A:$A,0)),$BX$12),$BX$11,IFERROR(INDEX(INDIRECT("Data!C"&amp;$K$5,FALSE),MATCH(AN50,Data!$A:$A,0)),$BX$12)),"-")</f>
        <v>210</v>
      </c>
      <c r="AX50" s="71">
        <f ca="1">IF(AND(AO50&gt;=$AC$4,AO50&lt;=$AU$4),IF(""=IFERROR(INDEX(INDIRECT("Data!C"&amp;$K$5,FALSE),MATCH(AO50,Data!$A:$A,0)),$BX$12),$BX$11,IFERROR(INDEX(INDIRECT("Data!C"&amp;$K$5,FALSE),MATCH(AO50,Data!$A:$A,0)),$BX$12)),"-")</f>
        <v>201</v>
      </c>
      <c r="AY50" s="71">
        <f ca="1">IF(AND(AP50&gt;=$AC$4,AP50&lt;=$AU$4),IF(""=IFERROR(INDEX(INDIRECT("Data!C"&amp;$K$5,FALSE),MATCH(AP50,Data!$A:$A,0)),$BX$12),$BX$11,IFERROR(INDEX(INDIRECT("Data!C"&amp;$K$5,FALSE),MATCH(AP50,Data!$A:$A,0)),$BX$12)),"-")</f>
        <v>119</v>
      </c>
      <c r="AZ50" s="71">
        <f ca="1">IF(AND(AQ50&gt;=$AC$4,AQ50&lt;=$AU$4),IF(""=IFERROR(INDEX(INDIRECT("Data!C"&amp;$K$5,FALSE),MATCH(AQ50,Data!$A:$A,0)),$BX$12),$BX$11,IFERROR(INDEX(INDIRECT("Data!C"&amp;$K$5,FALSE),MATCH(AQ50,Data!$A:$A,0)),$BX$12)),"-")</f>
        <v>176</v>
      </c>
      <c r="BA50" s="71">
        <f ca="1">IF(AND(AR50&gt;=$AC$4,AR50&lt;=$AU$4),IF(""=IFERROR(INDEX(INDIRECT("Data!C"&amp;$K$5,FALSE),MATCH(AR50,Data!$A:$A,0)),$BX$12),$BX$11,IFERROR(INDEX(INDIRECT("Data!C"&amp;$K$5,FALSE),MATCH(AR50,Data!$A:$A,0)),$BX$12)),"-")</f>
        <v>53</v>
      </c>
      <c r="BB50" s="7"/>
      <c r="BD50" s="34">
        <f t="shared" si="51"/>
        <v>42267</v>
      </c>
      <c r="BE50" s="34">
        <f t="shared" si="46"/>
        <v>42268</v>
      </c>
      <c r="BF50" s="34">
        <f t="shared" si="38"/>
        <v>42269</v>
      </c>
      <c r="BG50" s="34">
        <f t="shared" si="39"/>
        <v>42270</v>
      </c>
      <c r="BH50" s="34">
        <f t="shared" si="40"/>
        <v>42271</v>
      </c>
      <c r="BI50" s="34">
        <f t="shared" si="41"/>
        <v>42272</v>
      </c>
      <c r="BJ50" s="34">
        <f t="shared" si="42"/>
        <v>42273</v>
      </c>
      <c r="BL50" s="24" t="str">
        <f t="array" ref="BL50">IFERROR(IF(MATCH(8,DAY(BD50:BJ50),0),BJ50,""),"")</f>
        <v/>
      </c>
      <c r="BM50" s="71">
        <f ca="1">IF(AND(BD50&gt;=$AC$4,BD50&lt;=$AU$4),IF(""=IFERROR(INDEX(INDIRECT("Data!C"&amp;$K$5,FALSE),MATCH(BD50,Data!$A:$A,0)),$BX$12),$BX$11,IFERROR(INDEX(INDIRECT("Data!C"&amp;$K$5,FALSE),MATCH(BD50,Data!$A:$A,0)),$BX$12)),"-")</f>
        <v>24</v>
      </c>
      <c r="BN50" s="71">
        <f ca="1">IF(AND(BE50&gt;=$AC$4,BE50&lt;=$AU$4),IF(""=IFERROR(INDEX(INDIRECT("Data!C"&amp;$K$5,FALSE),MATCH(BE50,Data!$A:$A,0)),$BX$12),$BX$11,IFERROR(INDEX(INDIRECT("Data!C"&amp;$K$5,FALSE),MATCH(BE50,Data!$A:$A,0)),$BX$12)),"-")</f>
        <v>237</v>
      </c>
      <c r="BO50" s="71">
        <f ca="1">IF(AND(BF50&gt;=$AC$4,BF50&lt;=$AU$4),IF(""=IFERROR(INDEX(INDIRECT("Data!C"&amp;$K$5,FALSE),MATCH(BF50,Data!$A:$A,0)),$BX$12),$BX$11,IFERROR(INDEX(INDIRECT("Data!C"&amp;$K$5,FALSE),MATCH(BF50,Data!$A:$A,0)),$BX$12)),"-")</f>
        <v>148</v>
      </c>
      <c r="BP50" s="71">
        <f ca="1">IF(AND(BG50&gt;=$AC$4,BG50&lt;=$AU$4),IF(""=IFERROR(INDEX(INDIRECT("Data!C"&amp;$K$5,FALSE),MATCH(BG50,Data!$A:$A,0)),$BX$12),$BX$11,IFERROR(INDEX(INDIRECT("Data!C"&amp;$K$5,FALSE),MATCH(BG50,Data!$A:$A,0)),$BX$12)),"-")</f>
        <v>164</v>
      </c>
      <c r="BQ50" s="71">
        <f ca="1">IF(AND(BH50&gt;=$AC$4,BH50&lt;=$AU$4),IF(""=IFERROR(INDEX(INDIRECT("Data!C"&amp;$K$5,FALSE),MATCH(BH50,Data!$A:$A,0)),$BX$12),$BX$11,IFERROR(INDEX(INDIRECT("Data!C"&amp;$K$5,FALSE),MATCH(BH50,Data!$A:$A,0)),$BX$12)),"-")</f>
        <v>127</v>
      </c>
      <c r="BR50" s="71">
        <f ca="1">IF(AND(BI50&gt;=$AC$4,BI50&lt;=$AU$4),IF(""=IFERROR(INDEX(INDIRECT("Data!C"&amp;$K$5,FALSE),MATCH(BI50,Data!$A:$A,0)),$BX$12),$BX$11,IFERROR(INDEX(INDIRECT("Data!C"&amp;$K$5,FALSE),MATCH(BI50,Data!$A:$A,0)),$BX$12)),"-")</f>
        <v>172</v>
      </c>
      <c r="BS50" s="71">
        <f ca="1">IF(AND(BJ50&gt;=$AC$4,BJ50&lt;=$AU$4),IF(""=IFERROR(INDEX(INDIRECT("Data!C"&amp;$K$5,FALSE),MATCH(BJ50,Data!$A:$A,0)),$BX$12),$BX$11,IFERROR(INDEX(INDIRECT("Data!C"&amp;$K$5,FALSE),MATCH(BJ50,Data!$A:$A,0)),$BX$12)),"-")</f>
        <v>48</v>
      </c>
      <c r="BT50" s="7"/>
      <c r="BU50" s="58">
        <f t="shared" ca="1" si="47"/>
        <v>134.32142857142858</v>
      </c>
    </row>
    <row r="51" spans="2:73" ht="12" customHeight="1" x14ac:dyDescent="0.2">
      <c r="B51" s="34">
        <f t="shared" si="48"/>
        <v>41182</v>
      </c>
      <c r="C51" s="34">
        <f t="shared" si="53"/>
        <v>41183</v>
      </c>
      <c r="D51" s="34">
        <f t="shared" si="53"/>
        <v>41184</v>
      </c>
      <c r="E51" s="34">
        <f t="shared" si="53"/>
        <v>41185</v>
      </c>
      <c r="F51" s="34">
        <f t="shared" si="53"/>
        <v>41186</v>
      </c>
      <c r="G51" s="34">
        <f t="shared" si="53"/>
        <v>41187</v>
      </c>
      <c r="H51" s="34">
        <f t="shared" si="53"/>
        <v>41188</v>
      </c>
      <c r="J51" s="24" t="str">
        <f t="array" ref="J51">IFERROR(IF(MATCH(8,DAY(B51:H51),0),H51,""),"")</f>
        <v/>
      </c>
      <c r="K51" s="71">
        <f ca="1">IF(AND(B51&gt;=$AC$4,B51&lt;=$AU$4),IF(""=IFERROR(INDEX(INDIRECT("Data!C"&amp;$K$5,FALSE),MATCH(B51,Data!$A:$A,0)),$BX$12),$BX$11,IFERROR(INDEX(INDIRECT("Data!C"&amp;$K$5,FALSE),MATCH(B51,Data!$A:$A,0)),$BX$12)),"-")</f>
        <v>13</v>
      </c>
      <c r="L51" s="71">
        <f ca="1">IF(AND(C51&gt;=$AC$4,C51&lt;=$AU$4),IF(""=IFERROR(INDEX(INDIRECT("Data!C"&amp;$K$5,FALSE),MATCH(C51,Data!$A:$A,0)),$BX$12),$BX$11,IFERROR(INDEX(INDIRECT("Data!C"&amp;$K$5,FALSE),MATCH(C51,Data!$A:$A,0)),$BX$12)),"-")</f>
        <v>250</v>
      </c>
      <c r="M51" s="71">
        <f ca="1">IF(AND(D51&gt;=$AC$4,D51&lt;=$AU$4),IF(""=IFERROR(INDEX(INDIRECT("Data!C"&amp;$K$5,FALSE),MATCH(D51,Data!$A:$A,0)),$BX$12),$BX$11,IFERROR(INDEX(INDIRECT("Data!C"&amp;$K$5,FALSE),MATCH(D51,Data!$A:$A,0)),$BX$12)),"-")</f>
        <v>123</v>
      </c>
      <c r="N51" s="71">
        <f ca="1">IF(AND(E51&gt;=$AC$4,E51&lt;=$AU$4),IF(""=IFERROR(INDEX(INDIRECT("Data!C"&amp;$K$5,FALSE),MATCH(E51,Data!$A:$A,0)),$BX$12),$BX$11,IFERROR(INDEX(INDIRECT("Data!C"&amp;$K$5,FALSE),MATCH(E51,Data!$A:$A,0)),$BX$12)),"-")</f>
        <v>232</v>
      </c>
      <c r="O51" s="71">
        <f ca="1">IF(AND(F51&gt;=$AC$4,F51&lt;=$AU$4),IF(""=IFERROR(INDEX(INDIRECT("Data!C"&amp;$K$5,FALSE),MATCH(F51,Data!$A:$A,0)),$BX$12),$BX$11,IFERROR(INDEX(INDIRECT("Data!C"&amp;$K$5,FALSE),MATCH(F51,Data!$A:$A,0)),$BX$12)),"-")</f>
        <v>100</v>
      </c>
      <c r="P51" s="71">
        <f ca="1">IF(AND(G51&gt;=$AC$4,G51&lt;=$AU$4),IF(""=IFERROR(INDEX(INDIRECT("Data!C"&amp;$K$5,FALSE),MATCH(G51,Data!$A:$A,0)),$BX$12),$BX$11,IFERROR(INDEX(INDIRECT("Data!C"&amp;$K$5,FALSE),MATCH(G51,Data!$A:$A,0)),$BX$12)),"-")</f>
        <v>163</v>
      </c>
      <c r="Q51" s="71">
        <f ca="1">IF(AND(H51&gt;=$AC$4,H51&lt;=$AU$4),IF(""=IFERROR(INDEX(INDIRECT("Data!C"&amp;$K$5,FALSE),MATCH(H51,Data!$A:$A,0)),$BX$12),$BX$11,IFERROR(INDEX(INDIRECT("Data!C"&amp;$K$5,FALSE),MATCH(H51,Data!$A:$A,0)),$BX$12)),"-")</f>
        <v>53</v>
      </c>
      <c r="R51" s="7"/>
      <c r="T51" s="34">
        <f t="shared" si="49"/>
        <v>41546</v>
      </c>
      <c r="U51" s="34">
        <f t="shared" si="44"/>
        <v>41547</v>
      </c>
      <c r="V51" s="34">
        <f t="shared" si="28"/>
        <v>41548</v>
      </c>
      <c r="W51" s="34">
        <f t="shared" si="29"/>
        <v>41549</v>
      </c>
      <c r="X51" s="34">
        <f t="shared" si="30"/>
        <v>41550</v>
      </c>
      <c r="Y51" s="34">
        <f t="shared" si="31"/>
        <v>41551</v>
      </c>
      <c r="Z51" s="34">
        <f t="shared" si="32"/>
        <v>41552</v>
      </c>
      <c r="AB51" s="24" t="str">
        <f t="array" ref="AB51">IFERROR(IF(MATCH(8,DAY(T51:Z51),0),Z51,""),"")</f>
        <v/>
      </c>
      <c r="AC51" s="71">
        <f ca="1">IF(AND(T51&gt;=$AC$4,T51&lt;=$AU$4),IF(""=IFERROR(INDEX(INDIRECT("Data!C"&amp;$K$5,FALSE),MATCH(T51,Data!$A:$A,0)),$BX$12),$BX$11,IFERROR(INDEX(INDIRECT("Data!C"&amp;$K$5,FALSE),MATCH(T51,Data!$A:$A,0)),$BX$12)),"-")</f>
        <v>18</v>
      </c>
      <c r="AD51" s="71">
        <f ca="1">IF(AND(U51&gt;=$AC$4,U51&lt;=$AU$4),IF(""=IFERROR(INDEX(INDIRECT("Data!C"&amp;$K$5,FALSE),MATCH(U51,Data!$A:$A,0)),$BX$12),$BX$11,IFERROR(INDEX(INDIRECT("Data!C"&amp;$K$5,FALSE),MATCH(U51,Data!$A:$A,0)),$BX$12)),"-")</f>
        <v>165</v>
      </c>
      <c r="AE51" s="71">
        <f ca="1">IF(AND(V51&gt;=$AC$4,V51&lt;=$AU$4),IF(""=IFERROR(INDEX(INDIRECT("Data!C"&amp;$K$5,FALSE),MATCH(V51,Data!$A:$A,0)),$BX$12),$BX$11,IFERROR(INDEX(INDIRECT("Data!C"&amp;$K$5,FALSE),MATCH(V51,Data!$A:$A,0)),$BX$12)),"-")</f>
        <v>212</v>
      </c>
      <c r="AF51" s="71">
        <f ca="1">IF(AND(W51&gt;=$AC$4,W51&lt;=$AU$4),IF(""=IFERROR(INDEX(INDIRECT("Data!C"&amp;$K$5,FALSE),MATCH(W51,Data!$A:$A,0)),$BX$12),$BX$11,IFERROR(INDEX(INDIRECT("Data!C"&amp;$K$5,FALSE),MATCH(W51,Data!$A:$A,0)),$BX$12)),"-")</f>
        <v>106</v>
      </c>
      <c r="AG51" s="71">
        <f ca="1">IF(AND(X51&gt;=$AC$4,X51&lt;=$AU$4),IF(""=IFERROR(INDEX(INDIRECT("Data!C"&amp;$K$5,FALSE),MATCH(X51,Data!$A:$A,0)),$BX$12),$BX$11,IFERROR(INDEX(INDIRECT("Data!C"&amp;$K$5,FALSE),MATCH(X51,Data!$A:$A,0)),$BX$12)),"-")</f>
        <v>120</v>
      </c>
      <c r="AH51" s="71">
        <f ca="1">IF(AND(Y51&gt;=$AC$4,Y51&lt;=$AU$4),IF(""=IFERROR(INDEX(INDIRECT("Data!C"&amp;$K$5,FALSE),MATCH(Y51,Data!$A:$A,0)),$BX$12),$BX$11,IFERROR(INDEX(INDIRECT("Data!C"&amp;$K$5,FALSE),MATCH(Y51,Data!$A:$A,0)),$BX$12)),"-")</f>
        <v>84</v>
      </c>
      <c r="AI51" s="71">
        <f ca="1">IF(AND(Z51&gt;=$AC$4,Z51&lt;=$AU$4),IF(""=IFERROR(INDEX(INDIRECT("Data!C"&amp;$K$5,FALSE),MATCH(Z51,Data!$A:$A,0)),$BX$12),$BX$11,IFERROR(INDEX(INDIRECT("Data!C"&amp;$K$5,FALSE),MATCH(Z51,Data!$A:$A,0)),$BX$12)),"-")</f>
        <v>41</v>
      </c>
      <c r="AJ51" s="7"/>
      <c r="AL51" s="34">
        <f t="shared" si="50"/>
        <v>41910</v>
      </c>
      <c r="AM51" s="34">
        <f t="shared" si="45"/>
        <v>41911</v>
      </c>
      <c r="AN51" s="34">
        <f t="shared" si="33"/>
        <v>41912</v>
      </c>
      <c r="AO51" s="34">
        <f t="shared" si="34"/>
        <v>41913</v>
      </c>
      <c r="AP51" s="34">
        <f t="shared" si="35"/>
        <v>41914</v>
      </c>
      <c r="AQ51" s="34">
        <f t="shared" si="36"/>
        <v>41915</v>
      </c>
      <c r="AR51" s="34">
        <f t="shared" si="37"/>
        <v>41916</v>
      </c>
      <c r="AT51" s="24" t="str">
        <f t="array" ref="AT51">IFERROR(IF(MATCH(8,DAY(AL51:AR51),0),AR51,""),"")</f>
        <v/>
      </c>
      <c r="AU51" s="71">
        <f ca="1">IF(AND(AL51&gt;=$AC$4,AL51&lt;=$AU$4),IF(""=IFERROR(INDEX(INDIRECT("Data!C"&amp;$K$5,FALSE),MATCH(AL51,Data!$A:$A,0)),$BX$12),$BX$11,IFERROR(INDEX(INDIRECT("Data!C"&amp;$K$5,FALSE),MATCH(AL51,Data!$A:$A,0)),$BX$12)),"-")</f>
        <v>24</v>
      </c>
      <c r="AV51" s="71">
        <f ca="1">IF(AND(AM51&gt;=$AC$4,AM51&lt;=$AU$4),IF(""=IFERROR(INDEX(INDIRECT("Data!C"&amp;$K$5,FALSE),MATCH(AM51,Data!$A:$A,0)),$BX$12),$BX$11,IFERROR(INDEX(INDIRECT("Data!C"&amp;$K$5,FALSE),MATCH(AM51,Data!$A:$A,0)),$BX$12)),"-")</f>
        <v>197</v>
      </c>
      <c r="AW51" s="71">
        <f ca="1">IF(AND(AN51&gt;=$AC$4,AN51&lt;=$AU$4),IF(""=IFERROR(INDEX(INDIRECT("Data!C"&amp;$K$5,FALSE),MATCH(AN51,Data!$A:$A,0)),$BX$12),$BX$11,IFERROR(INDEX(INDIRECT("Data!C"&amp;$K$5,FALSE),MATCH(AN51,Data!$A:$A,0)),$BX$12)),"-")</f>
        <v>226</v>
      </c>
      <c r="AX51" s="71">
        <f ca="1">IF(AND(AO51&gt;=$AC$4,AO51&lt;=$AU$4),IF(""=IFERROR(INDEX(INDIRECT("Data!C"&amp;$K$5,FALSE),MATCH(AO51,Data!$A:$A,0)),$BX$12),$BX$11,IFERROR(INDEX(INDIRECT("Data!C"&amp;$K$5,FALSE),MATCH(AO51,Data!$A:$A,0)),$BX$12)),"-")</f>
        <v>168</v>
      </c>
      <c r="AY51" s="71">
        <f ca="1">IF(AND(AP51&gt;=$AC$4,AP51&lt;=$AU$4),IF(""=IFERROR(INDEX(INDIRECT("Data!C"&amp;$K$5,FALSE),MATCH(AP51,Data!$A:$A,0)),$BX$12),$BX$11,IFERROR(INDEX(INDIRECT("Data!C"&amp;$K$5,FALSE),MATCH(AP51,Data!$A:$A,0)),$BX$12)),"-")</f>
        <v>164</v>
      </c>
      <c r="AZ51" s="71">
        <f ca="1">IF(AND(AQ51&gt;=$AC$4,AQ51&lt;=$AU$4),IF(""=IFERROR(INDEX(INDIRECT("Data!C"&amp;$K$5,FALSE),MATCH(AQ51,Data!$A:$A,0)),$BX$12),$BX$11,IFERROR(INDEX(INDIRECT("Data!C"&amp;$K$5,FALSE),MATCH(AQ51,Data!$A:$A,0)),$BX$12)),"-")</f>
        <v>108</v>
      </c>
      <c r="BA51" s="71">
        <f ca="1">IF(AND(AR51&gt;=$AC$4,AR51&lt;=$AU$4),IF(""=IFERROR(INDEX(INDIRECT("Data!C"&amp;$K$5,FALSE),MATCH(AR51,Data!$A:$A,0)),$BX$12),$BX$11,IFERROR(INDEX(INDIRECT("Data!C"&amp;$K$5,FALSE),MATCH(AR51,Data!$A:$A,0)),$BX$12)),"-")</f>
        <v>26</v>
      </c>
      <c r="BB51" s="7"/>
      <c r="BD51" s="34">
        <f t="shared" si="51"/>
        <v>42274</v>
      </c>
      <c r="BE51" s="34">
        <f t="shared" si="46"/>
        <v>42275</v>
      </c>
      <c r="BF51" s="34">
        <f t="shared" si="38"/>
        <v>42276</v>
      </c>
      <c r="BG51" s="34">
        <f t="shared" si="39"/>
        <v>42277</v>
      </c>
      <c r="BH51" s="34">
        <f t="shared" si="40"/>
        <v>42278</v>
      </c>
      <c r="BI51" s="34">
        <f t="shared" si="41"/>
        <v>42279</v>
      </c>
      <c r="BJ51" s="34">
        <f t="shared" si="42"/>
        <v>42280</v>
      </c>
      <c r="BL51" s="24" t="str">
        <f t="array" ref="BL51">IFERROR(IF(MATCH(8,DAY(BD51:BJ51),0),BJ51,""),"")</f>
        <v/>
      </c>
      <c r="BM51" s="71">
        <f ca="1">IF(AND(BD51&gt;=$AC$4,BD51&lt;=$AU$4),IF(""=IFERROR(INDEX(INDIRECT("Data!C"&amp;$K$5,FALSE),MATCH(BD51,Data!$A:$A,0)),$BX$12),$BX$11,IFERROR(INDEX(INDIRECT("Data!C"&amp;$K$5,FALSE),MATCH(BD51,Data!$A:$A,0)),$BX$12)),"-")</f>
        <v>18</v>
      </c>
      <c r="BN51" s="71">
        <f ca="1">IF(AND(BE51&gt;=$AC$4,BE51&lt;=$AU$4),IF(""=IFERROR(INDEX(INDIRECT("Data!C"&amp;$K$5,FALSE),MATCH(BE51,Data!$A:$A,0)),$BX$12),$BX$11,IFERROR(INDEX(INDIRECT("Data!C"&amp;$K$5,FALSE),MATCH(BE51,Data!$A:$A,0)),$BX$12)),"-")</f>
        <v>134</v>
      </c>
      <c r="BO51" s="71">
        <f ca="1">IF(AND(BF51&gt;=$AC$4,BF51&lt;=$AU$4),IF(""=IFERROR(INDEX(INDIRECT("Data!C"&amp;$K$5,FALSE),MATCH(BF51,Data!$A:$A,0)),$BX$12),$BX$11,IFERROR(INDEX(INDIRECT("Data!C"&amp;$K$5,FALSE),MATCH(BF51,Data!$A:$A,0)),$BX$12)),"-")</f>
        <v>131</v>
      </c>
      <c r="BP51" s="71">
        <f ca="1">IF(AND(BG51&gt;=$AC$4,BG51&lt;=$AU$4),IF(""=IFERROR(INDEX(INDIRECT("Data!C"&amp;$K$5,FALSE),MATCH(BG51,Data!$A:$A,0)),$BX$12),$BX$11,IFERROR(INDEX(INDIRECT("Data!C"&amp;$K$5,FALSE),MATCH(BG51,Data!$A:$A,0)),$BX$12)),"-")</f>
        <v>95</v>
      </c>
      <c r="BQ51" s="71">
        <f ca="1">IF(AND(BH51&gt;=$AC$4,BH51&lt;=$AU$4),IF(""=IFERROR(INDEX(INDIRECT("Data!C"&amp;$K$5,FALSE),MATCH(BH51,Data!$A:$A,0)),$BX$12),$BX$11,IFERROR(INDEX(INDIRECT("Data!C"&amp;$K$5,FALSE),MATCH(BH51,Data!$A:$A,0)),$BX$12)),"-")</f>
        <v>121</v>
      </c>
      <c r="BR51" s="71">
        <f ca="1">IF(AND(BI51&gt;=$AC$4,BI51&lt;=$AU$4),IF(""=IFERROR(INDEX(INDIRECT("Data!C"&amp;$K$5,FALSE),MATCH(BI51,Data!$A:$A,0)),$BX$12),$BX$11,IFERROR(INDEX(INDIRECT("Data!C"&amp;$K$5,FALSE),MATCH(BI51,Data!$A:$A,0)),$BX$12)),"-")</f>
        <v>86</v>
      </c>
      <c r="BS51" s="71">
        <f ca="1">IF(AND(BJ51&gt;=$AC$4,BJ51&lt;=$AU$4),IF(""=IFERROR(INDEX(INDIRECT("Data!C"&amp;$K$5,FALSE),MATCH(BJ51,Data!$A:$A,0)),$BX$12),$BX$11,IFERROR(INDEX(INDIRECT("Data!C"&amp;$K$5,FALSE),MATCH(BJ51,Data!$A:$A,0)),$BX$12)),"-")</f>
        <v>63</v>
      </c>
      <c r="BT51" s="7"/>
      <c r="BU51" s="58">
        <f t="shared" ca="1" si="47"/>
        <v>115.75</v>
      </c>
    </row>
    <row r="52" spans="2:73" ht="12" customHeight="1" x14ac:dyDescent="0.2">
      <c r="B52" s="34">
        <f t="shared" si="48"/>
        <v>41189</v>
      </c>
      <c r="C52" s="34">
        <f t="shared" si="53"/>
        <v>41190</v>
      </c>
      <c r="D52" s="34">
        <f t="shared" si="53"/>
        <v>41191</v>
      </c>
      <c r="E52" s="34">
        <f t="shared" si="53"/>
        <v>41192</v>
      </c>
      <c r="F52" s="34">
        <f t="shared" si="53"/>
        <v>41193</v>
      </c>
      <c r="G52" s="34">
        <f t="shared" si="53"/>
        <v>41194</v>
      </c>
      <c r="H52" s="34">
        <f t="shared" si="53"/>
        <v>41195</v>
      </c>
      <c r="J52" s="24">
        <f t="array" ref="J52">IFERROR(IF(MATCH(8,DAY(B52:H52),0),H52,""),"")</f>
        <v>41195</v>
      </c>
      <c r="K52" s="71">
        <f ca="1">IF(AND(B52&gt;=$AC$4,B52&lt;=$AU$4),IF(""=IFERROR(INDEX(INDIRECT("Data!C"&amp;$K$5,FALSE),MATCH(B52,Data!$A:$A,0)),$BX$12),$BX$11,IFERROR(INDEX(INDIRECT("Data!C"&amp;$K$5,FALSE),MATCH(B52,Data!$A:$A,0)),$BX$12)),"-")</f>
        <v>13</v>
      </c>
      <c r="L52" s="71">
        <f ca="1">IF(AND(C52&gt;=$AC$4,C52&lt;=$AU$4),IF(""=IFERROR(INDEX(INDIRECT("Data!C"&amp;$K$5,FALSE),MATCH(C52,Data!$A:$A,0)),$BX$12),$BX$11,IFERROR(INDEX(INDIRECT("Data!C"&amp;$K$5,FALSE),MATCH(C52,Data!$A:$A,0)),$BX$12)),"-")</f>
        <v>275</v>
      </c>
      <c r="M52" s="71">
        <f ca="1">IF(AND(D52&gt;=$AC$4,D52&lt;=$AU$4),IF(""=IFERROR(INDEX(INDIRECT("Data!C"&amp;$K$5,FALSE),MATCH(D52,Data!$A:$A,0)),$BX$12),$BX$11,IFERROR(INDEX(INDIRECT("Data!C"&amp;$K$5,FALSE),MATCH(D52,Data!$A:$A,0)),$BX$12)),"-")</f>
        <v>157</v>
      </c>
      <c r="N52" s="71">
        <f ca="1">IF(AND(E52&gt;=$AC$4,E52&lt;=$AU$4),IF(""=IFERROR(INDEX(INDIRECT("Data!C"&amp;$K$5,FALSE),MATCH(E52,Data!$A:$A,0)),$BX$12),$BX$11,IFERROR(INDEX(INDIRECT("Data!C"&amp;$K$5,FALSE),MATCH(E52,Data!$A:$A,0)),$BX$12)),"-")</f>
        <v>125</v>
      </c>
      <c r="O52" s="71">
        <f ca="1">IF(AND(F52&gt;=$AC$4,F52&lt;=$AU$4),IF(""=IFERROR(INDEX(INDIRECT("Data!C"&amp;$K$5,FALSE),MATCH(F52,Data!$A:$A,0)),$BX$12),$BX$11,IFERROR(INDEX(INDIRECT("Data!C"&amp;$K$5,FALSE),MATCH(F52,Data!$A:$A,0)),$BX$12)),"-")</f>
        <v>165</v>
      </c>
      <c r="P52" s="71">
        <f ca="1">IF(AND(G52&gt;=$AC$4,G52&lt;=$AU$4),IF(""=IFERROR(INDEX(INDIRECT("Data!C"&amp;$K$5,FALSE),MATCH(G52,Data!$A:$A,0)),$BX$12),$BX$11,IFERROR(INDEX(INDIRECT("Data!C"&amp;$K$5,FALSE),MATCH(G52,Data!$A:$A,0)),$BX$12)),"-")</f>
        <v>104</v>
      </c>
      <c r="Q52" s="71">
        <f ca="1">IF(AND(H52&gt;=$AC$4,H52&lt;=$AU$4),IF(""=IFERROR(INDEX(INDIRECT("Data!C"&amp;$K$5,FALSE),MATCH(H52,Data!$A:$A,0)),$BX$12),$BX$11,IFERROR(INDEX(INDIRECT("Data!C"&amp;$K$5,FALSE),MATCH(H52,Data!$A:$A,0)),$BX$12)),"-")</f>
        <v>29</v>
      </c>
      <c r="R52" s="7"/>
      <c r="T52" s="34">
        <f t="shared" si="49"/>
        <v>41553</v>
      </c>
      <c r="U52" s="34">
        <f t="shared" si="44"/>
        <v>41554</v>
      </c>
      <c r="V52" s="34">
        <f t="shared" si="28"/>
        <v>41555</v>
      </c>
      <c r="W52" s="34">
        <f t="shared" si="29"/>
        <v>41556</v>
      </c>
      <c r="X52" s="34">
        <f t="shared" si="30"/>
        <v>41557</v>
      </c>
      <c r="Y52" s="34">
        <f t="shared" si="31"/>
        <v>41558</v>
      </c>
      <c r="Z52" s="34">
        <f t="shared" si="32"/>
        <v>41559</v>
      </c>
      <c r="AB52" s="24">
        <f t="array" ref="AB52">IFERROR(IF(MATCH(8,DAY(T52:Z52),0),Z52,""),"")</f>
        <v>41559</v>
      </c>
      <c r="AC52" s="71">
        <f ca="1">IF(AND(T52&gt;=$AC$4,T52&lt;=$AU$4),IF(""=IFERROR(INDEX(INDIRECT("Data!C"&amp;$K$5,FALSE),MATCH(T52,Data!$A:$A,0)),$BX$12),$BX$11,IFERROR(INDEX(INDIRECT("Data!C"&amp;$K$5,FALSE),MATCH(T52,Data!$A:$A,0)),$BX$12)),"-")</f>
        <v>10</v>
      </c>
      <c r="AD52" s="71">
        <f ca="1">IF(AND(U52&gt;=$AC$4,U52&lt;=$AU$4),IF(""=IFERROR(INDEX(INDIRECT("Data!C"&amp;$K$5,FALSE),MATCH(U52,Data!$A:$A,0)),$BX$12),$BX$11,IFERROR(INDEX(INDIRECT("Data!C"&amp;$K$5,FALSE),MATCH(U52,Data!$A:$A,0)),$BX$12)),"-")</f>
        <v>182</v>
      </c>
      <c r="AE52" s="71">
        <f ca="1">IF(AND(V52&gt;=$AC$4,V52&lt;=$AU$4),IF(""=IFERROR(INDEX(INDIRECT("Data!C"&amp;$K$5,FALSE),MATCH(V52,Data!$A:$A,0)),$BX$12),$BX$11,IFERROR(INDEX(INDIRECT("Data!C"&amp;$K$5,FALSE),MATCH(V52,Data!$A:$A,0)),$BX$12)),"-")</f>
        <v>108</v>
      </c>
      <c r="AF52" s="71">
        <f ca="1">IF(AND(W52&gt;=$AC$4,W52&lt;=$AU$4),IF(""=IFERROR(INDEX(INDIRECT("Data!C"&amp;$K$5,FALSE),MATCH(W52,Data!$A:$A,0)),$BX$12),$BX$11,IFERROR(INDEX(INDIRECT("Data!C"&amp;$K$5,FALSE),MATCH(W52,Data!$A:$A,0)),$BX$12)),"-")</f>
        <v>88</v>
      </c>
      <c r="AG52" s="71">
        <f ca="1">IF(AND(X52&gt;=$AC$4,X52&lt;=$AU$4),IF(""=IFERROR(INDEX(INDIRECT("Data!C"&amp;$K$5,FALSE),MATCH(X52,Data!$A:$A,0)),$BX$12),$BX$11,IFERROR(INDEX(INDIRECT("Data!C"&amp;$K$5,FALSE),MATCH(X52,Data!$A:$A,0)),$BX$12)),"-")</f>
        <v>163</v>
      </c>
      <c r="AH52" s="71">
        <f ca="1">IF(AND(Y52&gt;=$AC$4,Y52&lt;=$AU$4),IF(""=IFERROR(INDEX(INDIRECT("Data!C"&amp;$K$5,FALSE),MATCH(Y52,Data!$A:$A,0)),$BX$12),$BX$11,IFERROR(INDEX(INDIRECT("Data!C"&amp;$K$5,FALSE),MATCH(Y52,Data!$A:$A,0)),$BX$12)),"-")</f>
        <v>123</v>
      </c>
      <c r="AI52" s="71">
        <f ca="1">IF(AND(Z52&gt;=$AC$4,Z52&lt;=$AU$4),IF(""=IFERROR(INDEX(INDIRECT("Data!C"&amp;$K$5,FALSE),MATCH(Z52,Data!$A:$A,0)),$BX$12),$BX$11,IFERROR(INDEX(INDIRECT("Data!C"&amp;$K$5,FALSE),MATCH(Z52,Data!$A:$A,0)),$BX$12)),"-")</f>
        <v>52</v>
      </c>
      <c r="AJ52" s="7"/>
      <c r="AL52" s="34">
        <f t="shared" si="50"/>
        <v>41917</v>
      </c>
      <c r="AM52" s="34">
        <f t="shared" si="45"/>
        <v>41918</v>
      </c>
      <c r="AN52" s="34">
        <f t="shared" si="33"/>
        <v>41919</v>
      </c>
      <c r="AO52" s="34">
        <f t="shared" si="34"/>
        <v>41920</v>
      </c>
      <c r="AP52" s="34">
        <f t="shared" si="35"/>
        <v>41921</v>
      </c>
      <c r="AQ52" s="34">
        <f t="shared" si="36"/>
        <v>41922</v>
      </c>
      <c r="AR52" s="34">
        <f t="shared" si="37"/>
        <v>41923</v>
      </c>
      <c r="AT52" s="24">
        <f t="array" ref="AT52">IFERROR(IF(MATCH(8,DAY(AL52:AR52),0),AR52,""),"")</f>
        <v>41923</v>
      </c>
      <c r="AU52" s="71">
        <f ca="1">IF(AND(AL52&gt;=$AC$4,AL52&lt;=$AU$4),IF(""=IFERROR(INDEX(INDIRECT("Data!C"&amp;$K$5,FALSE),MATCH(AL52,Data!$A:$A,0)),$BX$12),$BX$11,IFERROR(INDEX(INDIRECT("Data!C"&amp;$K$5,FALSE),MATCH(AL52,Data!$A:$A,0)),$BX$12)),"-")</f>
        <v>10</v>
      </c>
      <c r="AV52" s="71">
        <f ca="1">IF(AND(AM52&gt;=$AC$4,AM52&lt;=$AU$4),IF(""=IFERROR(INDEX(INDIRECT("Data!C"&amp;$K$5,FALSE),MATCH(AM52,Data!$A:$A,0)),$BX$12),$BX$11,IFERROR(INDEX(INDIRECT("Data!C"&amp;$K$5,FALSE),MATCH(AM52,Data!$A:$A,0)),$BX$12)),"-")</f>
        <v>259</v>
      </c>
      <c r="AW52" s="71">
        <f ca="1">IF(AND(AN52&gt;=$AC$4,AN52&lt;=$AU$4),IF(""=IFERROR(INDEX(INDIRECT("Data!C"&amp;$K$5,FALSE),MATCH(AN52,Data!$A:$A,0)),$BX$12),$BX$11,IFERROR(INDEX(INDIRECT("Data!C"&amp;$K$5,FALSE),MATCH(AN52,Data!$A:$A,0)),$BX$12)),"-")</f>
        <v>201</v>
      </c>
      <c r="AX52" s="71">
        <f ca="1">IF(AND(AO52&gt;=$AC$4,AO52&lt;=$AU$4),IF(""=IFERROR(INDEX(INDIRECT("Data!C"&amp;$K$5,FALSE),MATCH(AO52,Data!$A:$A,0)),$BX$12),$BX$11,IFERROR(INDEX(INDIRECT("Data!C"&amp;$K$5,FALSE),MATCH(AO52,Data!$A:$A,0)),$BX$12)),"-")</f>
        <v>114</v>
      </c>
      <c r="AY52" s="71">
        <f ca="1">IF(AND(AP52&gt;=$AC$4,AP52&lt;=$AU$4),IF(""=IFERROR(INDEX(INDIRECT("Data!C"&amp;$K$5,FALSE),MATCH(AP52,Data!$A:$A,0)),$BX$12),$BX$11,IFERROR(INDEX(INDIRECT("Data!C"&amp;$K$5,FALSE),MATCH(AP52,Data!$A:$A,0)),$BX$12)),"-")</f>
        <v>134</v>
      </c>
      <c r="AZ52" s="71">
        <f ca="1">IF(AND(AQ52&gt;=$AC$4,AQ52&lt;=$AU$4),IF(""=IFERROR(INDEX(INDIRECT("Data!C"&amp;$K$5,FALSE),MATCH(AQ52,Data!$A:$A,0)),$BX$12),$BX$11,IFERROR(INDEX(INDIRECT("Data!C"&amp;$K$5,FALSE),MATCH(AQ52,Data!$A:$A,0)),$BX$12)),"-")</f>
        <v>186</v>
      </c>
      <c r="BA52" s="71">
        <f ca="1">IF(AND(AR52&gt;=$AC$4,AR52&lt;=$AU$4),IF(""=IFERROR(INDEX(INDIRECT("Data!C"&amp;$K$5,FALSE),MATCH(AR52,Data!$A:$A,0)),$BX$12),$BX$11,IFERROR(INDEX(INDIRECT("Data!C"&amp;$K$5,FALSE),MATCH(AR52,Data!$A:$A,0)),$BX$12)),"-")</f>
        <v>56</v>
      </c>
      <c r="BB52" s="7"/>
      <c r="BD52" s="34">
        <f t="shared" si="51"/>
        <v>42281</v>
      </c>
      <c r="BE52" s="34">
        <f t="shared" si="46"/>
        <v>42282</v>
      </c>
      <c r="BF52" s="34">
        <f t="shared" si="38"/>
        <v>42283</v>
      </c>
      <c r="BG52" s="34">
        <f t="shared" si="39"/>
        <v>42284</v>
      </c>
      <c r="BH52" s="34">
        <f t="shared" si="40"/>
        <v>42285</v>
      </c>
      <c r="BI52" s="34">
        <f t="shared" si="41"/>
        <v>42286</v>
      </c>
      <c r="BJ52" s="34">
        <f t="shared" si="42"/>
        <v>42287</v>
      </c>
      <c r="BL52" s="24">
        <f t="array" ref="BL52">IFERROR(IF(MATCH(8,DAY(BD52:BJ52),0),BJ52,""),"")</f>
        <v>42287</v>
      </c>
      <c r="BM52" s="71">
        <f ca="1">IF(AND(BD52&gt;=$AC$4,BD52&lt;=$AU$4),IF(""=IFERROR(INDEX(INDIRECT("Data!C"&amp;$K$5,FALSE),MATCH(BD52,Data!$A:$A,0)),$BX$12),$BX$11,IFERROR(INDEX(INDIRECT("Data!C"&amp;$K$5,FALSE),MATCH(BD52,Data!$A:$A,0)),$BX$12)),"-")</f>
        <v>17</v>
      </c>
      <c r="BN52" s="71">
        <f ca="1">IF(AND(BE52&gt;=$AC$4,BE52&lt;=$AU$4),IF(""=IFERROR(INDEX(INDIRECT("Data!C"&amp;$K$5,FALSE),MATCH(BE52,Data!$A:$A,0)),$BX$12),$BX$11,IFERROR(INDEX(INDIRECT("Data!C"&amp;$K$5,FALSE),MATCH(BE52,Data!$A:$A,0)),$BX$12)),"-")</f>
        <v>244</v>
      </c>
      <c r="BO52" s="71">
        <f ca="1">IF(AND(BF52&gt;=$AC$4,BF52&lt;=$AU$4),IF(""=IFERROR(INDEX(INDIRECT("Data!C"&amp;$K$5,FALSE),MATCH(BF52,Data!$A:$A,0)),$BX$12),$BX$11,IFERROR(INDEX(INDIRECT("Data!C"&amp;$K$5,FALSE),MATCH(BF52,Data!$A:$A,0)),$BX$12)),"-")</f>
        <v>263</v>
      </c>
      <c r="BP52" s="71">
        <f ca="1">IF(AND(BG52&gt;=$AC$4,BG52&lt;=$AU$4),IF(""=IFERROR(INDEX(INDIRECT("Data!C"&amp;$K$5,FALSE),MATCH(BG52,Data!$A:$A,0)),$BX$12),$BX$11,IFERROR(INDEX(INDIRECT("Data!C"&amp;$K$5,FALSE),MATCH(BG52,Data!$A:$A,0)),$BX$12)),"-")</f>
        <v>136</v>
      </c>
      <c r="BQ52" s="71">
        <f ca="1">IF(AND(BH52&gt;=$AC$4,BH52&lt;=$AU$4),IF(""=IFERROR(INDEX(INDIRECT("Data!C"&amp;$K$5,FALSE),MATCH(BH52,Data!$A:$A,0)),$BX$12),$BX$11,IFERROR(INDEX(INDIRECT("Data!C"&amp;$K$5,FALSE),MATCH(BH52,Data!$A:$A,0)),$BX$12)),"-")</f>
        <v>183</v>
      </c>
      <c r="BR52" s="71">
        <f ca="1">IF(AND(BI52&gt;=$AC$4,BI52&lt;=$AU$4),IF(""=IFERROR(INDEX(INDIRECT("Data!C"&amp;$K$5,FALSE),MATCH(BI52,Data!$A:$A,0)),$BX$12),$BX$11,IFERROR(INDEX(INDIRECT("Data!C"&amp;$K$5,FALSE),MATCH(BI52,Data!$A:$A,0)),$BX$12)),"-")</f>
        <v>133</v>
      </c>
      <c r="BS52" s="71">
        <f ca="1">IF(AND(BJ52&gt;=$AC$4,BJ52&lt;=$AU$4),IF(""=IFERROR(INDEX(INDIRECT("Data!C"&amp;$K$5,FALSE),MATCH(BJ52,Data!$A:$A,0)),$BX$12),$BX$11,IFERROR(INDEX(INDIRECT("Data!C"&amp;$K$5,FALSE),MATCH(BJ52,Data!$A:$A,0)),$BX$12)),"-")</f>
        <v>34</v>
      </c>
      <c r="BT52" s="7"/>
      <c r="BU52" s="58">
        <f t="shared" ca="1" si="47"/>
        <v>127.28571428571429</v>
      </c>
    </row>
    <row r="53" spans="2:73" ht="12" customHeight="1" x14ac:dyDescent="0.2">
      <c r="B53" s="34">
        <f t="shared" si="48"/>
        <v>41196</v>
      </c>
      <c r="C53" s="34">
        <f t="shared" si="53"/>
        <v>41197</v>
      </c>
      <c r="D53" s="34">
        <f t="shared" si="53"/>
        <v>41198</v>
      </c>
      <c r="E53" s="34">
        <f t="shared" si="53"/>
        <v>41199</v>
      </c>
      <c r="F53" s="34">
        <f t="shared" si="53"/>
        <v>41200</v>
      </c>
      <c r="G53" s="34">
        <f t="shared" si="53"/>
        <v>41201</v>
      </c>
      <c r="H53" s="34">
        <f t="shared" si="53"/>
        <v>41202</v>
      </c>
      <c r="J53" s="24" t="str">
        <f t="array" ref="J53">IFERROR(IF(MATCH(8,DAY(B53:H53),0),H53,""),"")</f>
        <v/>
      </c>
      <c r="K53" s="71">
        <f ca="1">IF(AND(B53&gt;=$AC$4,B53&lt;=$AU$4),IF(""=IFERROR(INDEX(INDIRECT("Data!C"&amp;$K$5,FALSE),MATCH(B53,Data!$A:$A,0)),$BX$12),$BX$11,IFERROR(INDEX(INDIRECT("Data!C"&amp;$K$5,FALSE),MATCH(B53,Data!$A:$A,0)),$BX$12)),"-")</f>
        <v>15</v>
      </c>
      <c r="L53" s="71">
        <f ca="1">IF(AND(C53&gt;=$AC$4,C53&lt;=$AU$4),IF(""=IFERROR(INDEX(INDIRECT("Data!C"&amp;$K$5,FALSE),MATCH(C53,Data!$A:$A,0)),$BX$12),$BX$11,IFERROR(INDEX(INDIRECT("Data!C"&amp;$K$5,FALSE),MATCH(C53,Data!$A:$A,0)),$BX$12)),"-")</f>
        <v>263</v>
      </c>
      <c r="M53" s="71">
        <f ca="1">IF(AND(D53&gt;=$AC$4,D53&lt;=$AU$4),IF(""=IFERROR(INDEX(INDIRECT("Data!C"&amp;$K$5,FALSE),MATCH(D53,Data!$A:$A,0)),$BX$12),$BX$11,IFERROR(INDEX(INDIRECT("Data!C"&amp;$K$5,FALSE),MATCH(D53,Data!$A:$A,0)),$BX$12)),"-")</f>
        <v>236</v>
      </c>
      <c r="N53" s="71">
        <f ca="1">IF(AND(E53&gt;=$AC$4,E53&lt;=$AU$4),IF(""=IFERROR(INDEX(INDIRECT("Data!C"&amp;$K$5,FALSE),MATCH(E53,Data!$A:$A,0)),$BX$12),$BX$11,IFERROR(INDEX(INDIRECT("Data!C"&amp;$K$5,FALSE),MATCH(E53,Data!$A:$A,0)),$BX$12)),"-")</f>
        <v>116</v>
      </c>
      <c r="O53" s="71">
        <f ca="1">IF(AND(F53&gt;=$AC$4,F53&lt;=$AU$4),IF(""=IFERROR(INDEX(INDIRECT("Data!C"&amp;$K$5,FALSE),MATCH(F53,Data!$A:$A,0)),$BX$12),$BX$11,IFERROR(INDEX(INDIRECT("Data!C"&amp;$K$5,FALSE),MATCH(F53,Data!$A:$A,0)),$BX$12)),"-")</f>
        <v>179</v>
      </c>
      <c r="P53" s="71">
        <f ca="1">IF(AND(G53&gt;=$AC$4,G53&lt;=$AU$4),IF(""=IFERROR(INDEX(INDIRECT("Data!C"&amp;$K$5,FALSE),MATCH(G53,Data!$A:$A,0)),$BX$12),$BX$11,IFERROR(INDEX(INDIRECT("Data!C"&amp;$K$5,FALSE),MATCH(G53,Data!$A:$A,0)),$BX$12)),"-")</f>
        <v>135</v>
      </c>
      <c r="Q53" s="71">
        <f ca="1">IF(AND(H53&gt;=$AC$4,H53&lt;=$AU$4),IF(""=IFERROR(INDEX(INDIRECT("Data!C"&amp;$K$5,FALSE),MATCH(H53,Data!$A:$A,0)),$BX$12),$BX$11,IFERROR(INDEX(INDIRECT("Data!C"&amp;$K$5,FALSE),MATCH(H53,Data!$A:$A,0)),$BX$12)),"-")</f>
        <v>41</v>
      </c>
      <c r="R53" s="7"/>
      <c r="T53" s="34">
        <f t="shared" si="49"/>
        <v>41560</v>
      </c>
      <c r="U53" s="34">
        <f t="shared" si="44"/>
        <v>41561</v>
      </c>
      <c r="V53" s="34">
        <f t="shared" si="28"/>
        <v>41562</v>
      </c>
      <c r="W53" s="34">
        <f t="shared" si="29"/>
        <v>41563</v>
      </c>
      <c r="X53" s="34">
        <f t="shared" si="30"/>
        <v>41564</v>
      </c>
      <c r="Y53" s="34">
        <f t="shared" si="31"/>
        <v>41565</v>
      </c>
      <c r="Z53" s="34">
        <f t="shared" si="32"/>
        <v>41566</v>
      </c>
      <c r="AB53" s="24" t="str">
        <f t="array" ref="AB53">IFERROR(IF(MATCH(8,DAY(T53:Z53),0),Z53,""),"")</f>
        <v/>
      </c>
      <c r="AC53" s="71">
        <f ca="1">IF(AND(T53&gt;=$AC$4,T53&lt;=$AU$4),IF(""=IFERROR(INDEX(INDIRECT("Data!C"&amp;$K$5,FALSE),MATCH(T53,Data!$A:$A,0)),$BX$12),$BX$11,IFERROR(INDEX(INDIRECT("Data!C"&amp;$K$5,FALSE),MATCH(T53,Data!$A:$A,0)),$BX$12)),"-")</f>
        <v>24</v>
      </c>
      <c r="AD53" s="71">
        <f ca="1">IF(AND(U53&gt;=$AC$4,U53&lt;=$AU$4),IF(""=IFERROR(INDEX(INDIRECT("Data!C"&amp;$K$5,FALSE),MATCH(U53,Data!$A:$A,0)),$BX$12),$BX$11,IFERROR(INDEX(INDIRECT("Data!C"&amp;$K$5,FALSE),MATCH(U53,Data!$A:$A,0)),$BX$12)),"-")</f>
        <v>319</v>
      </c>
      <c r="AE53" s="71">
        <f ca="1">IF(AND(V53&gt;=$AC$4,V53&lt;=$AU$4),IF(""=IFERROR(INDEX(INDIRECT("Data!C"&amp;$K$5,FALSE),MATCH(V53,Data!$A:$A,0)),$BX$12),$BX$11,IFERROR(INDEX(INDIRECT("Data!C"&amp;$K$5,FALSE),MATCH(V53,Data!$A:$A,0)),$BX$12)),"-")</f>
        <v>171</v>
      </c>
      <c r="AF53" s="71">
        <f ca="1">IF(AND(W53&gt;=$AC$4,W53&lt;=$AU$4),IF(""=IFERROR(INDEX(INDIRECT("Data!C"&amp;$K$5,FALSE),MATCH(W53,Data!$A:$A,0)),$BX$12),$BX$11,IFERROR(INDEX(INDIRECT("Data!C"&amp;$K$5,FALSE),MATCH(W53,Data!$A:$A,0)),$BX$12)),"-")</f>
        <v>174</v>
      </c>
      <c r="AG53" s="71">
        <f ca="1">IF(AND(X53&gt;=$AC$4,X53&lt;=$AU$4),IF(""=IFERROR(INDEX(INDIRECT("Data!C"&amp;$K$5,FALSE),MATCH(X53,Data!$A:$A,0)),$BX$12),$BX$11,IFERROR(INDEX(INDIRECT("Data!C"&amp;$K$5,FALSE),MATCH(X53,Data!$A:$A,0)),$BX$12)),"-")</f>
        <v>139</v>
      </c>
      <c r="AH53" s="71">
        <f ca="1">IF(AND(Y53&gt;=$AC$4,Y53&lt;=$AU$4),IF(""=IFERROR(INDEX(INDIRECT("Data!C"&amp;$K$5,FALSE),MATCH(Y53,Data!$A:$A,0)),$BX$12),$BX$11,IFERROR(INDEX(INDIRECT("Data!C"&amp;$K$5,FALSE),MATCH(Y53,Data!$A:$A,0)),$BX$12)),"-")</f>
        <v>186</v>
      </c>
      <c r="AI53" s="71">
        <f ca="1">IF(AND(Z53&gt;=$AC$4,Z53&lt;=$AU$4),IF(""=IFERROR(INDEX(INDIRECT("Data!C"&amp;$K$5,FALSE),MATCH(Z53,Data!$A:$A,0)),$BX$12),$BX$11,IFERROR(INDEX(INDIRECT("Data!C"&amp;$K$5,FALSE),MATCH(Z53,Data!$A:$A,0)),$BX$12)),"-")</f>
        <v>52</v>
      </c>
      <c r="AJ53" s="7"/>
      <c r="AL53" s="34">
        <f t="shared" si="50"/>
        <v>41924</v>
      </c>
      <c r="AM53" s="34">
        <f t="shared" si="45"/>
        <v>41925</v>
      </c>
      <c r="AN53" s="34">
        <f t="shared" si="33"/>
        <v>41926</v>
      </c>
      <c r="AO53" s="34">
        <f t="shared" si="34"/>
        <v>41927</v>
      </c>
      <c r="AP53" s="34">
        <f t="shared" si="35"/>
        <v>41928</v>
      </c>
      <c r="AQ53" s="34">
        <f t="shared" si="36"/>
        <v>41929</v>
      </c>
      <c r="AR53" s="34">
        <f t="shared" si="37"/>
        <v>41930</v>
      </c>
      <c r="AT53" s="24" t="str">
        <f t="array" ref="AT53">IFERROR(IF(MATCH(8,DAY(AL53:AR53),0),AR53,""),"")</f>
        <v/>
      </c>
      <c r="AU53" s="71">
        <f ca="1">IF(AND(AL53&gt;=$AC$4,AL53&lt;=$AU$4),IF(""=IFERROR(INDEX(INDIRECT("Data!C"&amp;$K$5,FALSE),MATCH(AL53,Data!$A:$A,0)),$BX$12),$BX$11,IFERROR(INDEX(INDIRECT("Data!C"&amp;$K$5,FALSE),MATCH(AL53,Data!$A:$A,0)),$BX$12)),"-")</f>
        <v>19</v>
      </c>
      <c r="AV53" s="71">
        <f ca="1">IF(AND(AM53&gt;=$AC$4,AM53&lt;=$AU$4),IF(""=IFERROR(INDEX(INDIRECT("Data!C"&amp;$K$5,FALSE),MATCH(AM53,Data!$A:$A,0)),$BX$12),$BX$11,IFERROR(INDEX(INDIRECT("Data!C"&amp;$K$5,FALSE),MATCH(AM53,Data!$A:$A,0)),$BX$12)),"-")</f>
        <v>335</v>
      </c>
      <c r="AW53" s="71">
        <f ca="1">IF(AND(AN53&gt;=$AC$4,AN53&lt;=$AU$4),IF(""=IFERROR(INDEX(INDIRECT("Data!C"&amp;$K$5,FALSE),MATCH(AN53,Data!$A:$A,0)),$BX$12),$BX$11,IFERROR(INDEX(INDIRECT("Data!C"&amp;$K$5,FALSE),MATCH(AN53,Data!$A:$A,0)),$BX$12)),"-")</f>
        <v>213</v>
      </c>
      <c r="AX53" s="71">
        <f ca="1">IF(AND(AO53&gt;=$AC$4,AO53&lt;=$AU$4),IF(""=IFERROR(INDEX(INDIRECT("Data!C"&amp;$K$5,FALSE),MATCH(AO53,Data!$A:$A,0)),$BX$12),$BX$11,IFERROR(INDEX(INDIRECT("Data!C"&amp;$K$5,FALSE),MATCH(AO53,Data!$A:$A,0)),$BX$12)),"-")</f>
        <v>268</v>
      </c>
      <c r="AY53" s="71">
        <f ca="1">IF(AND(AP53&gt;=$AC$4,AP53&lt;=$AU$4),IF(""=IFERROR(INDEX(INDIRECT("Data!C"&amp;$K$5,FALSE),MATCH(AP53,Data!$A:$A,0)),$BX$12),$BX$11,IFERROR(INDEX(INDIRECT("Data!C"&amp;$K$5,FALSE),MATCH(AP53,Data!$A:$A,0)),$BX$12)),"-")</f>
        <v>194</v>
      </c>
      <c r="AZ53" s="71">
        <f ca="1">IF(AND(AQ53&gt;=$AC$4,AQ53&lt;=$AU$4),IF(""=IFERROR(INDEX(INDIRECT("Data!C"&amp;$K$5,FALSE),MATCH(AQ53,Data!$A:$A,0)),$BX$12),$BX$11,IFERROR(INDEX(INDIRECT("Data!C"&amp;$K$5,FALSE),MATCH(AQ53,Data!$A:$A,0)),$BX$12)),"-")</f>
        <v>196</v>
      </c>
      <c r="BA53" s="71">
        <f ca="1">IF(AND(AR53&gt;=$AC$4,AR53&lt;=$AU$4),IF(""=IFERROR(INDEX(INDIRECT("Data!C"&amp;$K$5,FALSE),MATCH(AR53,Data!$A:$A,0)),$BX$12),$BX$11,IFERROR(INDEX(INDIRECT("Data!C"&amp;$K$5,FALSE),MATCH(AR53,Data!$A:$A,0)),$BX$12)),"-")</f>
        <v>56</v>
      </c>
      <c r="BB53" s="7"/>
      <c r="BD53" s="34">
        <f t="shared" si="51"/>
        <v>42288</v>
      </c>
      <c r="BE53" s="34">
        <f t="shared" si="46"/>
        <v>42289</v>
      </c>
      <c r="BF53" s="34">
        <f t="shared" si="38"/>
        <v>42290</v>
      </c>
      <c r="BG53" s="34">
        <f t="shared" si="39"/>
        <v>42291</v>
      </c>
      <c r="BH53" s="34">
        <f t="shared" si="40"/>
        <v>42292</v>
      </c>
      <c r="BI53" s="34">
        <f t="shared" si="41"/>
        <v>42293</v>
      </c>
      <c r="BJ53" s="34">
        <f t="shared" si="42"/>
        <v>42294</v>
      </c>
      <c r="BL53" s="24" t="str">
        <f t="array" ref="BL53">IFERROR(IF(MATCH(8,DAY(BD53:BJ53),0),BJ53,""),"")</f>
        <v/>
      </c>
      <c r="BM53" s="71">
        <f ca="1">IF(AND(BD53&gt;=$AC$4,BD53&lt;=$AU$4),IF(""=IFERROR(INDEX(INDIRECT("Data!C"&amp;$K$5,FALSE),MATCH(BD53,Data!$A:$A,0)),$BX$12),$BX$11,IFERROR(INDEX(INDIRECT("Data!C"&amp;$K$5,FALSE),MATCH(BD53,Data!$A:$A,0)),$BX$12)),"-")</f>
        <v>24</v>
      </c>
      <c r="BN53" s="71">
        <f ca="1">IF(AND(BE53&gt;=$AC$4,BE53&lt;=$AU$4),IF(""=IFERROR(INDEX(INDIRECT("Data!C"&amp;$K$5,FALSE),MATCH(BE53,Data!$A:$A,0)),$BX$12),$BX$11,IFERROR(INDEX(INDIRECT("Data!C"&amp;$K$5,FALSE),MATCH(BE53,Data!$A:$A,0)),$BX$12)),"-")</f>
        <v>234</v>
      </c>
      <c r="BO53" s="71">
        <f ca="1">IF(AND(BF53&gt;=$AC$4,BF53&lt;=$AU$4),IF(""=IFERROR(INDEX(INDIRECT("Data!C"&amp;$K$5,FALSE),MATCH(BF53,Data!$A:$A,0)),$BX$12),$BX$11,IFERROR(INDEX(INDIRECT("Data!C"&amp;$K$5,FALSE),MATCH(BF53,Data!$A:$A,0)),$BX$12)),"-")</f>
        <v>172</v>
      </c>
      <c r="BP53" s="71">
        <f ca="1">IF(AND(BG53&gt;=$AC$4,BG53&lt;=$AU$4),IF(""=IFERROR(INDEX(INDIRECT("Data!C"&amp;$K$5,FALSE),MATCH(BG53,Data!$A:$A,0)),$BX$12),$BX$11,IFERROR(INDEX(INDIRECT("Data!C"&amp;$K$5,FALSE),MATCH(BG53,Data!$A:$A,0)),$BX$12)),"-")</f>
        <v>237</v>
      </c>
      <c r="BQ53" s="71">
        <f ca="1">IF(AND(BH53&gt;=$AC$4,BH53&lt;=$AU$4),IF(""=IFERROR(INDEX(INDIRECT("Data!C"&amp;$K$5,FALSE),MATCH(BH53,Data!$A:$A,0)),$BX$12),$BX$11,IFERROR(INDEX(INDIRECT("Data!C"&amp;$K$5,FALSE),MATCH(BH53,Data!$A:$A,0)),$BX$12)),"-")</f>
        <v>147</v>
      </c>
      <c r="BR53" s="71">
        <f ca="1">IF(AND(BI53&gt;=$AC$4,BI53&lt;=$AU$4),IF(""=IFERROR(INDEX(INDIRECT("Data!C"&amp;$K$5,FALSE),MATCH(BI53,Data!$A:$A,0)),$BX$12),$BX$11,IFERROR(INDEX(INDIRECT("Data!C"&amp;$K$5,FALSE),MATCH(BI53,Data!$A:$A,0)),$BX$12)),"-")</f>
        <v>174</v>
      </c>
      <c r="BS53" s="71">
        <f ca="1">IF(AND(BJ53&gt;=$AC$4,BJ53&lt;=$AU$4),IF(""=IFERROR(INDEX(INDIRECT("Data!C"&amp;$K$5,FALSE),MATCH(BJ53,Data!$A:$A,0)),$BX$12),$BX$11,IFERROR(INDEX(INDIRECT("Data!C"&amp;$K$5,FALSE),MATCH(BJ53,Data!$A:$A,0)),$BX$12)),"-")</f>
        <v>78</v>
      </c>
      <c r="BT53" s="7"/>
      <c r="BU53" s="58">
        <f t="shared" ca="1" si="47"/>
        <v>157.03571428571428</v>
      </c>
    </row>
    <row r="54" spans="2:73" ht="12" customHeight="1" x14ac:dyDescent="0.2">
      <c r="B54" s="34">
        <f t="shared" si="48"/>
        <v>41203</v>
      </c>
      <c r="C54" s="34">
        <f t="shared" si="53"/>
        <v>41204</v>
      </c>
      <c r="D54" s="34">
        <f t="shared" si="53"/>
        <v>41205</v>
      </c>
      <c r="E54" s="34">
        <f t="shared" si="53"/>
        <v>41206</v>
      </c>
      <c r="F54" s="34">
        <f t="shared" si="53"/>
        <v>41207</v>
      </c>
      <c r="G54" s="34">
        <f t="shared" si="53"/>
        <v>41208</v>
      </c>
      <c r="H54" s="34">
        <f t="shared" si="53"/>
        <v>41209</v>
      </c>
      <c r="J54" s="24" t="str">
        <f t="array" ref="J54">IFERROR(IF(MATCH(8,DAY(B54:H54),0),H54,""),"")</f>
        <v/>
      </c>
      <c r="K54" s="71">
        <f ca="1">IF(AND(B54&gt;=$AC$4,B54&lt;=$AU$4),IF(""=IFERROR(INDEX(INDIRECT("Data!C"&amp;$K$5,FALSE),MATCH(B54,Data!$A:$A,0)),$BX$12),$BX$11,IFERROR(INDEX(INDIRECT("Data!C"&amp;$K$5,FALSE),MATCH(B54,Data!$A:$A,0)),$BX$12)),"-")</f>
        <v>25</v>
      </c>
      <c r="L54" s="71">
        <f ca="1">IF(AND(C54&gt;=$AC$4,C54&lt;=$AU$4),IF(""=IFERROR(INDEX(INDIRECT("Data!C"&amp;$K$5,FALSE),MATCH(C54,Data!$A:$A,0)),$BX$12),$BX$11,IFERROR(INDEX(INDIRECT("Data!C"&amp;$K$5,FALSE),MATCH(C54,Data!$A:$A,0)),$BX$12)),"-")</f>
        <v>251</v>
      </c>
      <c r="M54" s="71">
        <f ca="1">IF(AND(D54&gt;=$AC$4,D54&lt;=$AU$4),IF(""=IFERROR(INDEX(INDIRECT("Data!C"&amp;$K$5,FALSE),MATCH(D54,Data!$A:$A,0)),$BX$12),$BX$11,IFERROR(INDEX(INDIRECT("Data!C"&amp;$K$5,FALSE),MATCH(D54,Data!$A:$A,0)),$BX$12)),"-")</f>
        <v>293</v>
      </c>
      <c r="N54" s="71">
        <f ca="1">IF(AND(E54&gt;=$AC$4,E54&lt;=$AU$4),IF(""=IFERROR(INDEX(INDIRECT("Data!C"&amp;$K$5,FALSE),MATCH(E54,Data!$A:$A,0)),$BX$12),$BX$11,IFERROR(INDEX(INDIRECT("Data!C"&amp;$K$5,FALSE),MATCH(E54,Data!$A:$A,0)),$BX$12)),"-")</f>
        <v>141</v>
      </c>
      <c r="O54" s="71">
        <f ca="1">IF(AND(F54&gt;=$AC$4,F54&lt;=$AU$4),IF(""=IFERROR(INDEX(INDIRECT("Data!C"&amp;$K$5,FALSE),MATCH(F54,Data!$A:$A,0)),$BX$12),$BX$11,IFERROR(INDEX(INDIRECT("Data!C"&amp;$K$5,FALSE),MATCH(F54,Data!$A:$A,0)),$BX$12)),"-")</f>
        <v>140</v>
      </c>
      <c r="P54" s="71">
        <f ca="1">IF(AND(G54&gt;=$AC$4,G54&lt;=$AU$4),IF(""=IFERROR(INDEX(INDIRECT("Data!C"&amp;$K$5,FALSE),MATCH(G54,Data!$A:$A,0)),$BX$12),$BX$11,IFERROR(INDEX(INDIRECT("Data!C"&amp;$K$5,FALSE),MATCH(G54,Data!$A:$A,0)),$BX$12)),"-")</f>
        <v>128</v>
      </c>
      <c r="Q54" s="71">
        <f ca="1">IF(AND(H54&gt;=$AC$4,H54&lt;=$AU$4),IF(""=IFERROR(INDEX(INDIRECT("Data!C"&amp;$K$5,FALSE),MATCH(H54,Data!$A:$A,0)),$BX$12),$BX$11,IFERROR(INDEX(INDIRECT("Data!C"&amp;$K$5,FALSE),MATCH(H54,Data!$A:$A,0)),$BX$12)),"-")</f>
        <v>51</v>
      </c>
      <c r="R54" s="7"/>
      <c r="T54" s="34">
        <f t="shared" si="49"/>
        <v>41567</v>
      </c>
      <c r="U54" s="34">
        <f t="shared" si="44"/>
        <v>41568</v>
      </c>
      <c r="V54" s="34">
        <f t="shared" si="28"/>
        <v>41569</v>
      </c>
      <c r="W54" s="34">
        <f t="shared" si="29"/>
        <v>41570</v>
      </c>
      <c r="X54" s="34">
        <f t="shared" si="30"/>
        <v>41571</v>
      </c>
      <c r="Y54" s="34">
        <f t="shared" si="31"/>
        <v>41572</v>
      </c>
      <c r="Z54" s="34">
        <f t="shared" si="32"/>
        <v>41573</v>
      </c>
      <c r="AB54" s="24" t="str">
        <f t="array" ref="AB54">IFERROR(IF(MATCH(8,DAY(T54:Z54),0),Z54,""),"")</f>
        <v/>
      </c>
      <c r="AC54" s="71">
        <f ca="1">IF(AND(T54&gt;=$AC$4,T54&lt;=$AU$4),IF(""=IFERROR(INDEX(INDIRECT("Data!C"&amp;$K$5,FALSE),MATCH(T54,Data!$A:$A,0)),$BX$12),$BX$11,IFERROR(INDEX(INDIRECT("Data!C"&amp;$K$5,FALSE),MATCH(T54,Data!$A:$A,0)),$BX$12)),"-")</f>
        <v>17</v>
      </c>
      <c r="AD54" s="71">
        <f ca="1">IF(AND(U54&gt;=$AC$4,U54&lt;=$AU$4),IF(""=IFERROR(INDEX(INDIRECT("Data!C"&amp;$K$5,FALSE),MATCH(U54,Data!$A:$A,0)),$BX$12),$BX$11,IFERROR(INDEX(INDIRECT("Data!C"&amp;$K$5,FALSE),MATCH(U54,Data!$A:$A,0)),$BX$12)),"-")</f>
        <v>280</v>
      </c>
      <c r="AE54" s="71">
        <f ca="1">IF(AND(V54&gt;=$AC$4,V54&lt;=$AU$4),IF(""=IFERROR(INDEX(INDIRECT("Data!C"&amp;$K$5,FALSE),MATCH(V54,Data!$A:$A,0)),$BX$12),$BX$11,IFERROR(INDEX(INDIRECT("Data!C"&amp;$K$5,FALSE),MATCH(V54,Data!$A:$A,0)),$BX$12)),"-")</f>
        <v>274</v>
      </c>
      <c r="AF54" s="71">
        <f ca="1">IF(AND(W54&gt;=$AC$4,W54&lt;=$AU$4),IF(""=IFERROR(INDEX(INDIRECT("Data!C"&amp;$K$5,FALSE),MATCH(W54,Data!$A:$A,0)),$BX$12),$BX$11,IFERROR(INDEX(INDIRECT("Data!C"&amp;$K$5,FALSE),MATCH(W54,Data!$A:$A,0)),$BX$12)),"-")</f>
        <v>241</v>
      </c>
      <c r="AG54" s="71">
        <f ca="1">IF(AND(X54&gt;=$AC$4,X54&lt;=$AU$4),IF(""=IFERROR(INDEX(INDIRECT("Data!C"&amp;$K$5,FALSE),MATCH(X54,Data!$A:$A,0)),$BX$12),$BX$11,IFERROR(INDEX(INDIRECT("Data!C"&amp;$K$5,FALSE),MATCH(X54,Data!$A:$A,0)),$BX$12)),"-")</f>
        <v>144</v>
      </c>
      <c r="AH54" s="71">
        <f ca="1">IF(AND(Y54&gt;=$AC$4,Y54&lt;=$AU$4),IF(""=IFERROR(INDEX(INDIRECT("Data!C"&amp;$K$5,FALSE),MATCH(Y54,Data!$A:$A,0)),$BX$12),$BX$11,IFERROR(INDEX(INDIRECT("Data!C"&amp;$K$5,FALSE),MATCH(Y54,Data!$A:$A,0)),$BX$12)),"-")</f>
        <v>213</v>
      </c>
      <c r="AI54" s="71">
        <f ca="1">IF(AND(Z54&gt;=$AC$4,Z54&lt;=$AU$4),IF(""=IFERROR(INDEX(INDIRECT("Data!C"&amp;$K$5,FALSE),MATCH(Z54,Data!$A:$A,0)),$BX$12),$BX$11,IFERROR(INDEX(INDIRECT("Data!C"&amp;$K$5,FALSE),MATCH(Z54,Data!$A:$A,0)),$BX$12)),"-")</f>
        <v>76</v>
      </c>
      <c r="AJ54" s="7"/>
      <c r="AL54" s="34">
        <f t="shared" si="50"/>
        <v>41931</v>
      </c>
      <c r="AM54" s="34">
        <f t="shared" si="45"/>
        <v>41932</v>
      </c>
      <c r="AN54" s="34">
        <f t="shared" si="33"/>
        <v>41933</v>
      </c>
      <c r="AO54" s="34">
        <f t="shared" si="34"/>
        <v>41934</v>
      </c>
      <c r="AP54" s="34">
        <f t="shared" si="35"/>
        <v>41935</v>
      </c>
      <c r="AQ54" s="34">
        <f t="shared" si="36"/>
        <v>41936</v>
      </c>
      <c r="AR54" s="34">
        <f t="shared" si="37"/>
        <v>41937</v>
      </c>
      <c r="AT54" s="24" t="str">
        <f t="array" ref="AT54">IFERROR(IF(MATCH(8,DAY(AL54:AR54),0),AR54,""),"")</f>
        <v/>
      </c>
      <c r="AU54" s="71">
        <f ca="1">IF(AND(AL54&gt;=$AC$4,AL54&lt;=$AU$4),IF(""=IFERROR(INDEX(INDIRECT("Data!C"&amp;$K$5,FALSE),MATCH(AL54,Data!$A:$A,0)),$BX$12),$BX$11,IFERROR(INDEX(INDIRECT("Data!C"&amp;$K$5,FALSE),MATCH(AL54,Data!$A:$A,0)),$BX$12)),"-")</f>
        <v>32</v>
      </c>
      <c r="AV54" s="71">
        <f ca="1">IF(AND(AM54&gt;=$AC$4,AM54&lt;=$AU$4),IF(""=IFERROR(INDEX(INDIRECT("Data!C"&amp;$K$5,FALSE),MATCH(AM54,Data!$A:$A,0)),$BX$12),$BX$11,IFERROR(INDEX(INDIRECT("Data!C"&amp;$K$5,FALSE),MATCH(AM54,Data!$A:$A,0)),$BX$12)),"-")</f>
        <v>305</v>
      </c>
      <c r="AW54" s="71">
        <f ca="1">IF(AND(AN54&gt;=$AC$4,AN54&lt;=$AU$4),IF(""=IFERROR(INDEX(INDIRECT("Data!C"&amp;$K$5,FALSE),MATCH(AN54,Data!$A:$A,0)),$BX$12),$BX$11,IFERROR(INDEX(INDIRECT("Data!C"&amp;$K$5,FALSE),MATCH(AN54,Data!$A:$A,0)),$BX$12)),"-")</f>
        <v>353</v>
      </c>
      <c r="AX54" s="71">
        <f ca="1">IF(AND(AO54&gt;=$AC$4,AO54&lt;=$AU$4),IF(""=IFERROR(INDEX(INDIRECT("Data!C"&amp;$K$5,FALSE),MATCH(AO54,Data!$A:$A,0)),$BX$12),$BX$11,IFERROR(INDEX(INDIRECT("Data!C"&amp;$K$5,FALSE),MATCH(AO54,Data!$A:$A,0)),$BX$12)),"-")</f>
        <v>256</v>
      </c>
      <c r="AY54" s="71">
        <f ca="1">IF(AND(AP54&gt;=$AC$4,AP54&lt;=$AU$4),IF(""=IFERROR(INDEX(INDIRECT("Data!C"&amp;$K$5,FALSE),MATCH(AP54,Data!$A:$A,0)),$BX$12),$BX$11,IFERROR(INDEX(INDIRECT("Data!C"&amp;$K$5,FALSE),MATCH(AP54,Data!$A:$A,0)),$BX$12)),"-")</f>
        <v>281</v>
      </c>
      <c r="AZ54" s="71">
        <f ca="1">IF(AND(AQ54&gt;=$AC$4,AQ54&lt;=$AU$4),IF(""=IFERROR(INDEX(INDIRECT("Data!C"&amp;$K$5,FALSE),MATCH(AQ54,Data!$A:$A,0)),$BX$12),$BX$11,IFERROR(INDEX(INDIRECT("Data!C"&amp;$K$5,FALSE),MATCH(AQ54,Data!$A:$A,0)),$BX$12)),"-")</f>
        <v>215</v>
      </c>
      <c r="BA54" s="71">
        <f ca="1">IF(AND(AR54&gt;=$AC$4,AR54&lt;=$AU$4),IF(""=IFERROR(INDEX(INDIRECT("Data!C"&amp;$K$5,FALSE),MATCH(AR54,Data!$A:$A,0)),$BX$12),$BX$11,IFERROR(INDEX(INDIRECT("Data!C"&amp;$K$5,FALSE),MATCH(AR54,Data!$A:$A,0)),$BX$12)),"-")</f>
        <v>59</v>
      </c>
      <c r="BB54" s="7"/>
      <c r="BD54" s="34">
        <f t="shared" si="51"/>
        <v>42295</v>
      </c>
      <c r="BE54" s="34">
        <f t="shared" si="46"/>
        <v>42296</v>
      </c>
      <c r="BF54" s="34">
        <f t="shared" si="38"/>
        <v>42297</v>
      </c>
      <c r="BG54" s="34">
        <f t="shared" si="39"/>
        <v>42298</v>
      </c>
      <c r="BH54" s="34">
        <f t="shared" si="40"/>
        <v>42299</v>
      </c>
      <c r="BI54" s="34">
        <f t="shared" si="41"/>
        <v>42300</v>
      </c>
      <c r="BJ54" s="34">
        <f t="shared" si="42"/>
        <v>42301</v>
      </c>
      <c r="BL54" s="24" t="str">
        <f t="array" ref="BL54">IFERROR(IF(MATCH(8,DAY(BD54:BJ54),0),BJ54,""),"")</f>
        <v/>
      </c>
      <c r="BM54" s="71">
        <f ca="1">IF(AND(BD54&gt;=$AC$4,BD54&lt;=$AU$4),IF(""=IFERROR(INDEX(INDIRECT("Data!C"&amp;$K$5,FALSE),MATCH(BD54,Data!$A:$A,0)),$BX$12),$BX$11,IFERROR(INDEX(INDIRECT("Data!C"&amp;$K$5,FALSE),MATCH(BD54,Data!$A:$A,0)),$BX$12)),"-")</f>
        <v>40</v>
      </c>
      <c r="BN54" s="71">
        <f ca="1">IF(AND(BE54&gt;=$AC$4,BE54&lt;=$AU$4),IF(""=IFERROR(INDEX(INDIRECT("Data!C"&amp;$K$5,FALSE),MATCH(BE54,Data!$A:$A,0)),$BX$12),$BX$11,IFERROR(INDEX(INDIRECT("Data!C"&amp;$K$5,FALSE),MATCH(BE54,Data!$A:$A,0)),$BX$12)),"-")</f>
        <v>347</v>
      </c>
      <c r="BO54" s="71">
        <f ca="1">IF(AND(BF54&gt;=$AC$4,BF54&lt;=$AU$4),IF(""=IFERROR(INDEX(INDIRECT("Data!C"&amp;$K$5,FALSE),MATCH(BF54,Data!$A:$A,0)),$BX$12),$BX$11,IFERROR(INDEX(INDIRECT("Data!C"&amp;$K$5,FALSE),MATCH(BF54,Data!$A:$A,0)),$BX$12)),"-")</f>
        <v>375</v>
      </c>
      <c r="BP54" s="71">
        <f ca="1">IF(AND(BG54&gt;=$AC$4,BG54&lt;=$AU$4),IF(""=IFERROR(INDEX(INDIRECT("Data!C"&amp;$K$5,FALSE),MATCH(BG54,Data!$A:$A,0)),$BX$12),$BX$11,IFERROR(INDEX(INDIRECT("Data!C"&amp;$K$5,FALSE),MATCH(BG54,Data!$A:$A,0)),$BX$12)),"-")</f>
        <v>209</v>
      </c>
      <c r="BQ54" s="71">
        <f ca="1">IF(AND(BH54&gt;=$AC$4,BH54&lt;=$AU$4),IF(""=IFERROR(INDEX(INDIRECT("Data!C"&amp;$K$5,FALSE),MATCH(BH54,Data!$A:$A,0)),$BX$12),$BX$11,IFERROR(INDEX(INDIRECT("Data!C"&amp;$K$5,FALSE),MATCH(BH54,Data!$A:$A,0)),$BX$12)),"-")</f>
        <v>299</v>
      </c>
      <c r="BR54" s="71">
        <f ca="1">IF(AND(BI54&gt;=$AC$4,BI54&lt;=$AU$4),IF(""=IFERROR(INDEX(INDIRECT("Data!C"&amp;$K$5,FALSE),MATCH(BI54,Data!$A:$A,0)),$BX$12),$BX$11,IFERROR(INDEX(INDIRECT("Data!C"&amp;$K$5,FALSE),MATCH(BI54,Data!$A:$A,0)),$BX$12)),"-")</f>
        <v>214</v>
      </c>
      <c r="BS54" s="71">
        <f ca="1">IF(AND(BJ54&gt;=$AC$4,BJ54&lt;=$AU$4),IF(""=IFERROR(INDEX(INDIRECT("Data!C"&amp;$K$5,FALSE),MATCH(BJ54,Data!$A:$A,0)),$BX$12),$BX$11,IFERROR(INDEX(INDIRECT("Data!C"&amp;$K$5,FALSE),MATCH(BJ54,Data!$A:$A,0)),$BX$12)),"-")</f>
        <v>64</v>
      </c>
      <c r="BT54" s="7"/>
      <c r="BU54" s="58">
        <f t="shared" ca="1" si="47"/>
        <v>190.10714285714286</v>
      </c>
    </row>
    <row r="55" spans="2:73" ht="12" customHeight="1" x14ac:dyDescent="0.2">
      <c r="B55" s="34">
        <f t="shared" si="48"/>
        <v>41210</v>
      </c>
      <c r="C55" s="34">
        <f t="shared" si="53"/>
        <v>41211</v>
      </c>
      <c r="D55" s="34">
        <f t="shared" si="53"/>
        <v>41212</v>
      </c>
      <c r="E55" s="34">
        <f t="shared" si="53"/>
        <v>41213</v>
      </c>
      <c r="F55" s="34">
        <f t="shared" si="53"/>
        <v>41214</v>
      </c>
      <c r="G55" s="34">
        <f t="shared" si="53"/>
        <v>41215</v>
      </c>
      <c r="H55" s="34">
        <f t="shared" si="53"/>
        <v>41216</v>
      </c>
      <c r="J55" s="24" t="str">
        <f t="array" ref="J55">IFERROR(IF(MATCH(8,DAY(B55:H55),0),H55,""),"")</f>
        <v/>
      </c>
      <c r="K55" s="71">
        <f ca="1">IF(AND(B55&gt;=$AC$4,B55&lt;=$AU$4),IF(""=IFERROR(INDEX(INDIRECT("Data!C"&amp;$K$5,FALSE),MATCH(B55,Data!$A:$A,0)),$BX$12),$BX$11,IFERROR(INDEX(INDIRECT("Data!C"&amp;$K$5,FALSE),MATCH(B55,Data!$A:$A,0)),$BX$12)),"-")</f>
        <v>18</v>
      </c>
      <c r="L55" s="71">
        <f ca="1">IF(AND(C55&gt;=$AC$4,C55&lt;=$AU$4),IF(""=IFERROR(INDEX(INDIRECT("Data!C"&amp;$K$5,FALSE),MATCH(C55,Data!$A:$A,0)),$BX$12),$BX$11,IFERROR(INDEX(INDIRECT("Data!C"&amp;$K$5,FALSE),MATCH(C55,Data!$A:$A,0)),$BX$12)),"-")</f>
        <v>199</v>
      </c>
      <c r="M55" s="71">
        <f ca="1">IF(AND(D55&gt;=$AC$4,D55&lt;=$AU$4),IF(""=IFERROR(INDEX(INDIRECT("Data!C"&amp;$K$5,FALSE),MATCH(D55,Data!$A:$A,0)),$BX$12),$BX$11,IFERROR(INDEX(INDIRECT("Data!C"&amp;$K$5,FALSE),MATCH(D55,Data!$A:$A,0)),$BX$12)),"-")</f>
        <v>347</v>
      </c>
      <c r="N55" s="71">
        <f ca="1">IF(AND(E55&gt;=$AC$4,E55&lt;=$AU$4),IF(""=IFERROR(INDEX(INDIRECT("Data!C"&amp;$K$5,FALSE),MATCH(E55,Data!$A:$A,0)),$BX$12),$BX$11,IFERROR(INDEX(INDIRECT("Data!C"&amp;$K$5,FALSE),MATCH(E55,Data!$A:$A,0)),$BX$12)),"-")</f>
        <v>244</v>
      </c>
      <c r="O55" s="71">
        <f ca="1">IF(AND(F55&gt;=$AC$4,F55&lt;=$AU$4),IF(""=IFERROR(INDEX(INDIRECT("Data!C"&amp;$K$5,FALSE),MATCH(F55,Data!$A:$A,0)),$BX$12),$BX$11,IFERROR(INDEX(INDIRECT("Data!C"&amp;$K$5,FALSE),MATCH(F55,Data!$A:$A,0)),$BX$12)),"-")</f>
        <v>193</v>
      </c>
      <c r="P55" s="71">
        <f ca="1">IF(AND(G55&gt;=$AC$4,G55&lt;=$AU$4),IF(""=IFERROR(INDEX(INDIRECT("Data!C"&amp;$K$5,FALSE),MATCH(G55,Data!$A:$A,0)),$BX$12),$BX$11,IFERROR(INDEX(INDIRECT("Data!C"&amp;$K$5,FALSE),MATCH(G55,Data!$A:$A,0)),$BX$12)),"-")</f>
        <v>217</v>
      </c>
      <c r="Q55" s="71">
        <f ca="1">IF(AND(H55&gt;=$AC$4,H55&lt;=$AU$4),IF(""=IFERROR(INDEX(INDIRECT("Data!C"&amp;$K$5,FALSE),MATCH(H55,Data!$A:$A,0)),$BX$12),$BX$11,IFERROR(INDEX(INDIRECT("Data!C"&amp;$K$5,FALSE),MATCH(H55,Data!$A:$A,0)),$BX$12)),"-")</f>
        <v>64</v>
      </c>
      <c r="R55" s="7"/>
      <c r="T55" s="34">
        <f t="shared" si="49"/>
        <v>41574</v>
      </c>
      <c r="U55" s="34">
        <f t="shared" si="44"/>
        <v>41575</v>
      </c>
      <c r="V55" s="34">
        <f t="shared" si="28"/>
        <v>41576</v>
      </c>
      <c r="W55" s="34">
        <f t="shared" si="29"/>
        <v>41577</v>
      </c>
      <c r="X55" s="34">
        <f t="shared" si="30"/>
        <v>41578</v>
      </c>
      <c r="Y55" s="34">
        <f t="shared" si="31"/>
        <v>41579</v>
      </c>
      <c r="Z55" s="34">
        <f t="shared" si="32"/>
        <v>41580</v>
      </c>
      <c r="AB55" s="24" t="str">
        <f t="array" ref="AB55">IFERROR(IF(MATCH(8,DAY(T55:Z55),0),Z55,""),"")</f>
        <v/>
      </c>
      <c r="AC55" s="71">
        <f ca="1">IF(AND(T55&gt;=$AC$4,T55&lt;=$AU$4),IF(""=IFERROR(INDEX(INDIRECT("Data!C"&amp;$K$5,FALSE),MATCH(T55,Data!$A:$A,0)),$BX$12),$BX$11,IFERROR(INDEX(INDIRECT("Data!C"&amp;$K$5,FALSE),MATCH(T55,Data!$A:$A,0)),$BX$12)),"-")</f>
        <v>33</v>
      </c>
      <c r="AD55" s="71">
        <f ca="1">IF(AND(U55&gt;=$AC$4,U55&lt;=$AU$4),IF(""=IFERROR(INDEX(INDIRECT("Data!C"&amp;$K$5,FALSE),MATCH(U55,Data!$A:$A,0)),$BX$12),$BX$11,IFERROR(INDEX(INDIRECT("Data!C"&amp;$K$5,FALSE),MATCH(U55,Data!$A:$A,0)),$BX$12)),"-")</f>
        <v>335</v>
      </c>
      <c r="AE55" s="71">
        <f ca="1">IF(AND(V55&gt;=$AC$4,V55&lt;=$AU$4),IF(""=IFERROR(INDEX(INDIRECT("Data!C"&amp;$K$5,FALSE),MATCH(V55,Data!$A:$A,0)),$BX$12),$BX$11,IFERROR(INDEX(INDIRECT("Data!C"&amp;$K$5,FALSE),MATCH(V55,Data!$A:$A,0)),$BX$12)),"-")</f>
        <v>268</v>
      </c>
      <c r="AF55" s="71">
        <f ca="1">IF(AND(W55&gt;=$AC$4,W55&lt;=$AU$4),IF(""=IFERROR(INDEX(INDIRECT("Data!C"&amp;$K$5,FALSE),MATCH(W55,Data!$A:$A,0)),$BX$12),$BX$11,IFERROR(INDEX(INDIRECT("Data!C"&amp;$K$5,FALSE),MATCH(W55,Data!$A:$A,0)),$BX$12)),"-")</f>
        <v>214</v>
      </c>
      <c r="AG55" s="71">
        <f ca="1">IF(AND(X55&gt;=$AC$4,X55&lt;=$AU$4),IF(""=IFERROR(INDEX(INDIRECT("Data!C"&amp;$K$5,FALSE),MATCH(X55,Data!$A:$A,0)),$BX$12),$BX$11,IFERROR(INDEX(INDIRECT("Data!C"&amp;$K$5,FALSE),MATCH(X55,Data!$A:$A,0)),$BX$12)),"-")</f>
        <v>178</v>
      </c>
      <c r="AH55" s="71">
        <f ca="1">IF(AND(Y55&gt;=$AC$4,Y55&lt;=$AU$4),IF(""=IFERROR(INDEX(INDIRECT("Data!C"&amp;$K$5,FALSE),MATCH(Y55,Data!$A:$A,0)),$BX$12),$BX$11,IFERROR(INDEX(INDIRECT("Data!C"&amp;$K$5,FALSE),MATCH(Y55,Data!$A:$A,0)),$BX$12)),"-")</f>
        <v>254</v>
      </c>
      <c r="AI55" s="71">
        <f ca="1">IF(AND(Z55&gt;=$AC$4,Z55&lt;=$AU$4),IF(""=IFERROR(INDEX(INDIRECT("Data!C"&amp;$K$5,FALSE),MATCH(Z55,Data!$A:$A,0)),$BX$12),$BX$11,IFERROR(INDEX(INDIRECT("Data!C"&amp;$K$5,FALSE),MATCH(Z55,Data!$A:$A,0)),$BX$12)),"-")</f>
        <v>65</v>
      </c>
      <c r="AJ55" s="7"/>
      <c r="AL55" s="34">
        <f t="shared" si="50"/>
        <v>41938</v>
      </c>
      <c r="AM55" s="34">
        <f t="shared" si="45"/>
        <v>41939</v>
      </c>
      <c r="AN55" s="34">
        <f t="shared" si="33"/>
        <v>41940</v>
      </c>
      <c r="AO55" s="34">
        <f t="shared" si="34"/>
        <v>41941</v>
      </c>
      <c r="AP55" s="34">
        <f t="shared" si="35"/>
        <v>41942</v>
      </c>
      <c r="AQ55" s="34">
        <f t="shared" si="36"/>
        <v>41943</v>
      </c>
      <c r="AR55" s="34">
        <f t="shared" si="37"/>
        <v>41944</v>
      </c>
      <c r="AT55" s="24" t="str">
        <f t="array" ref="AT55">IFERROR(IF(MATCH(8,DAY(AL55:AR55),0),AR55,""),"")</f>
        <v/>
      </c>
      <c r="AU55" s="71">
        <f ca="1">IF(AND(AL55&gt;=$AC$4,AL55&lt;=$AU$4),IF(""=IFERROR(INDEX(INDIRECT("Data!C"&amp;$K$5,FALSE),MATCH(AL55,Data!$A:$A,0)),$BX$12),$BX$11,IFERROR(INDEX(INDIRECT("Data!C"&amp;$K$5,FALSE),MATCH(AL55,Data!$A:$A,0)),$BX$12)),"-")</f>
        <v>34</v>
      </c>
      <c r="AV55" s="71">
        <f ca="1">IF(AND(AM55&gt;=$AC$4,AM55&lt;=$AU$4),IF(""=IFERROR(INDEX(INDIRECT("Data!C"&amp;$K$5,FALSE),MATCH(AM55,Data!$A:$A,0)),$BX$12),$BX$11,IFERROR(INDEX(INDIRECT("Data!C"&amp;$K$5,FALSE),MATCH(AM55,Data!$A:$A,0)),$BX$12)),"-")</f>
        <v>335</v>
      </c>
      <c r="AW55" s="71">
        <f ca="1">IF(AND(AN55&gt;=$AC$4,AN55&lt;=$AU$4),IF(""=IFERROR(INDEX(INDIRECT("Data!C"&amp;$K$5,FALSE),MATCH(AN55,Data!$A:$A,0)),$BX$12),$BX$11,IFERROR(INDEX(INDIRECT("Data!C"&amp;$K$5,FALSE),MATCH(AN55,Data!$A:$A,0)),$BX$12)),"-")</f>
        <v>319</v>
      </c>
      <c r="AX55" s="71">
        <f ca="1">IF(AND(AO55&gt;=$AC$4,AO55&lt;=$AU$4),IF(""=IFERROR(INDEX(INDIRECT("Data!C"&amp;$K$5,FALSE),MATCH(AO55,Data!$A:$A,0)),$BX$12),$BX$11,IFERROR(INDEX(INDIRECT("Data!C"&amp;$K$5,FALSE),MATCH(AO55,Data!$A:$A,0)),$BX$12)),"-")</f>
        <v>237</v>
      </c>
      <c r="AY55" s="71">
        <f ca="1">IF(AND(AP55&gt;=$AC$4,AP55&lt;=$AU$4),IF(""=IFERROR(INDEX(INDIRECT("Data!C"&amp;$K$5,FALSE),MATCH(AP55,Data!$A:$A,0)),$BX$12),$BX$11,IFERROR(INDEX(INDIRECT("Data!C"&amp;$K$5,FALSE),MATCH(AP55,Data!$A:$A,0)),$BX$12)),"-")</f>
        <v>223</v>
      </c>
      <c r="AZ55" s="71">
        <f ca="1">IF(AND(AQ55&gt;=$AC$4,AQ55&lt;=$AU$4),IF(""=IFERROR(INDEX(INDIRECT("Data!C"&amp;$K$5,FALSE),MATCH(AQ55,Data!$A:$A,0)),$BX$12),$BX$11,IFERROR(INDEX(INDIRECT("Data!C"&amp;$K$5,FALSE),MATCH(AQ55,Data!$A:$A,0)),$BX$12)),"-")</f>
        <v>190</v>
      </c>
      <c r="BA55" s="71">
        <f ca="1">IF(AND(AR55&gt;=$AC$4,AR55&lt;=$AU$4),IF(""=IFERROR(INDEX(INDIRECT("Data!C"&amp;$K$5,FALSE),MATCH(AR55,Data!$A:$A,0)),$BX$12),$BX$11,IFERROR(INDEX(INDIRECT("Data!C"&amp;$K$5,FALSE),MATCH(AR55,Data!$A:$A,0)),$BX$12)),"-")</f>
        <v>54</v>
      </c>
      <c r="BB55" s="7"/>
      <c r="BD55" s="34">
        <f t="shared" si="51"/>
        <v>42302</v>
      </c>
      <c r="BE55" s="34">
        <f t="shared" si="46"/>
        <v>42303</v>
      </c>
      <c r="BF55" s="34">
        <f t="shared" si="38"/>
        <v>42304</v>
      </c>
      <c r="BG55" s="34">
        <f t="shared" si="39"/>
        <v>42305</v>
      </c>
      <c r="BH55" s="34">
        <f t="shared" si="40"/>
        <v>42306</v>
      </c>
      <c r="BI55" s="34">
        <f t="shared" si="41"/>
        <v>42307</v>
      </c>
      <c r="BJ55" s="34">
        <f t="shared" si="42"/>
        <v>42308</v>
      </c>
      <c r="BL55" s="24" t="str">
        <f t="array" ref="BL55">IFERROR(IF(MATCH(8,DAY(BD55:BJ55),0),BJ55,""),"")</f>
        <v/>
      </c>
      <c r="BM55" s="71">
        <f ca="1">IF(AND(BD55&gt;=$AC$4,BD55&lt;=$AU$4),IF(""=IFERROR(INDEX(INDIRECT("Data!C"&amp;$K$5,FALSE),MATCH(BD55,Data!$A:$A,0)),$BX$12),$BX$11,IFERROR(INDEX(INDIRECT("Data!C"&amp;$K$5,FALSE),MATCH(BD55,Data!$A:$A,0)),$BX$12)),"-")</f>
        <v>39</v>
      </c>
      <c r="BN55" s="71">
        <f ca="1">IF(AND(BE55&gt;=$AC$4,BE55&lt;=$AU$4),IF(""=IFERROR(INDEX(INDIRECT("Data!C"&amp;$K$5,FALSE),MATCH(BE55,Data!$A:$A,0)),$BX$12),$BX$11,IFERROR(INDEX(INDIRECT("Data!C"&amp;$K$5,FALSE),MATCH(BE55,Data!$A:$A,0)),$BX$12)),"-")</f>
        <v>407</v>
      </c>
      <c r="BO55" s="71">
        <f ca="1">IF(AND(BF55&gt;=$AC$4,BF55&lt;=$AU$4),IF(""=IFERROR(INDEX(INDIRECT("Data!C"&amp;$K$5,FALSE),MATCH(BF55,Data!$A:$A,0)),$BX$12),$BX$11,IFERROR(INDEX(INDIRECT("Data!C"&amp;$K$5,FALSE),MATCH(BF55,Data!$A:$A,0)),$BX$12)),"-")</f>
        <v>298</v>
      </c>
      <c r="BP55" s="71">
        <f ca="1">IF(AND(BG55&gt;=$AC$4,BG55&lt;=$AU$4),IF(""=IFERROR(INDEX(INDIRECT("Data!C"&amp;$K$5,FALSE),MATCH(BG55,Data!$A:$A,0)),$BX$12),$BX$11,IFERROR(INDEX(INDIRECT("Data!C"&amp;$K$5,FALSE),MATCH(BG55,Data!$A:$A,0)),$BX$12)),"-")</f>
        <v>361</v>
      </c>
      <c r="BQ55" s="71">
        <f ca="1">IF(AND(BH55&gt;=$AC$4,BH55&lt;=$AU$4),IF(""=IFERROR(INDEX(INDIRECT("Data!C"&amp;$K$5,FALSE),MATCH(BH55,Data!$A:$A,0)),$BX$12),$BX$11,IFERROR(INDEX(INDIRECT("Data!C"&amp;$K$5,FALSE),MATCH(BH55,Data!$A:$A,0)),$BX$12)),"-")</f>
        <v>237</v>
      </c>
      <c r="BR55" s="71">
        <f ca="1">IF(AND(BI55&gt;=$AC$4,BI55&lt;=$AU$4),IF(""=IFERROR(INDEX(INDIRECT("Data!C"&amp;$K$5,FALSE),MATCH(BI55,Data!$A:$A,0)),$BX$12),$BX$11,IFERROR(INDEX(INDIRECT("Data!C"&amp;$K$5,FALSE),MATCH(BI55,Data!$A:$A,0)),$BX$12)),"-")</f>
        <v>206</v>
      </c>
      <c r="BS55" s="71">
        <f ca="1">IF(AND(BJ55&gt;=$AC$4,BJ55&lt;=$AU$4),IF(""=IFERROR(INDEX(INDIRECT("Data!C"&amp;$K$5,FALSE),MATCH(BJ55,Data!$A:$A,0)),$BX$12),$BX$11,IFERROR(INDEX(INDIRECT("Data!C"&amp;$K$5,FALSE),MATCH(BJ55,Data!$A:$A,0)),$BX$12)),"-")</f>
        <v>76</v>
      </c>
      <c r="BT55" s="7"/>
      <c r="BU55" s="58">
        <f t="shared" ca="1" si="47"/>
        <v>201.60714285714286</v>
      </c>
    </row>
    <row r="56" spans="2:73" ht="12" customHeight="1" x14ac:dyDescent="0.2">
      <c r="B56" s="34">
        <f t="shared" si="48"/>
        <v>41217</v>
      </c>
      <c r="C56" s="34">
        <f t="shared" si="53"/>
        <v>41218</v>
      </c>
      <c r="D56" s="34">
        <f t="shared" si="53"/>
        <v>41219</v>
      </c>
      <c r="E56" s="34">
        <f t="shared" si="53"/>
        <v>41220</v>
      </c>
      <c r="F56" s="34">
        <f t="shared" si="53"/>
        <v>41221</v>
      </c>
      <c r="G56" s="34">
        <f t="shared" si="53"/>
        <v>41222</v>
      </c>
      <c r="H56" s="34">
        <f t="shared" si="53"/>
        <v>41223</v>
      </c>
      <c r="J56" s="24">
        <f t="array" ref="J56">IFERROR(IF(MATCH(8,DAY(B56:H56),0),H56,""),"")</f>
        <v>41223</v>
      </c>
      <c r="K56" s="71">
        <f ca="1">IF(AND(B56&gt;=$AC$4,B56&lt;=$AU$4),IF(""=IFERROR(INDEX(INDIRECT("Data!C"&amp;$K$5,FALSE),MATCH(B56,Data!$A:$A,0)),$BX$12),$BX$11,IFERROR(INDEX(INDIRECT("Data!C"&amp;$K$5,FALSE),MATCH(B56,Data!$A:$A,0)),$BX$12)),"-")</f>
        <v>41</v>
      </c>
      <c r="L56" s="71">
        <f ca="1">IF(AND(C56&gt;=$AC$4,C56&lt;=$AU$4),IF(""=IFERROR(INDEX(INDIRECT("Data!C"&amp;$K$5,FALSE),MATCH(C56,Data!$A:$A,0)),$BX$12),$BX$11,IFERROR(INDEX(INDIRECT("Data!C"&amp;$K$5,FALSE),MATCH(C56,Data!$A:$A,0)),$BX$12)),"-")</f>
        <v>260</v>
      </c>
      <c r="M56" s="71">
        <f ca="1">IF(AND(D56&gt;=$AC$4,D56&lt;=$AU$4),IF(""=IFERROR(INDEX(INDIRECT("Data!C"&amp;$K$5,FALSE),MATCH(D56,Data!$A:$A,0)),$BX$12),$BX$11,IFERROR(INDEX(INDIRECT("Data!C"&amp;$K$5,FALSE),MATCH(D56,Data!$A:$A,0)),$BX$12)),"-")</f>
        <v>226</v>
      </c>
      <c r="N56" s="71">
        <f ca="1">IF(AND(E56&gt;=$AC$4,E56&lt;=$AU$4),IF(""=IFERROR(INDEX(INDIRECT("Data!C"&amp;$K$5,FALSE),MATCH(E56,Data!$A:$A,0)),$BX$12),$BX$11,IFERROR(INDEX(INDIRECT("Data!C"&amp;$K$5,FALSE),MATCH(E56,Data!$A:$A,0)),$BX$12)),"-")</f>
        <v>271</v>
      </c>
      <c r="O56" s="71">
        <f ca="1">IF(AND(F56&gt;=$AC$4,F56&lt;=$AU$4),IF(""=IFERROR(INDEX(INDIRECT("Data!C"&amp;$K$5,FALSE),MATCH(F56,Data!$A:$A,0)),$BX$12),$BX$11,IFERROR(INDEX(INDIRECT("Data!C"&amp;$K$5,FALSE),MATCH(F56,Data!$A:$A,0)),$BX$12)),"-")</f>
        <v>286</v>
      </c>
      <c r="P56" s="71">
        <f ca="1">IF(AND(G56&gt;=$AC$4,G56&lt;=$AU$4),IF(""=IFERROR(INDEX(INDIRECT("Data!C"&amp;$K$5,FALSE),MATCH(G56,Data!$A:$A,0)),$BX$12),$BX$11,IFERROR(INDEX(INDIRECT("Data!C"&amp;$K$5,FALSE),MATCH(G56,Data!$A:$A,0)),$BX$12)),"-")</f>
        <v>172</v>
      </c>
      <c r="Q56" s="71">
        <f ca="1">IF(AND(H56&gt;=$AC$4,H56&lt;=$AU$4),IF(""=IFERROR(INDEX(INDIRECT("Data!C"&amp;$K$5,FALSE),MATCH(H56,Data!$A:$A,0)),$BX$12),$BX$11,IFERROR(INDEX(INDIRECT("Data!C"&amp;$K$5,FALSE),MATCH(H56,Data!$A:$A,0)),$BX$12)),"-")</f>
        <v>78</v>
      </c>
      <c r="R56" s="7"/>
      <c r="T56" s="34">
        <f t="shared" si="49"/>
        <v>41581</v>
      </c>
      <c r="U56" s="34">
        <f t="shared" si="44"/>
        <v>41582</v>
      </c>
      <c r="V56" s="34">
        <f t="shared" si="28"/>
        <v>41583</v>
      </c>
      <c r="W56" s="34">
        <f t="shared" si="29"/>
        <v>41584</v>
      </c>
      <c r="X56" s="34">
        <f t="shared" si="30"/>
        <v>41585</v>
      </c>
      <c r="Y56" s="34">
        <f t="shared" si="31"/>
        <v>41586</v>
      </c>
      <c r="Z56" s="34">
        <f t="shared" si="32"/>
        <v>41587</v>
      </c>
      <c r="AB56" s="24">
        <f t="array" ref="AB56">IFERROR(IF(MATCH(8,DAY(T56:Z56),0),Z56,""),"")</f>
        <v>41587</v>
      </c>
      <c r="AC56" s="71">
        <f ca="1">IF(AND(T56&gt;=$AC$4,T56&lt;=$AU$4),IF(""=IFERROR(INDEX(INDIRECT("Data!C"&amp;$K$5,FALSE),MATCH(T56,Data!$A:$A,0)),$BX$12),$BX$11,IFERROR(INDEX(INDIRECT("Data!C"&amp;$K$5,FALSE),MATCH(T56,Data!$A:$A,0)),$BX$12)),"-")</f>
        <v>36</v>
      </c>
      <c r="AD56" s="71">
        <f ca="1">IF(AND(U56&gt;=$AC$4,U56&lt;=$AU$4),IF(""=IFERROR(INDEX(INDIRECT("Data!C"&amp;$K$5,FALSE),MATCH(U56,Data!$A:$A,0)),$BX$12),$BX$11,IFERROR(INDEX(INDIRECT("Data!C"&amp;$K$5,FALSE),MATCH(U56,Data!$A:$A,0)),$BX$12)),"-")</f>
        <v>416</v>
      </c>
      <c r="AE56" s="71">
        <f ca="1">IF(AND(V56&gt;=$AC$4,V56&lt;=$AU$4),IF(""=IFERROR(INDEX(INDIRECT("Data!C"&amp;$K$5,FALSE),MATCH(V56,Data!$A:$A,0)),$BX$12),$BX$11,IFERROR(INDEX(INDIRECT("Data!C"&amp;$K$5,FALSE),MATCH(V56,Data!$A:$A,0)),$BX$12)),"-")</f>
        <v>365</v>
      </c>
      <c r="AF56" s="71">
        <f ca="1">IF(AND(W56&gt;=$AC$4,W56&lt;=$AU$4),IF(""=IFERROR(INDEX(INDIRECT("Data!C"&amp;$K$5,FALSE),MATCH(W56,Data!$A:$A,0)),$BX$12),$BX$11,IFERROR(INDEX(INDIRECT("Data!C"&amp;$K$5,FALSE),MATCH(W56,Data!$A:$A,0)),$BX$12)),"-")</f>
        <v>265</v>
      </c>
      <c r="AG56" s="71">
        <f ca="1">IF(AND(X56&gt;=$AC$4,X56&lt;=$AU$4),IF(""=IFERROR(INDEX(INDIRECT("Data!C"&amp;$K$5,FALSE),MATCH(X56,Data!$A:$A,0)),$BX$12),$BX$11,IFERROR(INDEX(INDIRECT("Data!C"&amp;$K$5,FALSE),MATCH(X56,Data!$A:$A,0)),$BX$12)),"-")</f>
        <v>270</v>
      </c>
      <c r="AH56" s="71">
        <f ca="1">IF(AND(Y56&gt;=$AC$4,Y56&lt;=$AU$4),IF(""=IFERROR(INDEX(INDIRECT("Data!C"&amp;$K$5,FALSE),MATCH(Y56,Data!$A:$A,0)),$BX$12),$BX$11,IFERROR(INDEX(INDIRECT("Data!C"&amp;$K$5,FALSE),MATCH(Y56,Data!$A:$A,0)),$BX$12)),"-")</f>
        <v>208</v>
      </c>
      <c r="AI56" s="71">
        <f ca="1">IF(AND(Z56&gt;=$AC$4,Z56&lt;=$AU$4),IF(""=IFERROR(INDEX(INDIRECT("Data!C"&amp;$K$5,FALSE),MATCH(Z56,Data!$A:$A,0)),$BX$12),$BX$11,IFERROR(INDEX(INDIRECT("Data!C"&amp;$K$5,FALSE),MATCH(Z56,Data!$A:$A,0)),$BX$12)),"-")</f>
        <v>87</v>
      </c>
      <c r="AJ56" s="7"/>
      <c r="AL56" s="34">
        <f t="shared" si="50"/>
        <v>41945</v>
      </c>
      <c r="AM56" s="34">
        <f t="shared" si="45"/>
        <v>41946</v>
      </c>
      <c r="AN56" s="34">
        <f t="shared" si="33"/>
        <v>41947</v>
      </c>
      <c r="AO56" s="34">
        <f t="shared" si="34"/>
        <v>41948</v>
      </c>
      <c r="AP56" s="34">
        <f t="shared" si="35"/>
        <v>41949</v>
      </c>
      <c r="AQ56" s="34">
        <f t="shared" si="36"/>
        <v>41950</v>
      </c>
      <c r="AR56" s="34">
        <f t="shared" si="37"/>
        <v>41951</v>
      </c>
      <c r="AT56" s="24">
        <f t="array" ref="AT56">IFERROR(IF(MATCH(8,DAY(AL56:AR56),0),AR56,""),"")</f>
        <v>41951</v>
      </c>
      <c r="AU56" s="71">
        <f ca="1">IF(AND(AL56&gt;=$AC$4,AL56&lt;=$AU$4),IF(""=IFERROR(INDEX(INDIRECT("Data!C"&amp;$K$5,FALSE),MATCH(AL56,Data!$A:$A,0)),$BX$12),$BX$11,IFERROR(INDEX(INDIRECT("Data!C"&amp;$K$5,FALSE),MATCH(AL56,Data!$A:$A,0)),$BX$12)),"-")</f>
        <v>29</v>
      </c>
      <c r="AV56" s="71">
        <f ca="1">IF(AND(AM56&gt;=$AC$4,AM56&lt;=$AU$4),IF(""=IFERROR(INDEX(INDIRECT("Data!C"&amp;$K$5,FALSE),MATCH(AM56,Data!$A:$A,0)),$BX$12),$BX$11,IFERROR(INDEX(INDIRECT("Data!C"&amp;$K$5,FALSE),MATCH(AM56,Data!$A:$A,0)),$BX$12)),"-")</f>
        <v>374</v>
      </c>
      <c r="AW56" s="71">
        <f ca="1">IF(AND(AN56&gt;=$AC$4,AN56&lt;=$AU$4),IF(""=IFERROR(INDEX(INDIRECT("Data!C"&amp;$K$5,FALSE),MATCH(AN56,Data!$A:$A,0)),$BX$12),$BX$11,IFERROR(INDEX(INDIRECT("Data!C"&amp;$K$5,FALSE),MATCH(AN56,Data!$A:$A,0)),$BX$12)),"-")</f>
        <v>406</v>
      </c>
      <c r="AX56" s="71">
        <f ca="1">IF(AND(AO56&gt;=$AC$4,AO56&lt;=$AU$4),IF(""=IFERROR(INDEX(INDIRECT("Data!C"&amp;$K$5,FALSE),MATCH(AO56,Data!$A:$A,0)),$BX$12),$BX$11,IFERROR(INDEX(INDIRECT("Data!C"&amp;$K$5,FALSE),MATCH(AO56,Data!$A:$A,0)),$BX$12)),"-")</f>
        <v>330</v>
      </c>
      <c r="AY56" s="71">
        <f ca="1">IF(AND(AP56&gt;=$AC$4,AP56&lt;=$AU$4),IF(""=IFERROR(INDEX(INDIRECT("Data!C"&amp;$K$5,FALSE),MATCH(AP56,Data!$A:$A,0)),$BX$12),$BX$11,IFERROR(INDEX(INDIRECT("Data!C"&amp;$K$5,FALSE),MATCH(AP56,Data!$A:$A,0)),$BX$12)),"-")</f>
        <v>317</v>
      </c>
      <c r="AZ56" s="71">
        <f ca="1">IF(AND(AQ56&gt;=$AC$4,AQ56&lt;=$AU$4),IF(""=IFERROR(INDEX(INDIRECT("Data!C"&amp;$K$5,FALSE),MATCH(AQ56,Data!$A:$A,0)),$BX$12),$BX$11,IFERROR(INDEX(INDIRECT("Data!C"&amp;$K$5,FALSE),MATCH(AQ56,Data!$A:$A,0)),$BX$12)),"-")</f>
        <v>238</v>
      </c>
      <c r="BA56" s="71">
        <f ca="1">IF(AND(AR56&gt;=$AC$4,AR56&lt;=$AU$4),IF(""=IFERROR(INDEX(INDIRECT("Data!C"&amp;$K$5,FALSE),MATCH(AR56,Data!$A:$A,0)),$BX$12),$BX$11,IFERROR(INDEX(INDIRECT("Data!C"&amp;$K$5,FALSE),MATCH(AR56,Data!$A:$A,0)),$BX$12)),"-")</f>
        <v>87</v>
      </c>
      <c r="BB56" s="7"/>
      <c r="BD56" s="34">
        <f t="shared" si="51"/>
        <v>42309</v>
      </c>
      <c r="BE56" s="34">
        <f t="shared" si="46"/>
        <v>42310</v>
      </c>
      <c r="BF56" s="34">
        <f t="shared" si="38"/>
        <v>42311</v>
      </c>
      <c r="BG56" s="34">
        <f t="shared" si="39"/>
        <v>42312</v>
      </c>
      <c r="BH56" s="34">
        <f t="shared" si="40"/>
        <v>42313</v>
      </c>
      <c r="BI56" s="34">
        <f t="shared" si="41"/>
        <v>42314</v>
      </c>
      <c r="BJ56" s="34">
        <f t="shared" si="42"/>
        <v>42315</v>
      </c>
      <c r="BL56" s="24" t="str">
        <f t="array" ref="BL56">IFERROR(IF(MATCH(8,DAY(BD56:BJ56),0),BJ56,""),"")</f>
        <v/>
      </c>
      <c r="BM56" s="71">
        <f ca="1">IF(AND(BD56&gt;=$AC$4,BD56&lt;=$AU$4),IF(""=IFERROR(INDEX(INDIRECT("Data!C"&amp;$K$5,FALSE),MATCH(BD56,Data!$A:$A,0)),$BX$12),$BX$11,IFERROR(INDEX(INDIRECT("Data!C"&amp;$K$5,FALSE),MATCH(BD56,Data!$A:$A,0)),$BX$12)),"-")</f>
        <v>31</v>
      </c>
      <c r="BN56" s="71">
        <f ca="1">IF(AND(BE56&gt;=$AC$4,BE56&lt;=$AU$4),IF(""=IFERROR(INDEX(INDIRECT("Data!C"&amp;$K$5,FALSE),MATCH(BE56,Data!$A:$A,0)),$BX$12),$BX$11,IFERROR(INDEX(INDIRECT("Data!C"&amp;$K$5,FALSE),MATCH(BE56,Data!$A:$A,0)),$BX$12)),"-")</f>
        <v>452</v>
      </c>
      <c r="BO56" s="71">
        <f ca="1">IF(AND(BF56&gt;=$AC$4,BF56&lt;=$AU$4),IF(""=IFERROR(INDEX(INDIRECT("Data!C"&amp;$K$5,FALSE),MATCH(BF56,Data!$A:$A,0)),$BX$12),$BX$11,IFERROR(INDEX(INDIRECT("Data!C"&amp;$K$5,FALSE),MATCH(BF56,Data!$A:$A,0)),$BX$12)),"-")</f>
        <v>320</v>
      </c>
      <c r="BP56" s="71">
        <f ca="1">IF(AND(BG56&gt;=$AC$4,BG56&lt;=$AU$4),IF(""=IFERROR(INDEX(INDIRECT("Data!C"&amp;$K$5,FALSE),MATCH(BG56,Data!$A:$A,0)),$BX$12),$BX$11,IFERROR(INDEX(INDIRECT("Data!C"&amp;$K$5,FALSE),MATCH(BG56,Data!$A:$A,0)),$BX$12)),"-")</f>
        <v>260</v>
      </c>
      <c r="BQ56" s="71">
        <f ca="1">IF(AND(BH56&gt;=$AC$4,BH56&lt;=$AU$4),IF(""=IFERROR(INDEX(INDIRECT("Data!C"&amp;$K$5,FALSE),MATCH(BH56,Data!$A:$A,0)),$BX$12),$BX$11,IFERROR(INDEX(INDIRECT("Data!C"&amp;$K$5,FALSE),MATCH(BH56,Data!$A:$A,0)),$BX$12)),"-")</f>
        <v>247</v>
      </c>
      <c r="BR56" s="71">
        <f ca="1">IF(AND(BI56&gt;=$AC$4,BI56&lt;=$AU$4),IF(""=IFERROR(INDEX(INDIRECT("Data!C"&amp;$K$5,FALSE),MATCH(BI56,Data!$A:$A,0)),$BX$12),$BX$11,IFERROR(INDEX(INDIRECT("Data!C"&amp;$K$5,FALSE),MATCH(BI56,Data!$A:$A,0)),$BX$12)),"-")</f>
        <v>293</v>
      </c>
      <c r="BS56" s="71">
        <f ca="1">IF(AND(BJ56&gt;=$AC$4,BJ56&lt;=$AU$4),IF(""=IFERROR(INDEX(INDIRECT("Data!C"&amp;$K$5,FALSE),MATCH(BJ56,Data!$A:$A,0)),$BX$12),$BX$11,IFERROR(INDEX(INDIRECT("Data!C"&amp;$K$5,FALSE),MATCH(BJ56,Data!$A:$A,0)),$BX$12)),"-")</f>
        <v>64</v>
      </c>
      <c r="BT56" s="7"/>
      <c r="BU56" s="58">
        <f t="shared" ca="1" si="47"/>
        <v>229.60714285714286</v>
      </c>
    </row>
    <row r="57" spans="2:73" ht="12" customHeight="1" x14ac:dyDescent="0.2">
      <c r="B57" s="34">
        <f t="shared" si="48"/>
        <v>41224</v>
      </c>
      <c r="C57" s="34">
        <f t="shared" si="53"/>
        <v>41225</v>
      </c>
      <c r="D57" s="34">
        <f t="shared" si="53"/>
        <v>41226</v>
      </c>
      <c r="E57" s="34">
        <f t="shared" si="53"/>
        <v>41227</v>
      </c>
      <c r="F57" s="34">
        <f t="shared" si="53"/>
        <v>41228</v>
      </c>
      <c r="G57" s="34">
        <f t="shared" si="53"/>
        <v>41229</v>
      </c>
      <c r="H57" s="34">
        <f t="shared" si="53"/>
        <v>41230</v>
      </c>
      <c r="J57" s="24" t="str">
        <f t="array" ref="J57">IFERROR(IF(MATCH(8,DAY(B57:H57),0),H57,""),"")</f>
        <v/>
      </c>
      <c r="K57" s="71">
        <f ca="1">IF(AND(B57&gt;=$AC$4,B57&lt;=$AU$4),IF(""=IFERROR(INDEX(INDIRECT("Data!C"&amp;$K$5,FALSE),MATCH(B57,Data!$A:$A,0)),$BX$12),$BX$11,IFERROR(INDEX(INDIRECT("Data!C"&amp;$K$5,FALSE),MATCH(B57,Data!$A:$A,0)),$BX$12)),"-")</f>
        <v>44</v>
      </c>
      <c r="L57" s="71">
        <f ca="1">IF(AND(C57&gt;=$AC$4,C57&lt;=$AU$4),IF(""=IFERROR(INDEX(INDIRECT("Data!C"&amp;$K$5,FALSE),MATCH(C57,Data!$A:$A,0)),$BX$12),$BX$11,IFERROR(INDEX(INDIRECT("Data!C"&amp;$K$5,FALSE),MATCH(C57,Data!$A:$A,0)),$BX$12)),"-")</f>
        <v>331</v>
      </c>
      <c r="M57" s="71">
        <f ca="1">IF(AND(D57&gt;=$AC$4,D57&lt;=$AU$4),IF(""=IFERROR(INDEX(INDIRECT("Data!C"&amp;$K$5,FALSE),MATCH(D57,Data!$A:$A,0)),$BX$12),$BX$11,IFERROR(INDEX(INDIRECT("Data!C"&amp;$K$5,FALSE),MATCH(D57,Data!$A:$A,0)),$BX$12)),"-")</f>
        <v>389</v>
      </c>
      <c r="N57" s="71">
        <f ca="1">IF(AND(E57&gt;=$AC$4,E57&lt;=$AU$4),IF(""=IFERROR(INDEX(INDIRECT("Data!C"&amp;$K$5,FALSE),MATCH(E57,Data!$A:$A,0)),$BX$12),$BX$11,IFERROR(INDEX(INDIRECT("Data!C"&amp;$K$5,FALSE),MATCH(E57,Data!$A:$A,0)),$BX$12)),"-")</f>
        <v>267</v>
      </c>
      <c r="O57" s="71">
        <f ca="1">IF(AND(F57&gt;=$AC$4,F57&lt;=$AU$4),IF(""=IFERROR(INDEX(INDIRECT("Data!C"&amp;$K$5,FALSE),MATCH(F57,Data!$A:$A,0)),$BX$12),$BX$11,IFERROR(INDEX(INDIRECT("Data!C"&amp;$K$5,FALSE),MATCH(F57,Data!$A:$A,0)),$BX$12)),"-")</f>
        <v>235</v>
      </c>
      <c r="P57" s="71">
        <f ca="1">IF(AND(G57&gt;=$AC$4,G57&lt;=$AU$4),IF(""=IFERROR(INDEX(INDIRECT("Data!C"&amp;$K$5,FALSE),MATCH(G57,Data!$A:$A,0)),$BX$12),$BX$11,IFERROR(INDEX(INDIRECT("Data!C"&amp;$K$5,FALSE),MATCH(G57,Data!$A:$A,0)),$BX$12)),"-")</f>
        <v>255</v>
      </c>
      <c r="Q57" s="71">
        <f ca="1">IF(AND(H57&gt;=$AC$4,H57&lt;=$AU$4),IF(""=IFERROR(INDEX(INDIRECT("Data!C"&amp;$K$5,FALSE),MATCH(H57,Data!$A:$A,0)),$BX$12),$BX$11,IFERROR(INDEX(INDIRECT("Data!C"&amp;$K$5,FALSE),MATCH(H57,Data!$A:$A,0)),$BX$12)),"-")</f>
        <v>61</v>
      </c>
      <c r="R57" s="7"/>
      <c r="T57" s="34">
        <f t="shared" si="49"/>
        <v>41588</v>
      </c>
      <c r="U57" s="34">
        <f t="shared" si="44"/>
        <v>41589</v>
      </c>
      <c r="V57" s="34">
        <f t="shared" si="28"/>
        <v>41590</v>
      </c>
      <c r="W57" s="34">
        <f t="shared" si="29"/>
        <v>41591</v>
      </c>
      <c r="X57" s="34">
        <f t="shared" si="30"/>
        <v>41592</v>
      </c>
      <c r="Y57" s="34">
        <f t="shared" si="31"/>
        <v>41593</v>
      </c>
      <c r="Z57" s="34">
        <f t="shared" si="32"/>
        <v>41594</v>
      </c>
      <c r="AB57" s="24" t="str">
        <f t="array" ref="AB57">IFERROR(IF(MATCH(8,DAY(T57:Z57),0),Z57,""),"")</f>
        <v/>
      </c>
      <c r="AC57" s="71">
        <f ca="1">IF(AND(T57&gt;=$AC$4,T57&lt;=$AU$4),IF(""=IFERROR(INDEX(INDIRECT("Data!C"&amp;$K$5,FALSE),MATCH(T57,Data!$A:$A,0)),$BX$12),$BX$11,IFERROR(INDEX(INDIRECT("Data!C"&amp;$K$5,FALSE),MATCH(T57,Data!$A:$A,0)),$BX$12)),"-")</f>
        <v>31</v>
      </c>
      <c r="AD57" s="71">
        <f ca="1">IF(AND(U57&gt;=$AC$4,U57&lt;=$AU$4),IF(""=IFERROR(INDEX(INDIRECT("Data!C"&amp;$K$5,FALSE),MATCH(U57,Data!$A:$A,0)),$BX$12),$BX$11,IFERROR(INDEX(INDIRECT("Data!C"&amp;$K$5,FALSE),MATCH(U57,Data!$A:$A,0)),$BX$12)),"-")</f>
        <v>371</v>
      </c>
      <c r="AE57" s="71">
        <f ca="1">IF(AND(V57&gt;=$AC$4,V57&lt;=$AU$4),IF(""=IFERROR(INDEX(INDIRECT("Data!C"&amp;$K$5,FALSE),MATCH(V57,Data!$A:$A,0)),$BX$12),$BX$11,IFERROR(INDEX(INDIRECT("Data!C"&amp;$K$5,FALSE),MATCH(V57,Data!$A:$A,0)),$BX$12)),"-")</f>
        <v>330</v>
      </c>
      <c r="AF57" s="71">
        <f ca="1">IF(AND(W57&gt;=$AC$4,W57&lt;=$AU$4),IF(""=IFERROR(INDEX(INDIRECT("Data!C"&amp;$K$5,FALSE),MATCH(W57,Data!$A:$A,0)),$BX$12),$BX$11,IFERROR(INDEX(INDIRECT("Data!C"&amp;$K$5,FALSE),MATCH(W57,Data!$A:$A,0)),$BX$12)),"-")</f>
        <v>273</v>
      </c>
      <c r="AG57" s="71">
        <f ca="1">IF(AND(X57&gt;=$AC$4,X57&lt;=$AU$4),IF(""=IFERROR(INDEX(INDIRECT("Data!C"&amp;$K$5,FALSE),MATCH(X57,Data!$A:$A,0)),$BX$12),$BX$11,IFERROR(INDEX(INDIRECT("Data!C"&amp;$K$5,FALSE),MATCH(X57,Data!$A:$A,0)),$BX$12)),"-")</f>
        <v>298</v>
      </c>
      <c r="AH57" s="71">
        <f ca="1">IF(AND(Y57&gt;=$AC$4,Y57&lt;=$AU$4),IF(""=IFERROR(INDEX(INDIRECT("Data!C"&amp;$K$5,FALSE),MATCH(Y57,Data!$A:$A,0)),$BX$12),$BX$11,IFERROR(INDEX(INDIRECT("Data!C"&amp;$K$5,FALSE),MATCH(Y57,Data!$A:$A,0)),$BX$12)),"-")</f>
        <v>189</v>
      </c>
      <c r="AI57" s="71">
        <f ca="1">IF(AND(Z57&gt;=$AC$4,Z57&lt;=$AU$4),IF(""=IFERROR(INDEX(INDIRECT("Data!C"&amp;$K$5,FALSE),MATCH(Z57,Data!$A:$A,0)),$BX$12),$BX$11,IFERROR(INDEX(INDIRECT("Data!C"&amp;$K$5,FALSE),MATCH(Z57,Data!$A:$A,0)),$BX$12)),"-")</f>
        <v>93</v>
      </c>
      <c r="AJ57" s="7"/>
      <c r="AL57" s="34">
        <f t="shared" si="50"/>
        <v>41952</v>
      </c>
      <c r="AM57" s="34">
        <f t="shared" si="45"/>
        <v>41953</v>
      </c>
      <c r="AN57" s="34">
        <f t="shared" si="33"/>
        <v>41954</v>
      </c>
      <c r="AO57" s="34">
        <f t="shared" si="34"/>
        <v>41955</v>
      </c>
      <c r="AP57" s="34">
        <f t="shared" si="35"/>
        <v>41956</v>
      </c>
      <c r="AQ57" s="34">
        <f t="shared" si="36"/>
        <v>41957</v>
      </c>
      <c r="AR57" s="34">
        <f t="shared" si="37"/>
        <v>41958</v>
      </c>
      <c r="AT57" s="24" t="str">
        <f t="array" ref="AT57">IFERROR(IF(MATCH(8,DAY(AL57:AR57),0),AR57,""),"")</f>
        <v/>
      </c>
      <c r="AU57" s="71">
        <f ca="1">IF(AND(AL57&gt;=$AC$4,AL57&lt;=$AU$4),IF(""=IFERROR(INDEX(INDIRECT("Data!C"&amp;$K$5,FALSE),MATCH(AL57,Data!$A:$A,0)),$BX$12),$BX$11,IFERROR(INDEX(INDIRECT("Data!C"&amp;$K$5,FALSE),MATCH(AL57,Data!$A:$A,0)),$BX$12)),"-")</f>
        <v>45</v>
      </c>
      <c r="AV57" s="71">
        <f ca="1">IF(AND(AM57&gt;=$AC$4,AM57&lt;=$AU$4),IF(""=IFERROR(INDEX(INDIRECT("Data!C"&amp;$K$5,FALSE),MATCH(AM57,Data!$A:$A,0)),$BX$12),$BX$11,IFERROR(INDEX(INDIRECT("Data!C"&amp;$K$5,FALSE),MATCH(AM57,Data!$A:$A,0)),$BX$12)),"-")</f>
        <v>301</v>
      </c>
      <c r="AW57" s="71">
        <f ca="1">IF(AND(AN57&gt;=$AC$4,AN57&lt;=$AU$4),IF(""=IFERROR(INDEX(INDIRECT("Data!C"&amp;$K$5,FALSE),MATCH(AN57,Data!$A:$A,0)),$BX$12),$BX$11,IFERROR(INDEX(INDIRECT("Data!C"&amp;$K$5,FALSE),MATCH(AN57,Data!$A:$A,0)),$BX$12)),"-")</f>
        <v>269</v>
      </c>
      <c r="AX57" s="71">
        <f ca="1">IF(AND(AO57&gt;=$AC$4,AO57&lt;=$AU$4),IF(""=IFERROR(INDEX(INDIRECT("Data!C"&amp;$K$5,FALSE),MATCH(AO57,Data!$A:$A,0)),$BX$12),$BX$11,IFERROR(INDEX(INDIRECT("Data!C"&amp;$K$5,FALSE),MATCH(AO57,Data!$A:$A,0)),$BX$12)),"-")</f>
        <v>242</v>
      </c>
      <c r="AY57" s="71">
        <f ca="1">IF(AND(AP57&gt;=$AC$4,AP57&lt;=$AU$4),IF(""=IFERROR(INDEX(INDIRECT("Data!C"&amp;$K$5,FALSE),MATCH(AP57,Data!$A:$A,0)),$BX$12),$BX$11,IFERROR(INDEX(INDIRECT("Data!C"&amp;$K$5,FALSE),MATCH(AP57,Data!$A:$A,0)),$BX$12)),"-")</f>
        <v>237</v>
      </c>
      <c r="AZ57" s="71">
        <f ca="1">IF(AND(AQ57&gt;=$AC$4,AQ57&lt;=$AU$4),IF(""=IFERROR(INDEX(INDIRECT("Data!C"&amp;$K$5,FALSE),MATCH(AQ57,Data!$A:$A,0)),$BX$12),$BX$11,IFERROR(INDEX(INDIRECT("Data!C"&amp;$K$5,FALSE),MATCH(AQ57,Data!$A:$A,0)),$BX$12)),"-")</f>
        <v>188</v>
      </c>
      <c r="BA57" s="71">
        <f ca="1">IF(AND(AR57&gt;=$AC$4,AR57&lt;=$AU$4),IF(""=IFERROR(INDEX(INDIRECT("Data!C"&amp;$K$5,FALSE),MATCH(AR57,Data!$A:$A,0)),$BX$12),$BX$11,IFERROR(INDEX(INDIRECT("Data!C"&amp;$K$5,FALSE),MATCH(AR57,Data!$A:$A,0)),$BX$12)),"-")</f>
        <v>62</v>
      </c>
      <c r="BB57" s="7"/>
      <c r="BD57" s="34">
        <f t="shared" si="51"/>
        <v>42316</v>
      </c>
      <c r="BE57" s="34">
        <f t="shared" si="46"/>
        <v>42317</v>
      </c>
      <c r="BF57" s="34">
        <f t="shared" si="38"/>
        <v>42318</v>
      </c>
      <c r="BG57" s="34">
        <f t="shared" si="39"/>
        <v>42319</v>
      </c>
      <c r="BH57" s="34">
        <f t="shared" si="40"/>
        <v>42320</v>
      </c>
      <c r="BI57" s="34">
        <f t="shared" si="41"/>
        <v>42321</v>
      </c>
      <c r="BJ57" s="34">
        <f t="shared" si="42"/>
        <v>42322</v>
      </c>
      <c r="BL57" s="24">
        <f t="array" ref="BL57">IFERROR(IF(MATCH(8,DAY(BD57:BJ57),0),BJ57,""),"")</f>
        <v>42322</v>
      </c>
      <c r="BM57" s="71">
        <f ca="1">IF(AND(BD57&gt;=$AC$4,BD57&lt;=$AU$4),IF(""=IFERROR(INDEX(INDIRECT("Data!C"&amp;$K$5,FALSE),MATCH(BD57,Data!$A:$A,0)),$BX$12),$BX$11,IFERROR(INDEX(INDIRECT("Data!C"&amp;$K$5,FALSE),MATCH(BD57,Data!$A:$A,0)),$BX$12)),"-")</f>
        <v>45</v>
      </c>
      <c r="BN57" s="71">
        <f ca="1">IF(AND(BE57&gt;=$AC$4,BE57&lt;=$AU$4),IF(""=IFERROR(INDEX(INDIRECT("Data!C"&amp;$K$5,FALSE),MATCH(BE57,Data!$A:$A,0)),$BX$12),$BX$11,IFERROR(INDEX(INDIRECT("Data!C"&amp;$K$5,FALSE),MATCH(BE57,Data!$A:$A,0)),$BX$12)),"-")</f>
        <v>311</v>
      </c>
      <c r="BO57" s="71">
        <f ca="1">IF(AND(BF57&gt;=$AC$4,BF57&lt;=$AU$4),IF(""=IFERROR(INDEX(INDIRECT("Data!C"&amp;$K$5,FALSE),MATCH(BF57,Data!$A:$A,0)),$BX$12),$BX$11,IFERROR(INDEX(INDIRECT("Data!C"&amp;$K$5,FALSE),MATCH(BF57,Data!$A:$A,0)),$BX$12)),"-")</f>
        <v>334</v>
      </c>
      <c r="BP57" s="71">
        <f ca="1">IF(AND(BG57&gt;=$AC$4,BG57&lt;=$AU$4),IF(""=IFERROR(INDEX(INDIRECT("Data!C"&amp;$K$5,FALSE),MATCH(BG57,Data!$A:$A,0)),$BX$12),$BX$11,IFERROR(INDEX(INDIRECT("Data!C"&amp;$K$5,FALSE),MATCH(BG57,Data!$A:$A,0)),$BX$12)),"-")</f>
        <v>379</v>
      </c>
      <c r="BQ57" s="71">
        <f ca="1">IF(AND(BH57&gt;=$AC$4,BH57&lt;=$AU$4),IF(""=IFERROR(INDEX(INDIRECT("Data!C"&amp;$K$5,FALSE),MATCH(BH57,Data!$A:$A,0)),$BX$12),$BX$11,IFERROR(INDEX(INDIRECT("Data!C"&amp;$K$5,FALSE),MATCH(BH57,Data!$A:$A,0)),$BX$12)),"-")</f>
        <v>210</v>
      </c>
      <c r="BR57" s="71">
        <f ca="1">IF(AND(BI57&gt;=$AC$4,BI57&lt;=$AU$4),IF(""=IFERROR(INDEX(INDIRECT("Data!C"&amp;$K$5,FALSE),MATCH(BI57,Data!$A:$A,0)),$BX$12),$BX$11,IFERROR(INDEX(INDIRECT("Data!C"&amp;$K$5,FALSE),MATCH(BI57,Data!$A:$A,0)),$BX$12)),"-")</f>
        <v>236</v>
      </c>
      <c r="BS57" s="71">
        <f ca="1">IF(AND(BJ57&gt;=$AC$4,BJ57&lt;=$AU$4),IF(""=IFERROR(INDEX(INDIRECT("Data!C"&amp;$K$5,FALSE),MATCH(BJ57,Data!$A:$A,0)),$BX$12),$BX$11,IFERROR(INDEX(INDIRECT("Data!C"&amp;$K$5,FALSE),MATCH(BJ57,Data!$A:$A,0)),$BX$12)),"-")</f>
        <v>64</v>
      </c>
      <c r="BT57" s="7"/>
      <c r="BU57" s="58">
        <f t="shared" ca="1" si="47"/>
        <v>217.5</v>
      </c>
    </row>
    <row r="58" spans="2:73" ht="12" customHeight="1" x14ac:dyDescent="0.2">
      <c r="B58" s="34">
        <f t="shared" si="48"/>
        <v>41231</v>
      </c>
      <c r="C58" s="34">
        <f t="shared" si="53"/>
        <v>41232</v>
      </c>
      <c r="D58" s="34">
        <f t="shared" si="53"/>
        <v>41233</v>
      </c>
      <c r="E58" s="34">
        <f t="shared" si="53"/>
        <v>41234</v>
      </c>
      <c r="F58" s="34">
        <f t="shared" si="53"/>
        <v>41235</v>
      </c>
      <c r="G58" s="34">
        <f t="shared" si="53"/>
        <v>41236</v>
      </c>
      <c r="H58" s="34">
        <f t="shared" si="53"/>
        <v>41237</v>
      </c>
      <c r="J58" s="24" t="str">
        <f t="array" ref="J58">IFERROR(IF(MATCH(8,DAY(B58:H58),0),H58,""),"")</f>
        <v/>
      </c>
      <c r="K58" s="71">
        <f ca="1">IF(AND(B58&gt;=$AC$4,B58&lt;=$AU$4),IF(""=IFERROR(INDEX(INDIRECT("Data!C"&amp;$K$5,FALSE),MATCH(B58,Data!$A:$A,0)),$BX$12),$BX$11,IFERROR(INDEX(INDIRECT("Data!C"&amp;$K$5,FALSE),MATCH(B58,Data!$A:$A,0)),$BX$12)),"-")</f>
        <v>42</v>
      </c>
      <c r="L58" s="71">
        <f ca="1">IF(AND(C58&gt;=$AC$4,C58&lt;=$AU$4),IF(""=IFERROR(INDEX(INDIRECT("Data!C"&amp;$K$5,FALSE),MATCH(C58,Data!$A:$A,0)),$BX$12),$BX$11,IFERROR(INDEX(INDIRECT("Data!C"&amp;$K$5,FALSE),MATCH(C58,Data!$A:$A,0)),$BX$12)),"-")</f>
        <v>353</v>
      </c>
      <c r="M58" s="71">
        <f ca="1">IF(AND(D58&gt;=$AC$4,D58&lt;=$AU$4),IF(""=IFERROR(INDEX(INDIRECT("Data!C"&amp;$K$5,FALSE),MATCH(D58,Data!$A:$A,0)),$BX$12),$BX$11,IFERROR(INDEX(INDIRECT("Data!C"&amp;$K$5,FALSE),MATCH(D58,Data!$A:$A,0)),$BX$12)),"-")</f>
        <v>431</v>
      </c>
      <c r="N58" s="71">
        <f ca="1">IF(AND(E58&gt;=$AC$4,E58&lt;=$AU$4),IF(""=IFERROR(INDEX(INDIRECT("Data!C"&amp;$K$5,FALSE),MATCH(E58,Data!$A:$A,0)),$BX$12),$BX$11,IFERROR(INDEX(INDIRECT("Data!C"&amp;$K$5,FALSE),MATCH(E58,Data!$A:$A,0)),$BX$12)),"-")</f>
        <v>372</v>
      </c>
      <c r="O58" s="71">
        <f ca="1">IF(AND(F58&gt;=$AC$4,F58&lt;=$AU$4),IF(""=IFERROR(INDEX(INDIRECT("Data!C"&amp;$K$5,FALSE),MATCH(F58,Data!$A:$A,0)),$BX$12),$BX$11,IFERROR(INDEX(INDIRECT("Data!C"&amp;$K$5,FALSE),MATCH(F58,Data!$A:$A,0)),$BX$12)),"-")</f>
        <v>254</v>
      </c>
      <c r="P58" s="71">
        <f ca="1">IF(AND(G58&gt;=$AC$4,G58&lt;=$AU$4),IF(""=IFERROR(INDEX(INDIRECT("Data!C"&amp;$K$5,FALSE),MATCH(G58,Data!$A:$A,0)),$BX$12),$BX$11,IFERROR(INDEX(INDIRECT("Data!C"&amp;$K$5,FALSE),MATCH(G58,Data!$A:$A,0)),$BX$12)),"-")</f>
        <v>295</v>
      </c>
      <c r="Q58" s="71">
        <f ca="1">IF(AND(H58&gt;=$AC$4,H58&lt;=$AU$4),IF(""=IFERROR(INDEX(INDIRECT("Data!C"&amp;$K$5,FALSE),MATCH(H58,Data!$A:$A,0)),$BX$12),$BX$11,IFERROR(INDEX(INDIRECT("Data!C"&amp;$K$5,FALSE),MATCH(H58,Data!$A:$A,0)),$BX$12)),"-")</f>
        <v>97</v>
      </c>
      <c r="R58" s="7"/>
      <c r="T58" s="34">
        <f t="shared" si="49"/>
        <v>41595</v>
      </c>
      <c r="U58" s="34">
        <f t="shared" si="44"/>
        <v>41596</v>
      </c>
      <c r="V58" s="34">
        <f t="shared" si="28"/>
        <v>41597</v>
      </c>
      <c r="W58" s="34">
        <f t="shared" si="29"/>
        <v>41598</v>
      </c>
      <c r="X58" s="34">
        <f t="shared" si="30"/>
        <v>41599</v>
      </c>
      <c r="Y58" s="34">
        <f t="shared" si="31"/>
        <v>41600</v>
      </c>
      <c r="Z58" s="34">
        <f t="shared" si="32"/>
        <v>41601</v>
      </c>
      <c r="AB58" s="24" t="str">
        <f t="array" ref="AB58">IFERROR(IF(MATCH(8,DAY(T58:Z58),0),Z58,""),"")</f>
        <v/>
      </c>
      <c r="AC58" s="71">
        <f ca="1">IF(AND(T58&gt;=$AC$4,T58&lt;=$AU$4),IF(""=IFERROR(INDEX(INDIRECT("Data!C"&amp;$K$5,FALSE),MATCH(T58,Data!$A:$A,0)),$BX$12),$BX$11,IFERROR(INDEX(INDIRECT("Data!C"&amp;$K$5,FALSE),MATCH(T58,Data!$A:$A,0)),$BX$12)),"-")</f>
        <v>47</v>
      </c>
      <c r="AD58" s="71">
        <f ca="1">IF(AND(U58&gt;=$AC$4,U58&lt;=$AU$4),IF(""=IFERROR(INDEX(INDIRECT("Data!C"&amp;$K$5,FALSE),MATCH(U58,Data!$A:$A,0)),$BX$12),$BX$11,IFERROR(INDEX(INDIRECT("Data!C"&amp;$K$5,FALSE),MATCH(U58,Data!$A:$A,0)),$BX$12)),"-")</f>
        <v>349</v>
      </c>
      <c r="AE58" s="71">
        <f ca="1">IF(AND(V58&gt;=$AC$4,V58&lt;=$AU$4),IF(""=IFERROR(INDEX(INDIRECT("Data!C"&amp;$K$5,FALSE),MATCH(V58,Data!$A:$A,0)),$BX$12),$BX$11,IFERROR(INDEX(INDIRECT("Data!C"&amp;$K$5,FALSE),MATCH(V58,Data!$A:$A,0)),$BX$12)),"-")</f>
        <v>283</v>
      </c>
      <c r="AF58" s="71">
        <f ca="1">IF(AND(W58&gt;=$AC$4,W58&lt;=$AU$4),IF(""=IFERROR(INDEX(INDIRECT("Data!C"&amp;$K$5,FALSE),MATCH(W58,Data!$A:$A,0)),$BX$12),$BX$11,IFERROR(INDEX(INDIRECT("Data!C"&amp;$K$5,FALSE),MATCH(W58,Data!$A:$A,0)),$BX$12)),"-")</f>
        <v>309</v>
      </c>
      <c r="AG58" s="71">
        <f ca="1">IF(AND(X58&gt;=$AC$4,X58&lt;=$AU$4),IF(""=IFERROR(INDEX(INDIRECT("Data!C"&amp;$K$5,FALSE),MATCH(X58,Data!$A:$A,0)),$BX$12),$BX$11,IFERROR(INDEX(INDIRECT("Data!C"&amp;$K$5,FALSE),MATCH(X58,Data!$A:$A,0)),$BX$12)),"-")</f>
        <v>212</v>
      </c>
      <c r="AH58" s="71">
        <f ca="1">IF(AND(Y58&gt;=$AC$4,Y58&lt;=$AU$4),IF(""=IFERROR(INDEX(INDIRECT("Data!C"&amp;$K$5,FALSE),MATCH(Y58,Data!$A:$A,0)),$BX$12),$BX$11,IFERROR(INDEX(INDIRECT("Data!C"&amp;$K$5,FALSE),MATCH(Y58,Data!$A:$A,0)),$BX$12)),"-")</f>
        <v>223</v>
      </c>
      <c r="AI58" s="71">
        <f ca="1">IF(AND(Z58&gt;=$AC$4,Z58&lt;=$AU$4),IF(""=IFERROR(INDEX(INDIRECT("Data!C"&amp;$K$5,FALSE),MATCH(Z58,Data!$A:$A,0)),$BX$12),$BX$11,IFERROR(INDEX(INDIRECT("Data!C"&amp;$K$5,FALSE),MATCH(Z58,Data!$A:$A,0)),$BX$12)),"-")</f>
        <v>62</v>
      </c>
      <c r="AJ58" s="7"/>
      <c r="AL58" s="34">
        <f t="shared" si="50"/>
        <v>41959</v>
      </c>
      <c r="AM58" s="34">
        <f t="shared" si="45"/>
        <v>41960</v>
      </c>
      <c r="AN58" s="34">
        <f t="shared" si="33"/>
        <v>41961</v>
      </c>
      <c r="AO58" s="34">
        <f t="shared" si="34"/>
        <v>41962</v>
      </c>
      <c r="AP58" s="34">
        <f t="shared" si="35"/>
        <v>41963</v>
      </c>
      <c r="AQ58" s="34">
        <f t="shared" si="36"/>
        <v>41964</v>
      </c>
      <c r="AR58" s="34">
        <f t="shared" si="37"/>
        <v>41965</v>
      </c>
      <c r="AT58" s="24" t="str">
        <f t="array" ref="AT58">IFERROR(IF(MATCH(8,DAY(AL58:AR58),0),AR58,""),"")</f>
        <v/>
      </c>
      <c r="AU58" s="71">
        <f ca="1">IF(AND(AL58&gt;=$AC$4,AL58&lt;=$AU$4),IF(""=IFERROR(INDEX(INDIRECT("Data!C"&amp;$K$5,FALSE),MATCH(AL58,Data!$A:$A,0)),$BX$12),$BX$11,IFERROR(INDEX(INDIRECT("Data!C"&amp;$K$5,FALSE),MATCH(AL58,Data!$A:$A,0)),$BX$12)),"-")</f>
        <v>48</v>
      </c>
      <c r="AV58" s="71">
        <f ca="1">IF(AND(AM58&gt;=$AC$4,AM58&lt;=$AU$4),IF(""=IFERROR(INDEX(INDIRECT("Data!C"&amp;$K$5,FALSE),MATCH(AM58,Data!$A:$A,0)),$BX$12),$BX$11,IFERROR(INDEX(INDIRECT("Data!C"&amp;$K$5,FALSE),MATCH(AM58,Data!$A:$A,0)),$BX$12)),"-")</f>
        <v>351</v>
      </c>
      <c r="AW58" s="71">
        <f ca="1">IF(AND(AN58&gt;=$AC$4,AN58&lt;=$AU$4),IF(""=IFERROR(INDEX(INDIRECT("Data!C"&amp;$K$5,FALSE),MATCH(AN58,Data!$A:$A,0)),$BX$12),$BX$11,IFERROR(INDEX(INDIRECT("Data!C"&amp;$K$5,FALSE),MATCH(AN58,Data!$A:$A,0)),$BX$12)),"-")</f>
        <v>359</v>
      </c>
      <c r="AX58" s="71">
        <f ca="1">IF(AND(AO58&gt;=$AC$4,AO58&lt;=$AU$4),IF(""=IFERROR(INDEX(INDIRECT("Data!C"&amp;$K$5,FALSE),MATCH(AO58,Data!$A:$A,0)),$BX$12),$BX$11,IFERROR(INDEX(INDIRECT("Data!C"&amp;$K$5,FALSE),MATCH(AO58,Data!$A:$A,0)),$BX$12)),"-")</f>
        <v>316</v>
      </c>
      <c r="AY58" s="71">
        <f ca="1">IF(AND(AP58&gt;=$AC$4,AP58&lt;=$AU$4),IF(""=IFERROR(INDEX(INDIRECT("Data!C"&amp;$K$5,FALSE),MATCH(AP58,Data!$A:$A,0)),$BX$12),$BX$11,IFERROR(INDEX(INDIRECT("Data!C"&amp;$K$5,FALSE),MATCH(AP58,Data!$A:$A,0)),$BX$12)),"-")</f>
        <v>207</v>
      </c>
      <c r="AZ58" s="71">
        <f ca="1">IF(AND(AQ58&gt;=$AC$4,AQ58&lt;=$AU$4),IF(""=IFERROR(INDEX(INDIRECT("Data!C"&amp;$K$5,FALSE),MATCH(AQ58,Data!$A:$A,0)),$BX$12),$BX$11,IFERROR(INDEX(INDIRECT("Data!C"&amp;$K$5,FALSE),MATCH(AQ58,Data!$A:$A,0)),$BX$12)),"-")</f>
        <v>261</v>
      </c>
      <c r="BA58" s="71">
        <f ca="1">IF(AND(AR58&gt;=$AC$4,AR58&lt;=$AU$4),IF(""=IFERROR(INDEX(INDIRECT("Data!C"&amp;$K$5,FALSE),MATCH(AR58,Data!$A:$A,0)),$BX$12),$BX$11,IFERROR(INDEX(INDIRECT("Data!C"&amp;$K$5,FALSE),MATCH(AR58,Data!$A:$A,0)),$BX$12)),"-")</f>
        <v>68</v>
      </c>
      <c r="BB58" s="7"/>
      <c r="BD58" s="34">
        <f t="shared" si="51"/>
        <v>42323</v>
      </c>
      <c r="BE58" s="34">
        <f t="shared" si="46"/>
        <v>42324</v>
      </c>
      <c r="BF58" s="34">
        <f t="shared" si="38"/>
        <v>42325</v>
      </c>
      <c r="BG58" s="34">
        <f t="shared" si="39"/>
        <v>42326</v>
      </c>
      <c r="BH58" s="34">
        <f t="shared" si="40"/>
        <v>42327</v>
      </c>
      <c r="BI58" s="34">
        <f t="shared" si="41"/>
        <v>42328</v>
      </c>
      <c r="BJ58" s="34">
        <f t="shared" si="42"/>
        <v>42329</v>
      </c>
      <c r="BL58" s="24" t="str">
        <f t="array" ref="BL58">IFERROR(IF(MATCH(8,DAY(BD58:BJ58),0),BJ58,""),"")</f>
        <v/>
      </c>
      <c r="BM58" s="71">
        <f ca="1">IF(AND(BD58&gt;=$AC$4,BD58&lt;=$AU$4),IF(""=IFERROR(INDEX(INDIRECT("Data!C"&amp;$K$5,FALSE),MATCH(BD58,Data!$A:$A,0)),$BX$12),$BX$11,IFERROR(INDEX(INDIRECT("Data!C"&amp;$K$5,FALSE),MATCH(BD58,Data!$A:$A,0)),$BX$12)),"-")</f>
        <v>36</v>
      </c>
      <c r="BN58" s="71">
        <f ca="1">IF(AND(BE58&gt;=$AC$4,BE58&lt;=$AU$4),IF(""=IFERROR(INDEX(INDIRECT("Data!C"&amp;$K$5,FALSE),MATCH(BE58,Data!$A:$A,0)),$BX$12),$BX$11,IFERROR(INDEX(INDIRECT("Data!C"&amp;$K$5,FALSE),MATCH(BE58,Data!$A:$A,0)),$BX$12)),"-")</f>
        <v>404</v>
      </c>
      <c r="BO58" s="71">
        <f ca="1">IF(AND(BF58&gt;=$AC$4,BF58&lt;=$AU$4),IF(""=IFERROR(INDEX(INDIRECT("Data!C"&amp;$K$5,FALSE),MATCH(BF58,Data!$A:$A,0)),$BX$12),$BX$11,IFERROR(INDEX(INDIRECT("Data!C"&amp;$K$5,FALSE),MATCH(BF58,Data!$A:$A,0)),$BX$12)),"-")</f>
        <v>292</v>
      </c>
      <c r="BP58" s="71">
        <f ca="1">IF(AND(BG58&gt;=$AC$4,BG58&lt;=$AU$4),IF(""=IFERROR(INDEX(INDIRECT("Data!C"&amp;$K$5,FALSE),MATCH(BG58,Data!$A:$A,0)),$BX$12),$BX$11,IFERROR(INDEX(INDIRECT("Data!C"&amp;$K$5,FALSE),MATCH(BG58,Data!$A:$A,0)),$BX$12)),"-")</f>
        <v>287</v>
      </c>
      <c r="BQ58" s="71">
        <f ca="1">IF(AND(BH58&gt;=$AC$4,BH58&lt;=$AU$4),IF(""=IFERROR(INDEX(INDIRECT("Data!C"&amp;$K$5,FALSE),MATCH(BH58,Data!$A:$A,0)),$BX$12),$BX$11,IFERROR(INDEX(INDIRECT("Data!C"&amp;$K$5,FALSE),MATCH(BH58,Data!$A:$A,0)),$BX$12)),"-")</f>
        <v>280</v>
      </c>
      <c r="BR58" s="71">
        <f ca="1">IF(AND(BI58&gt;=$AC$4,BI58&lt;=$AU$4),IF(""=IFERROR(INDEX(INDIRECT("Data!C"&amp;$K$5,FALSE),MATCH(BI58,Data!$A:$A,0)),$BX$12),$BX$11,IFERROR(INDEX(INDIRECT("Data!C"&amp;$K$5,FALSE),MATCH(BI58,Data!$A:$A,0)),$BX$12)),"-")</f>
        <v>170</v>
      </c>
      <c r="BS58" s="71">
        <f ca="1">IF(AND(BJ58&gt;=$AC$4,BJ58&lt;=$AU$4),IF(""=IFERROR(INDEX(INDIRECT("Data!C"&amp;$K$5,FALSE),MATCH(BJ58,Data!$A:$A,0)),$BX$12),$BX$11,IFERROR(INDEX(INDIRECT("Data!C"&amp;$K$5,FALSE),MATCH(BJ58,Data!$A:$A,0)),$BX$12)),"-")</f>
        <v>68</v>
      </c>
      <c r="BT58" s="7"/>
      <c r="BU58" s="58">
        <f t="shared" ca="1" si="47"/>
        <v>231.28571428571428</v>
      </c>
    </row>
    <row r="59" spans="2:73" ht="12" customHeight="1" x14ac:dyDescent="0.2">
      <c r="B59" s="34">
        <f t="shared" si="48"/>
        <v>41238</v>
      </c>
      <c r="C59" s="34">
        <f t="shared" si="53"/>
        <v>41239</v>
      </c>
      <c r="D59" s="34">
        <f t="shared" si="53"/>
        <v>41240</v>
      </c>
      <c r="E59" s="34">
        <f t="shared" si="53"/>
        <v>41241</v>
      </c>
      <c r="F59" s="34">
        <f t="shared" si="53"/>
        <v>41242</v>
      </c>
      <c r="G59" s="34">
        <f t="shared" si="53"/>
        <v>41243</v>
      </c>
      <c r="H59" s="34">
        <f t="shared" si="53"/>
        <v>41244</v>
      </c>
      <c r="J59" s="24" t="str">
        <f t="array" ref="J59">IFERROR(IF(MATCH(8,DAY(B59:H59),0),H59,""),"")</f>
        <v/>
      </c>
      <c r="K59" s="71">
        <f ca="1">IF(AND(B59&gt;=$AC$4,B59&lt;=$AU$4),IF(""=IFERROR(INDEX(INDIRECT("Data!C"&amp;$K$5,FALSE),MATCH(B59,Data!$A:$A,0)),$BX$12),$BX$11,IFERROR(INDEX(INDIRECT("Data!C"&amp;$K$5,FALSE),MATCH(B59,Data!$A:$A,0)),$BX$12)),"-")</f>
        <v>31</v>
      </c>
      <c r="L59" s="71">
        <f ca="1">IF(AND(C59&gt;=$AC$4,C59&lt;=$AU$4),IF(""=IFERROR(INDEX(INDIRECT("Data!C"&amp;$K$5,FALSE),MATCH(C59,Data!$A:$A,0)),$BX$12),$BX$11,IFERROR(INDEX(INDIRECT("Data!C"&amp;$K$5,FALSE),MATCH(C59,Data!$A:$A,0)),$BX$12)),"-")</f>
        <v>497</v>
      </c>
      <c r="M59" s="71">
        <f ca="1">IF(AND(D59&gt;=$AC$4,D59&lt;=$AU$4),IF(""=IFERROR(INDEX(INDIRECT("Data!C"&amp;$K$5,FALSE),MATCH(D59,Data!$A:$A,0)),$BX$12),$BX$11,IFERROR(INDEX(INDIRECT("Data!C"&amp;$K$5,FALSE),MATCH(D59,Data!$A:$A,0)),$BX$12)),"-")</f>
        <v>330</v>
      </c>
      <c r="N59" s="71">
        <f ca="1">IF(AND(E59&gt;=$AC$4,E59&lt;=$AU$4),IF(""=IFERROR(INDEX(INDIRECT("Data!C"&amp;$K$5,FALSE),MATCH(E59,Data!$A:$A,0)),$BX$12),$BX$11,IFERROR(INDEX(INDIRECT("Data!C"&amp;$K$5,FALSE),MATCH(E59,Data!$A:$A,0)),$BX$12)),"-")</f>
        <v>322</v>
      </c>
      <c r="O59" s="71">
        <f ca="1">IF(AND(F59&gt;=$AC$4,F59&lt;=$AU$4),IF(""=IFERROR(INDEX(INDIRECT("Data!C"&amp;$K$5,FALSE),MATCH(F59,Data!$A:$A,0)),$BX$12),$BX$11,IFERROR(INDEX(INDIRECT("Data!C"&amp;$K$5,FALSE),MATCH(F59,Data!$A:$A,0)),$BX$12)),"-")</f>
        <v>217</v>
      </c>
      <c r="P59" s="71">
        <f ca="1">IF(AND(G59&gt;=$AC$4,G59&lt;=$AU$4),IF(""=IFERROR(INDEX(INDIRECT("Data!C"&amp;$K$5,FALSE),MATCH(G59,Data!$A:$A,0)),$BX$12),$BX$11,IFERROR(INDEX(INDIRECT("Data!C"&amp;$K$5,FALSE),MATCH(G59,Data!$A:$A,0)),$BX$12)),"-")</f>
        <v>292</v>
      </c>
      <c r="Q59" s="71">
        <f ca="1">IF(AND(H59&gt;=$AC$4,H59&lt;=$AU$4),IF(""=IFERROR(INDEX(INDIRECT("Data!C"&amp;$K$5,FALSE),MATCH(H59,Data!$A:$A,0)),$BX$12),$BX$11,IFERROR(INDEX(INDIRECT("Data!C"&amp;$K$5,FALSE),MATCH(H59,Data!$A:$A,0)),$BX$12)),"-")</f>
        <v>57</v>
      </c>
      <c r="R59" s="7"/>
      <c r="T59" s="34">
        <f t="shared" si="49"/>
        <v>41602</v>
      </c>
      <c r="U59" s="34">
        <f t="shared" si="44"/>
        <v>41603</v>
      </c>
      <c r="V59" s="34">
        <f t="shared" si="28"/>
        <v>41604</v>
      </c>
      <c r="W59" s="34">
        <f t="shared" si="29"/>
        <v>41605</v>
      </c>
      <c r="X59" s="34">
        <f t="shared" si="30"/>
        <v>41606</v>
      </c>
      <c r="Y59" s="34">
        <f t="shared" si="31"/>
        <v>41607</v>
      </c>
      <c r="Z59" s="34">
        <f t="shared" si="32"/>
        <v>41608</v>
      </c>
      <c r="AB59" s="24" t="str">
        <f t="array" ref="AB59">IFERROR(IF(MATCH(8,DAY(T59:Z59),0),Z59,""),"")</f>
        <v/>
      </c>
      <c r="AC59" s="71">
        <f ca="1">IF(AND(T59&gt;=$AC$4,T59&lt;=$AU$4),IF(""=IFERROR(INDEX(INDIRECT("Data!C"&amp;$K$5,FALSE),MATCH(T59,Data!$A:$A,0)),$BX$12),$BX$11,IFERROR(INDEX(INDIRECT("Data!C"&amp;$K$5,FALSE),MATCH(T59,Data!$A:$A,0)),$BX$12)),"-")</f>
        <v>37</v>
      </c>
      <c r="AD59" s="71">
        <f ca="1">IF(AND(U59&gt;=$AC$4,U59&lt;=$AU$4),IF(""=IFERROR(INDEX(INDIRECT("Data!C"&amp;$K$5,FALSE),MATCH(U59,Data!$A:$A,0)),$BX$12),$BX$11,IFERROR(INDEX(INDIRECT("Data!C"&amp;$K$5,FALSE),MATCH(U59,Data!$A:$A,0)),$BX$12)),"-")</f>
        <v>415</v>
      </c>
      <c r="AE59" s="71">
        <f ca="1">IF(AND(V59&gt;=$AC$4,V59&lt;=$AU$4),IF(""=IFERROR(INDEX(INDIRECT("Data!C"&amp;$K$5,FALSE),MATCH(V59,Data!$A:$A,0)),$BX$12),$BX$11,IFERROR(INDEX(INDIRECT("Data!C"&amp;$K$5,FALSE),MATCH(V59,Data!$A:$A,0)),$BX$12)),"-")</f>
        <v>381</v>
      </c>
      <c r="AF59" s="71">
        <f ca="1">IF(AND(W59&gt;=$AC$4,W59&lt;=$AU$4),IF(""=IFERROR(INDEX(INDIRECT("Data!C"&amp;$K$5,FALSE),MATCH(W59,Data!$A:$A,0)),$BX$12),$BX$11,IFERROR(INDEX(INDIRECT("Data!C"&amp;$K$5,FALSE),MATCH(W59,Data!$A:$A,0)),$BX$12)),"-")</f>
        <v>251</v>
      </c>
      <c r="AG59" s="71">
        <f ca="1">IF(AND(X59&gt;=$AC$4,X59&lt;=$AU$4),IF(""=IFERROR(INDEX(INDIRECT("Data!C"&amp;$K$5,FALSE),MATCH(X59,Data!$A:$A,0)),$BX$12),$BX$11,IFERROR(INDEX(INDIRECT("Data!C"&amp;$K$5,FALSE),MATCH(X59,Data!$A:$A,0)),$BX$12)),"-")</f>
        <v>245</v>
      </c>
      <c r="AH59" s="71">
        <f ca="1">IF(AND(Y59&gt;=$AC$4,Y59&lt;=$AU$4),IF(""=IFERROR(INDEX(INDIRECT("Data!C"&amp;$K$5,FALSE),MATCH(Y59,Data!$A:$A,0)),$BX$12),$BX$11,IFERROR(INDEX(INDIRECT("Data!C"&amp;$K$5,FALSE),MATCH(Y59,Data!$A:$A,0)),$BX$12)),"-")</f>
        <v>165</v>
      </c>
      <c r="AI59" s="71">
        <f ca="1">IF(AND(Z59&gt;=$AC$4,Z59&lt;=$AU$4),IF(""=IFERROR(INDEX(INDIRECT("Data!C"&amp;$K$5,FALSE),MATCH(Z59,Data!$A:$A,0)),$BX$12),$BX$11,IFERROR(INDEX(INDIRECT("Data!C"&amp;$K$5,FALSE),MATCH(Z59,Data!$A:$A,0)),$BX$12)),"-")</f>
        <v>86</v>
      </c>
      <c r="AJ59" s="7"/>
      <c r="AL59" s="34">
        <f t="shared" si="50"/>
        <v>41966</v>
      </c>
      <c r="AM59" s="34">
        <f t="shared" si="45"/>
        <v>41967</v>
      </c>
      <c r="AN59" s="34">
        <f t="shared" si="33"/>
        <v>41968</v>
      </c>
      <c r="AO59" s="34">
        <f t="shared" si="34"/>
        <v>41969</v>
      </c>
      <c r="AP59" s="34">
        <f t="shared" si="35"/>
        <v>41970</v>
      </c>
      <c r="AQ59" s="34">
        <f t="shared" si="36"/>
        <v>41971</v>
      </c>
      <c r="AR59" s="34">
        <f t="shared" si="37"/>
        <v>41972</v>
      </c>
      <c r="AT59" s="24" t="str">
        <f t="array" ref="AT59">IFERROR(IF(MATCH(8,DAY(AL59:AR59),0),AR59,""),"")</f>
        <v/>
      </c>
      <c r="AU59" s="71">
        <f ca="1">IF(AND(AL59&gt;=$AC$4,AL59&lt;=$AU$4),IF(""=IFERROR(INDEX(INDIRECT("Data!C"&amp;$K$5,FALSE),MATCH(AL59,Data!$A:$A,0)),$BX$12),$BX$11,IFERROR(INDEX(INDIRECT("Data!C"&amp;$K$5,FALSE),MATCH(AL59,Data!$A:$A,0)),$BX$12)),"-")</f>
        <v>29</v>
      </c>
      <c r="AV59" s="71">
        <f ca="1">IF(AND(AM59&gt;=$AC$4,AM59&lt;=$AU$4),IF(""=IFERROR(INDEX(INDIRECT("Data!C"&amp;$K$5,FALSE),MATCH(AM59,Data!$A:$A,0)),$BX$12),$BX$11,IFERROR(INDEX(INDIRECT("Data!C"&amp;$K$5,FALSE),MATCH(AM59,Data!$A:$A,0)),$BX$12)),"-")</f>
        <v>367</v>
      </c>
      <c r="AW59" s="71">
        <f ca="1">IF(AND(AN59&gt;=$AC$4,AN59&lt;=$AU$4),IF(""=IFERROR(INDEX(INDIRECT("Data!C"&amp;$K$5,FALSE),MATCH(AN59,Data!$A:$A,0)),$BX$12),$BX$11,IFERROR(INDEX(INDIRECT("Data!C"&amp;$K$5,FALSE),MATCH(AN59,Data!$A:$A,0)),$BX$12)),"-")</f>
        <v>399</v>
      </c>
      <c r="AX59" s="71">
        <f ca="1">IF(AND(AO59&gt;=$AC$4,AO59&lt;=$AU$4),IF(""=IFERROR(INDEX(INDIRECT("Data!C"&amp;$K$5,FALSE),MATCH(AO59,Data!$A:$A,0)),$BX$12),$BX$11,IFERROR(INDEX(INDIRECT("Data!C"&amp;$K$5,FALSE),MATCH(AO59,Data!$A:$A,0)),$BX$12)),"-")</f>
        <v>347</v>
      </c>
      <c r="AY59" s="71">
        <f ca="1">IF(AND(AP59&gt;=$AC$4,AP59&lt;=$AU$4),IF(""=IFERROR(INDEX(INDIRECT("Data!C"&amp;$K$5,FALSE),MATCH(AP59,Data!$A:$A,0)),$BX$12),$BX$11,IFERROR(INDEX(INDIRECT("Data!C"&amp;$K$5,FALSE),MATCH(AP59,Data!$A:$A,0)),$BX$12)),"-")</f>
        <v>200</v>
      </c>
      <c r="AZ59" s="71">
        <f ca="1">IF(AND(AQ59&gt;=$AC$4,AQ59&lt;=$AU$4),IF(""=IFERROR(INDEX(INDIRECT("Data!C"&amp;$K$5,FALSE),MATCH(AQ59,Data!$A:$A,0)),$BX$12),$BX$11,IFERROR(INDEX(INDIRECT("Data!C"&amp;$K$5,FALSE),MATCH(AQ59,Data!$A:$A,0)),$BX$12)),"-")</f>
        <v>248</v>
      </c>
      <c r="BA59" s="71">
        <f ca="1">IF(AND(AR59&gt;=$AC$4,AR59&lt;=$AU$4),IF(""=IFERROR(INDEX(INDIRECT("Data!C"&amp;$K$5,FALSE),MATCH(AR59,Data!$A:$A,0)),$BX$12),$BX$11,IFERROR(INDEX(INDIRECT("Data!C"&amp;$K$5,FALSE),MATCH(AR59,Data!$A:$A,0)),$BX$12)),"-")</f>
        <v>79</v>
      </c>
      <c r="BB59" s="7"/>
      <c r="BD59" s="34">
        <f t="shared" si="51"/>
        <v>42330</v>
      </c>
      <c r="BE59" s="34">
        <f t="shared" si="46"/>
        <v>42331</v>
      </c>
      <c r="BF59" s="34">
        <f t="shared" si="38"/>
        <v>42332</v>
      </c>
      <c r="BG59" s="34">
        <f t="shared" si="39"/>
        <v>42333</v>
      </c>
      <c r="BH59" s="34">
        <f t="shared" si="40"/>
        <v>42334</v>
      </c>
      <c r="BI59" s="34">
        <f t="shared" si="41"/>
        <v>42335</v>
      </c>
      <c r="BJ59" s="34">
        <f t="shared" si="42"/>
        <v>42336</v>
      </c>
      <c r="BL59" s="24" t="str">
        <f t="array" ref="BL59">IFERROR(IF(MATCH(8,DAY(BD59:BJ59),0),BJ59,""),"")</f>
        <v/>
      </c>
      <c r="BM59" s="71">
        <f ca="1">IF(AND(BD59&gt;=$AC$4,BD59&lt;=$AU$4),IF(""=IFERROR(INDEX(INDIRECT("Data!C"&amp;$K$5,FALSE),MATCH(BD59,Data!$A:$A,0)),$BX$12),$BX$11,IFERROR(INDEX(INDIRECT("Data!C"&amp;$K$5,FALSE),MATCH(BD59,Data!$A:$A,0)),$BX$12)),"-")</f>
        <v>31</v>
      </c>
      <c r="BN59" s="71">
        <f ca="1">IF(AND(BE59&gt;=$AC$4,BE59&lt;=$AU$4),IF(""=IFERROR(INDEX(INDIRECT("Data!C"&amp;$K$5,FALSE),MATCH(BE59,Data!$A:$A,0)),$BX$12),$BX$11,IFERROR(INDEX(INDIRECT("Data!C"&amp;$K$5,FALSE),MATCH(BE59,Data!$A:$A,0)),$BX$12)),"-")</f>
        <v>410</v>
      </c>
      <c r="BO59" s="71">
        <f ca="1">IF(AND(BF59&gt;=$AC$4,BF59&lt;=$AU$4),IF(""=IFERROR(INDEX(INDIRECT("Data!C"&amp;$K$5,FALSE),MATCH(BF59,Data!$A:$A,0)),$BX$12),$BX$11,IFERROR(INDEX(INDIRECT("Data!C"&amp;$K$5,FALSE),MATCH(BF59,Data!$A:$A,0)),$BX$12)),"-")</f>
        <v>265</v>
      </c>
      <c r="BP59" s="71">
        <f ca="1">IF(AND(BG59&gt;=$AC$4,BG59&lt;=$AU$4),IF(""=IFERROR(INDEX(INDIRECT("Data!C"&amp;$K$5,FALSE),MATCH(BG59,Data!$A:$A,0)),$BX$12),$BX$11,IFERROR(INDEX(INDIRECT("Data!C"&amp;$K$5,FALSE),MATCH(BG59,Data!$A:$A,0)),$BX$12)),"-")</f>
        <v>238</v>
      </c>
      <c r="BQ59" s="71">
        <f ca="1">IF(AND(BH59&gt;=$AC$4,BH59&lt;=$AU$4),IF(""=IFERROR(INDEX(INDIRECT("Data!C"&amp;$K$5,FALSE),MATCH(BH59,Data!$A:$A,0)),$BX$12),$BX$11,IFERROR(INDEX(INDIRECT("Data!C"&amp;$K$5,FALSE),MATCH(BH59,Data!$A:$A,0)),$BX$12)),"-")</f>
        <v>226</v>
      </c>
      <c r="BR59" s="71">
        <f ca="1">IF(AND(BI59&gt;=$AC$4,BI59&lt;=$AU$4),IF(""=IFERROR(INDEX(INDIRECT("Data!C"&amp;$K$5,FALSE),MATCH(BI59,Data!$A:$A,0)),$BX$12),$BX$11,IFERROR(INDEX(INDIRECT("Data!C"&amp;$K$5,FALSE),MATCH(BI59,Data!$A:$A,0)),$BX$12)),"-")</f>
        <v>143</v>
      </c>
      <c r="BS59" s="71">
        <f ca="1">IF(AND(BJ59&gt;=$AC$4,BJ59&lt;=$AU$4),IF(""=IFERROR(INDEX(INDIRECT("Data!C"&amp;$K$5,FALSE),MATCH(BJ59,Data!$A:$A,0)),$BX$12),$BX$11,IFERROR(INDEX(INDIRECT("Data!C"&amp;$K$5,FALSE),MATCH(BJ59,Data!$A:$A,0)),$BX$12)),"-")</f>
        <v>81</v>
      </c>
      <c r="BT59" s="7"/>
      <c r="BU59" s="58">
        <f t="shared" ca="1" si="47"/>
        <v>228.17857142857142</v>
      </c>
    </row>
    <row r="60" spans="2:73" ht="12" customHeight="1" x14ac:dyDescent="0.2">
      <c r="B60" s="34">
        <f t="shared" si="48"/>
        <v>41245</v>
      </c>
      <c r="C60" s="34">
        <f t="shared" si="53"/>
        <v>41246</v>
      </c>
      <c r="D60" s="34">
        <f t="shared" si="53"/>
        <v>41247</v>
      </c>
      <c r="E60" s="34">
        <f t="shared" si="53"/>
        <v>41248</v>
      </c>
      <c r="F60" s="34">
        <f t="shared" si="53"/>
        <v>41249</v>
      </c>
      <c r="G60" s="34">
        <f t="shared" si="53"/>
        <v>41250</v>
      </c>
      <c r="H60" s="34">
        <f t="shared" si="53"/>
        <v>41251</v>
      </c>
      <c r="J60" s="24">
        <f t="array" ref="J60">IFERROR(IF(MATCH(8,DAY(B60:H60),0),H60,""),"")</f>
        <v>41251</v>
      </c>
      <c r="K60" s="71">
        <f ca="1">IF(AND(B60&gt;=$AC$4,B60&lt;=$AU$4),IF(""=IFERROR(INDEX(INDIRECT("Data!C"&amp;$K$5,FALSE),MATCH(B60,Data!$A:$A,0)),$BX$12),$BX$11,IFERROR(INDEX(INDIRECT("Data!C"&amp;$K$5,FALSE),MATCH(B60,Data!$A:$A,0)),$BX$12)),"-")</f>
        <v>39</v>
      </c>
      <c r="L60" s="71">
        <f ca="1">IF(AND(C60&gt;=$AC$4,C60&lt;=$AU$4),IF(""=IFERROR(INDEX(INDIRECT("Data!C"&amp;$K$5,FALSE),MATCH(C60,Data!$A:$A,0)),$BX$12),$BX$11,IFERROR(INDEX(INDIRECT("Data!C"&amp;$K$5,FALSE),MATCH(C60,Data!$A:$A,0)),$BX$12)),"-")</f>
        <v>347</v>
      </c>
      <c r="M60" s="71">
        <f ca="1">IF(AND(D60&gt;=$AC$4,D60&lt;=$AU$4),IF(""=IFERROR(INDEX(INDIRECT("Data!C"&amp;$K$5,FALSE),MATCH(D60,Data!$A:$A,0)),$BX$12),$BX$11,IFERROR(INDEX(INDIRECT("Data!C"&amp;$K$5,FALSE),MATCH(D60,Data!$A:$A,0)),$BX$12)),"-")</f>
        <v>343</v>
      </c>
      <c r="N60" s="71">
        <f ca="1">IF(AND(E60&gt;=$AC$4,E60&lt;=$AU$4),IF(""=IFERROR(INDEX(INDIRECT("Data!C"&amp;$K$5,FALSE),MATCH(E60,Data!$A:$A,0)),$BX$12),$BX$11,IFERROR(INDEX(INDIRECT("Data!C"&amp;$K$5,FALSE),MATCH(E60,Data!$A:$A,0)),$BX$12)),"-")</f>
        <v>340</v>
      </c>
      <c r="O60" s="71">
        <f ca="1">IF(AND(F60&gt;=$AC$4,F60&lt;=$AU$4),IF(""=IFERROR(INDEX(INDIRECT("Data!C"&amp;$K$5,FALSE),MATCH(F60,Data!$A:$A,0)),$BX$12),$BX$11,IFERROR(INDEX(INDIRECT("Data!C"&amp;$K$5,FALSE),MATCH(F60,Data!$A:$A,0)),$BX$12)),"-")</f>
        <v>255</v>
      </c>
      <c r="P60" s="71">
        <f ca="1">IF(AND(G60&gt;=$AC$4,G60&lt;=$AU$4),IF(""=IFERROR(INDEX(INDIRECT("Data!C"&amp;$K$5,FALSE),MATCH(G60,Data!$A:$A,0)),$BX$12),$BX$11,IFERROR(INDEX(INDIRECT("Data!C"&amp;$K$5,FALSE),MATCH(G60,Data!$A:$A,0)),$BX$12)),"-")</f>
        <v>205</v>
      </c>
      <c r="Q60" s="71">
        <f ca="1">IF(AND(H60&gt;=$AC$4,H60&lt;=$AU$4),IF(""=IFERROR(INDEX(INDIRECT("Data!C"&amp;$K$5,FALSE),MATCH(H60,Data!$A:$A,0)),$BX$12),$BX$11,IFERROR(INDEX(INDIRECT("Data!C"&amp;$K$5,FALSE),MATCH(H60,Data!$A:$A,0)),$BX$12)),"-")</f>
        <v>80</v>
      </c>
      <c r="R60" s="7"/>
      <c r="T60" s="34">
        <f t="shared" si="49"/>
        <v>41609</v>
      </c>
      <c r="U60" s="34">
        <f t="shared" si="44"/>
        <v>41610</v>
      </c>
      <c r="V60" s="34">
        <f t="shared" si="28"/>
        <v>41611</v>
      </c>
      <c r="W60" s="34">
        <f t="shared" si="29"/>
        <v>41612</v>
      </c>
      <c r="X60" s="34">
        <f t="shared" si="30"/>
        <v>41613</v>
      </c>
      <c r="Y60" s="34">
        <f t="shared" si="31"/>
        <v>41614</v>
      </c>
      <c r="Z60" s="34">
        <f t="shared" si="32"/>
        <v>41615</v>
      </c>
      <c r="AB60" s="24" t="str">
        <f t="array" ref="AB60">IFERROR(IF(MATCH(8,DAY(T60:Z60),0),Z60,""),"")</f>
        <v/>
      </c>
      <c r="AC60" s="71">
        <f ca="1">IF(AND(T60&gt;=$AC$4,T60&lt;=$AU$4),IF(""=IFERROR(INDEX(INDIRECT("Data!C"&amp;$K$5,FALSE),MATCH(T60,Data!$A:$A,0)),$BX$12),$BX$11,IFERROR(INDEX(INDIRECT("Data!C"&amp;$K$5,FALSE),MATCH(T60,Data!$A:$A,0)),$BX$12)),"-")</f>
        <v>30</v>
      </c>
      <c r="AD60" s="71">
        <f ca="1">IF(AND(U60&gt;=$AC$4,U60&lt;=$AU$4),IF(""=IFERROR(INDEX(INDIRECT("Data!C"&amp;$K$5,FALSE),MATCH(U60,Data!$A:$A,0)),$BX$12),$BX$11,IFERROR(INDEX(INDIRECT("Data!C"&amp;$K$5,FALSE),MATCH(U60,Data!$A:$A,0)),$BX$12)),"-")</f>
        <v>265</v>
      </c>
      <c r="AE60" s="71">
        <f ca="1">IF(AND(V60&gt;=$AC$4,V60&lt;=$AU$4),IF(""=IFERROR(INDEX(INDIRECT("Data!C"&amp;$K$5,FALSE),MATCH(V60,Data!$A:$A,0)),$BX$12),$BX$11,IFERROR(INDEX(INDIRECT("Data!C"&amp;$K$5,FALSE),MATCH(V60,Data!$A:$A,0)),$BX$12)),"-")</f>
        <v>278</v>
      </c>
      <c r="AF60" s="71">
        <f ca="1">IF(AND(W60&gt;=$AC$4,W60&lt;=$AU$4),IF(""=IFERROR(INDEX(INDIRECT("Data!C"&amp;$K$5,FALSE),MATCH(W60,Data!$A:$A,0)),$BX$12),$BX$11,IFERROR(INDEX(INDIRECT("Data!C"&amp;$K$5,FALSE),MATCH(W60,Data!$A:$A,0)),$BX$12)),"-")</f>
        <v>239</v>
      </c>
      <c r="AG60" s="71">
        <f ca="1">IF(AND(X60&gt;=$AC$4,X60&lt;=$AU$4),IF(""=IFERROR(INDEX(INDIRECT("Data!C"&amp;$K$5,FALSE),MATCH(X60,Data!$A:$A,0)),$BX$12),$BX$11,IFERROR(INDEX(INDIRECT("Data!C"&amp;$K$5,FALSE),MATCH(X60,Data!$A:$A,0)),$BX$12)),"-")</f>
        <v>279</v>
      </c>
      <c r="AH60" s="71">
        <f ca="1">IF(AND(Y60&gt;=$AC$4,Y60&lt;=$AU$4),IF(""=IFERROR(INDEX(INDIRECT("Data!C"&amp;$K$5,FALSE),MATCH(Y60,Data!$A:$A,0)),$BX$12),$BX$11,IFERROR(INDEX(INDIRECT("Data!C"&amp;$K$5,FALSE),MATCH(Y60,Data!$A:$A,0)),$BX$12)),"-")</f>
        <v>190</v>
      </c>
      <c r="AI60" s="71">
        <f ca="1">IF(AND(Z60&gt;=$AC$4,Z60&lt;=$AU$4),IF(""=IFERROR(INDEX(INDIRECT("Data!C"&amp;$K$5,FALSE),MATCH(Z60,Data!$A:$A,0)),$BX$12),$BX$11,IFERROR(INDEX(INDIRECT("Data!C"&amp;$K$5,FALSE),MATCH(Z60,Data!$A:$A,0)),$BX$12)),"-")</f>
        <v>52</v>
      </c>
      <c r="AJ60" s="7"/>
      <c r="AL60" s="34">
        <f t="shared" si="50"/>
        <v>41973</v>
      </c>
      <c r="AM60" s="34">
        <f t="shared" si="45"/>
        <v>41974</v>
      </c>
      <c r="AN60" s="34">
        <f t="shared" si="33"/>
        <v>41975</v>
      </c>
      <c r="AO60" s="34">
        <f t="shared" si="34"/>
        <v>41976</v>
      </c>
      <c r="AP60" s="34">
        <f t="shared" si="35"/>
        <v>41977</v>
      </c>
      <c r="AQ60" s="34">
        <f t="shared" si="36"/>
        <v>41978</v>
      </c>
      <c r="AR60" s="34">
        <f t="shared" si="37"/>
        <v>41979</v>
      </c>
      <c r="AT60" s="24" t="str">
        <f t="array" ref="AT60">IFERROR(IF(MATCH(8,DAY(AL60:AR60),0),AR60,""),"")</f>
        <v/>
      </c>
      <c r="AU60" s="71">
        <f ca="1">IF(AND(AL60&gt;=$AC$4,AL60&lt;=$AU$4),IF(""=IFERROR(INDEX(INDIRECT("Data!C"&amp;$K$5,FALSE),MATCH(AL60,Data!$A:$A,0)),$BX$12),$BX$11,IFERROR(INDEX(INDIRECT("Data!C"&amp;$K$5,FALSE),MATCH(AL60,Data!$A:$A,0)),$BX$12)),"-")</f>
        <v>36</v>
      </c>
      <c r="AV60" s="71">
        <f ca="1">IF(AND(AM60&gt;=$AC$4,AM60&lt;=$AU$4),IF(""=IFERROR(INDEX(INDIRECT("Data!C"&amp;$K$5,FALSE),MATCH(AM60,Data!$A:$A,0)),$BX$12),$BX$11,IFERROR(INDEX(INDIRECT("Data!C"&amp;$K$5,FALSE),MATCH(AM60,Data!$A:$A,0)),$BX$12)),"-")</f>
        <v>283</v>
      </c>
      <c r="AW60" s="71">
        <f ca="1">IF(AND(AN60&gt;=$AC$4,AN60&lt;=$AU$4),IF(""=IFERROR(INDEX(INDIRECT("Data!C"&amp;$K$5,FALSE),MATCH(AN60,Data!$A:$A,0)),$BX$12),$BX$11,IFERROR(INDEX(INDIRECT("Data!C"&amp;$K$5,FALSE),MATCH(AN60,Data!$A:$A,0)),$BX$12)),"-")</f>
        <v>364</v>
      </c>
      <c r="AX60" s="71">
        <f ca="1">IF(AND(AO60&gt;=$AC$4,AO60&lt;=$AU$4),IF(""=IFERROR(INDEX(INDIRECT("Data!C"&amp;$K$5,FALSE),MATCH(AO60,Data!$A:$A,0)),$BX$12),$BX$11,IFERROR(INDEX(INDIRECT("Data!C"&amp;$K$5,FALSE),MATCH(AO60,Data!$A:$A,0)),$BX$12)),"-")</f>
        <v>336</v>
      </c>
      <c r="AY60" s="71">
        <f ca="1">IF(AND(AP60&gt;=$AC$4,AP60&lt;=$AU$4),IF(""=IFERROR(INDEX(INDIRECT("Data!C"&amp;$K$5,FALSE),MATCH(AP60,Data!$A:$A,0)),$BX$12),$BX$11,IFERROR(INDEX(INDIRECT("Data!C"&amp;$K$5,FALSE),MATCH(AP60,Data!$A:$A,0)),$BX$12)),"-")</f>
        <v>278</v>
      </c>
      <c r="AZ60" s="71">
        <f ca="1">IF(AND(AQ60&gt;=$AC$4,AQ60&lt;=$AU$4),IF(""=IFERROR(INDEX(INDIRECT("Data!C"&amp;$K$5,FALSE),MATCH(AQ60,Data!$A:$A,0)),$BX$12),$BX$11,IFERROR(INDEX(INDIRECT("Data!C"&amp;$K$5,FALSE),MATCH(AQ60,Data!$A:$A,0)),$BX$12)),"-")</f>
        <v>176</v>
      </c>
      <c r="BA60" s="71">
        <f ca="1">IF(AND(AR60&gt;=$AC$4,AR60&lt;=$AU$4),IF(""=IFERROR(INDEX(INDIRECT("Data!C"&amp;$K$5,FALSE),MATCH(AR60,Data!$A:$A,0)),$BX$12),$BX$11,IFERROR(INDEX(INDIRECT("Data!C"&amp;$K$5,FALSE),MATCH(AR60,Data!$A:$A,0)),$BX$12)),"-")</f>
        <v>66</v>
      </c>
      <c r="BB60" s="7"/>
      <c r="BD60" s="34">
        <f t="shared" si="51"/>
        <v>42337</v>
      </c>
      <c r="BE60" s="34">
        <f t="shared" si="46"/>
        <v>42338</v>
      </c>
      <c r="BF60" s="34">
        <f t="shared" si="38"/>
        <v>42339</v>
      </c>
      <c r="BG60" s="34">
        <f t="shared" si="39"/>
        <v>42340</v>
      </c>
      <c r="BH60" s="34">
        <f t="shared" si="40"/>
        <v>42341</v>
      </c>
      <c r="BI60" s="34">
        <f t="shared" si="41"/>
        <v>42342</v>
      </c>
      <c r="BJ60" s="34">
        <f t="shared" si="42"/>
        <v>42343</v>
      </c>
      <c r="BL60" s="24" t="str">
        <f t="array" ref="BL60">IFERROR(IF(MATCH(8,DAY(BD60:BJ60),0),BJ60,""),"")</f>
        <v/>
      </c>
      <c r="BM60" s="71">
        <f ca="1">IF(AND(BD60&gt;=$AC$4,BD60&lt;=$AU$4),IF(""=IFERROR(INDEX(INDIRECT("Data!C"&amp;$K$5,FALSE),MATCH(BD60,Data!$A:$A,0)),$BX$12),$BX$11,IFERROR(INDEX(INDIRECT("Data!C"&amp;$K$5,FALSE),MATCH(BD60,Data!$A:$A,0)),$BX$12)),"-")</f>
        <v>26</v>
      </c>
      <c r="BN60" s="71">
        <f ca="1">IF(AND(BE60&gt;=$AC$4,BE60&lt;=$AU$4),IF(""=IFERROR(INDEX(INDIRECT("Data!C"&amp;$K$5,FALSE),MATCH(BE60,Data!$A:$A,0)),$BX$12),$BX$11,IFERROR(INDEX(INDIRECT("Data!C"&amp;$K$5,FALSE),MATCH(BE60,Data!$A:$A,0)),$BX$12)),"-")</f>
        <v>230</v>
      </c>
      <c r="BO60" s="71">
        <f ca="1">IF(AND(BF60&gt;=$AC$4,BF60&lt;=$AU$4),IF(""=IFERROR(INDEX(INDIRECT("Data!C"&amp;$K$5,FALSE),MATCH(BF60,Data!$A:$A,0)),$BX$12),$BX$11,IFERROR(INDEX(INDIRECT("Data!C"&amp;$K$5,FALSE),MATCH(BF60,Data!$A:$A,0)),$BX$12)),"-")</f>
        <v>343</v>
      </c>
      <c r="BP60" s="71">
        <f ca="1">IF(AND(BG60&gt;=$AC$4,BG60&lt;=$AU$4),IF(""=IFERROR(INDEX(INDIRECT("Data!C"&amp;$K$5,FALSE),MATCH(BG60,Data!$A:$A,0)),$BX$12),$BX$11,IFERROR(INDEX(INDIRECT("Data!C"&amp;$K$5,FALSE),MATCH(BG60,Data!$A:$A,0)),$BX$12)),"-")</f>
        <v>195</v>
      </c>
      <c r="BQ60" s="71">
        <f ca="1">IF(AND(BH60&gt;=$AC$4,BH60&lt;=$AU$4),IF(""=IFERROR(INDEX(INDIRECT("Data!C"&amp;$K$5,FALSE),MATCH(BH60,Data!$A:$A,0)),$BX$12),$BX$11,IFERROR(INDEX(INDIRECT("Data!C"&amp;$K$5,FALSE),MATCH(BH60,Data!$A:$A,0)),$BX$12)),"-")</f>
        <v>154</v>
      </c>
      <c r="BR60" s="71">
        <f ca="1">IF(AND(BI60&gt;=$AC$4,BI60&lt;=$AU$4),IF(""=IFERROR(INDEX(INDIRECT("Data!C"&amp;$K$5,FALSE),MATCH(BI60,Data!$A:$A,0)),$BX$12),$BX$11,IFERROR(INDEX(INDIRECT("Data!C"&amp;$K$5,FALSE),MATCH(BI60,Data!$A:$A,0)),$BX$12)),"-")</f>
        <v>171</v>
      </c>
      <c r="BS60" s="71">
        <f ca="1">IF(AND(BJ60&gt;=$AC$4,BJ60&lt;=$AU$4),IF(""=IFERROR(INDEX(INDIRECT("Data!C"&amp;$K$5,FALSE),MATCH(BJ60,Data!$A:$A,0)),$BX$12),$BX$11,IFERROR(INDEX(INDIRECT("Data!C"&amp;$K$5,FALSE),MATCH(BJ60,Data!$A:$A,0)),$BX$12)),"-")</f>
        <v>65</v>
      </c>
      <c r="BT60" s="7"/>
      <c r="BU60" s="58">
        <f t="shared" ca="1" si="47"/>
        <v>202.32142857142858</v>
      </c>
    </row>
    <row r="61" spans="2:73" ht="12" customHeight="1" x14ac:dyDescent="0.2">
      <c r="B61" s="34">
        <f t="shared" si="48"/>
        <v>41252</v>
      </c>
      <c r="C61" s="34">
        <f t="shared" ref="C61:H64" si="54">B61+1</f>
        <v>41253</v>
      </c>
      <c r="D61" s="34">
        <f t="shared" si="54"/>
        <v>41254</v>
      </c>
      <c r="E61" s="34">
        <f t="shared" si="54"/>
        <v>41255</v>
      </c>
      <c r="F61" s="34">
        <f t="shared" si="54"/>
        <v>41256</v>
      </c>
      <c r="G61" s="34">
        <f t="shared" si="54"/>
        <v>41257</v>
      </c>
      <c r="H61" s="34">
        <f t="shared" si="54"/>
        <v>41258</v>
      </c>
      <c r="J61" s="24" t="str">
        <f t="array" ref="J61">IFERROR(IF(MATCH(8,DAY(B61:H61),0),H61,""),"")</f>
        <v/>
      </c>
      <c r="K61" s="71">
        <f ca="1">IF(AND(B61&gt;=$AC$4,B61&lt;=$AU$4),IF(""=IFERROR(INDEX(INDIRECT("Data!C"&amp;$K$5,FALSE),MATCH(B61,Data!$A:$A,0)),$BX$12),$BX$11,IFERROR(INDEX(INDIRECT("Data!C"&amp;$K$5,FALSE),MATCH(B61,Data!$A:$A,0)),$BX$12)),"-")</f>
        <v>43</v>
      </c>
      <c r="L61" s="71">
        <f ca="1">IF(AND(C61&gt;=$AC$4,C61&lt;=$AU$4),IF(""=IFERROR(INDEX(INDIRECT("Data!C"&amp;$K$5,FALSE),MATCH(C61,Data!$A:$A,0)),$BX$12),$BX$11,IFERROR(INDEX(INDIRECT("Data!C"&amp;$K$5,FALSE),MATCH(C61,Data!$A:$A,0)),$BX$12)),"-")</f>
        <v>260</v>
      </c>
      <c r="M61" s="71">
        <f ca="1">IF(AND(D61&gt;=$AC$4,D61&lt;=$AU$4),IF(""=IFERROR(INDEX(INDIRECT("Data!C"&amp;$K$5,FALSE),MATCH(D61,Data!$A:$A,0)),$BX$12),$BX$11,IFERROR(INDEX(INDIRECT("Data!C"&amp;$K$5,FALSE),MATCH(D61,Data!$A:$A,0)),$BX$12)),"-")</f>
        <v>226</v>
      </c>
      <c r="N61" s="71">
        <f ca="1">IF(AND(E61&gt;=$AC$4,E61&lt;=$AU$4),IF(""=IFERROR(INDEX(INDIRECT("Data!C"&amp;$K$5,FALSE),MATCH(E61,Data!$A:$A,0)),$BX$12),$BX$11,IFERROR(INDEX(INDIRECT("Data!C"&amp;$K$5,FALSE),MATCH(E61,Data!$A:$A,0)),$BX$12)),"-")</f>
        <v>250</v>
      </c>
      <c r="O61" s="71">
        <f ca="1">IF(AND(F61&gt;=$AC$4,F61&lt;=$AU$4),IF(""=IFERROR(INDEX(INDIRECT("Data!C"&amp;$K$5,FALSE),MATCH(F61,Data!$A:$A,0)),$BX$12),$BX$11,IFERROR(INDEX(INDIRECT("Data!C"&amp;$K$5,FALSE),MATCH(F61,Data!$A:$A,0)),$BX$12)),"-")</f>
        <v>270</v>
      </c>
      <c r="P61" s="71">
        <f ca="1">IF(AND(G61&gt;=$AC$4,G61&lt;=$AU$4),IF(""=IFERROR(INDEX(INDIRECT("Data!C"&amp;$K$5,FALSE),MATCH(G61,Data!$A:$A,0)),$BX$12),$BX$11,IFERROR(INDEX(INDIRECT("Data!C"&amp;$K$5,FALSE),MATCH(G61,Data!$A:$A,0)),$BX$12)),"-")</f>
        <v>185</v>
      </c>
      <c r="Q61" s="71">
        <f ca="1">IF(AND(H61&gt;=$AC$4,H61&lt;=$AU$4),IF(""=IFERROR(INDEX(INDIRECT("Data!C"&amp;$K$5,FALSE),MATCH(H61,Data!$A:$A,0)),$BX$12),$BX$11,IFERROR(INDEX(INDIRECT("Data!C"&amp;$K$5,FALSE),MATCH(H61,Data!$A:$A,0)),$BX$12)),"-")</f>
        <v>44</v>
      </c>
      <c r="R61" s="7"/>
      <c r="T61" s="34">
        <f t="shared" si="49"/>
        <v>41616</v>
      </c>
      <c r="U61" s="34">
        <f t="shared" si="44"/>
        <v>41617</v>
      </c>
      <c r="V61" s="34">
        <f t="shared" si="28"/>
        <v>41618</v>
      </c>
      <c r="W61" s="34">
        <f t="shared" si="29"/>
        <v>41619</v>
      </c>
      <c r="X61" s="34">
        <f t="shared" si="30"/>
        <v>41620</v>
      </c>
      <c r="Y61" s="34">
        <f t="shared" si="31"/>
        <v>41621</v>
      </c>
      <c r="Z61" s="34">
        <f t="shared" si="32"/>
        <v>41622</v>
      </c>
      <c r="AB61" s="24">
        <f t="array" ref="AB61">IFERROR(IF(MATCH(8,DAY(T61:Z61),0),Z61,""),"")</f>
        <v>41622</v>
      </c>
      <c r="AC61" s="71">
        <f ca="1">IF(AND(T61&gt;=$AC$4,T61&lt;=$AU$4),IF(""=IFERROR(INDEX(INDIRECT("Data!C"&amp;$K$5,FALSE),MATCH(T61,Data!$A:$A,0)),$BX$12),$BX$11,IFERROR(INDEX(INDIRECT("Data!C"&amp;$K$5,FALSE),MATCH(T61,Data!$A:$A,0)),$BX$12)),"-")</f>
        <v>28</v>
      </c>
      <c r="AD61" s="71">
        <f ca="1">IF(AND(U61&gt;=$AC$4,U61&lt;=$AU$4),IF(""=IFERROR(INDEX(INDIRECT("Data!C"&amp;$K$5,FALSE),MATCH(U61,Data!$A:$A,0)),$BX$12),$BX$11,IFERROR(INDEX(INDIRECT("Data!C"&amp;$K$5,FALSE),MATCH(U61,Data!$A:$A,0)),$BX$12)),"-")</f>
        <v>292</v>
      </c>
      <c r="AE61" s="71">
        <f ca="1">IF(AND(V61&gt;=$AC$4,V61&lt;=$AU$4),IF(""=IFERROR(INDEX(INDIRECT("Data!C"&amp;$K$5,FALSE),MATCH(V61,Data!$A:$A,0)),$BX$12),$BX$11,IFERROR(INDEX(INDIRECT("Data!C"&amp;$K$5,FALSE),MATCH(V61,Data!$A:$A,0)),$BX$12)),"-")</f>
        <v>334</v>
      </c>
      <c r="AF61" s="71">
        <f ca="1">IF(AND(W61&gt;=$AC$4,W61&lt;=$AU$4),IF(""=IFERROR(INDEX(INDIRECT("Data!C"&amp;$K$5,FALSE),MATCH(W61,Data!$A:$A,0)),$BX$12),$BX$11,IFERROR(INDEX(INDIRECT("Data!C"&amp;$K$5,FALSE),MATCH(W61,Data!$A:$A,0)),$BX$12)),"-")</f>
        <v>240</v>
      </c>
      <c r="AG61" s="71">
        <f ca="1">IF(AND(X61&gt;=$AC$4,X61&lt;=$AU$4),IF(""=IFERROR(INDEX(INDIRECT("Data!C"&amp;$K$5,FALSE),MATCH(X61,Data!$A:$A,0)),$BX$12),$BX$11,IFERROR(INDEX(INDIRECT("Data!C"&amp;$K$5,FALSE),MATCH(X61,Data!$A:$A,0)),$BX$12)),"-")</f>
        <v>161</v>
      </c>
      <c r="AH61" s="71">
        <f ca="1">IF(AND(Y61&gt;=$AC$4,Y61&lt;=$AU$4),IF(""=IFERROR(INDEX(INDIRECT("Data!C"&amp;$K$5,FALSE),MATCH(Y61,Data!$A:$A,0)),$BX$12),$BX$11,IFERROR(INDEX(INDIRECT("Data!C"&amp;$K$5,FALSE),MATCH(Y61,Data!$A:$A,0)),$BX$12)),"-")</f>
        <v>220</v>
      </c>
      <c r="AI61" s="71">
        <f ca="1">IF(AND(Z61&gt;=$AC$4,Z61&lt;=$AU$4),IF(""=IFERROR(INDEX(INDIRECT("Data!C"&amp;$K$5,FALSE),MATCH(Z61,Data!$A:$A,0)),$BX$12),$BX$11,IFERROR(INDEX(INDIRECT("Data!C"&amp;$K$5,FALSE),MATCH(Z61,Data!$A:$A,0)),$BX$12)),"-")</f>
        <v>66</v>
      </c>
      <c r="AJ61" s="7"/>
      <c r="AL61" s="34">
        <f t="shared" si="50"/>
        <v>41980</v>
      </c>
      <c r="AM61" s="34">
        <f t="shared" si="45"/>
        <v>41981</v>
      </c>
      <c r="AN61" s="34">
        <f t="shared" si="33"/>
        <v>41982</v>
      </c>
      <c r="AO61" s="34">
        <f t="shared" si="34"/>
        <v>41983</v>
      </c>
      <c r="AP61" s="34">
        <f t="shared" si="35"/>
        <v>41984</v>
      </c>
      <c r="AQ61" s="34">
        <f t="shared" si="36"/>
        <v>41985</v>
      </c>
      <c r="AR61" s="34">
        <f t="shared" si="37"/>
        <v>41986</v>
      </c>
      <c r="AT61" s="24">
        <f t="array" ref="AT61">IFERROR(IF(MATCH(8,DAY(AL61:AR61),0),AR61,""),"")</f>
        <v>41986</v>
      </c>
      <c r="AU61" s="71">
        <f ca="1">IF(AND(AL61&gt;=$AC$4,AL61&lt;=$AU$4),IF(""=IFERROR(INDEX(INDIRECT("Data!C"&amp;$K$5,FALSE),MATCH(AL61,Data!$A:$A,0)),$BX$12),$BX$11,IFERROR(INDEX(INDIRECT("Data!C"&amp;$K$5,FALSE),MATCH(AL61,Data!$A:$A,0)),$BX$12)),"-")</f>
        <v>22</v>
      </c>
      <c r="AV61" s="71">
        <f ca="1">IF(AND(AM61&gt;=$AC$4,AM61&lt;=$AU$4),IF(""=IFERROR(INDEX(INDIRECT("Data!C"&amp;$K$5,FALSE),MATCH(AM61,Data!$A:$A,0)),$BX$12),$BX$11,IFERROR(INDEX(INDIRECT("Data!C"&amp;$K$5,FALSE),MATCH(AM61,Data!$A:$A,0)),$BX$12)),"-")</f>
        <v>328</v>
      </c>
      <c r="AW61" s="71">
        <f ca="1">IF(AND(AN61&gt;=$AC$4,AN61&lt;=$AU$4),IF(""=IFERROR(INDEX(INDIRECT("Data!C"&amp;$K$5,FALSE),MATCH(AN61,Data!$A:$A,0)),$BX$12),$BX$11,IFERROR(INDEX(INDIRECT("Data!C"&amp;$K$5,FALSE),MATCH(AN61,Data!$A:$A,0)),$BX$12)),"-")</f>
        <v>288</v>
      </c>
      <c r="AX61" s="71">
        <f ca="1">IF(AND(AO61&gt;=$AC$4,AO61&lt;=$AU$4),IF(""=IFERROR(INDEX(INDIRECT("Data!C"&amp;$K$5,FALSE),MATCH(AO61,Data!$A:$A,0)),$BX$12),$BX$11,IFERROR(INDEX(INDIRECT("Data!C"&amp;$K$5,FALSE),MATCH(AO61,Data!$A:$A,0)),$BX$12)),"-")</f>
        <v>169</v>
      </c>
      <c r="AY61" s="71">
        <f ca="1">IF(AND(AP61&gt;=$AC$4,AP61&lt;=$AU$4),IF(""=IFERROR(INDEX(INDIRECT("Data!C"&amp;$K$5,FALSE),MATCH(AP61,Data!$A:$A,0)),$BX$12),$BX$11,IFERROR(INDEX(INDIRECT("Data!C"&amp;$K$5,FALSE),MATCH(AP61,Data!$A:$A,0)),$BX$12)),"-")</f>
        <v>169</v>
      </c>
      <c r="AZ61" s="71">
        <f ca="1">IF(AND(AQ61&gt;=$AC$4,AQ61&lt;=$AU$4),IF(""=IFERROR(INDEX(INDIRECT("Data!C"&amp;$K$5,FALSE),MATCH(AQ61,Data!$A:$A,0)),$BX$12),$BX$11,IFERROR(INDEX(INDIRECT("Data!C"&amp;$K$5,FALSE),MATCH(AQ61,Data!$A:$A,0)),$BX$12)),"-")</f>
        <v>101</v>
      </c>
      <c r="BA61" s="71">
        <f ca="1">IF(AND(AR61&gt;=$AC$4,AR61&lt;=$AU$4),IF(""=IFERROR(INDEX(INDIRECT("Data!C"&amp;$K$5,FALSE),MATCH(AR61,Data!$A:$A,0)),$BX$12),$BX$11,IFERROR(INDEX(INDIRECT("Data!C"&amp;$K$5,FALSE),MATCH(AR61,Data!$A:$A,0)),$BX$12)),"-")</f>
        <v>65</v>
      </c>
      <c r="BB61" s="7"/>
      <c r="BD61" s="34">
        <f t="shared" si="51"/>
        <v>42344</v>
      </c>
      <c r="BE61" s="34">
        <f t="shared" si="46"/>
        <v>42345</v>
      </c>
      <c r="BF61" s="34">
        <f t="shared" si="38"/>
        <v>42346</v>
      </c>
      <c r="BG61" s="34">
        <f t="shared" si="39"/>
        <v>42347</v>
      </c>
      <c r="BH61" s="34">
        <f t="shared" si="40"/>
        <v>42348</v>
      </c>
      <c r="BI61" s="34">
        <f t="shared" si="41"/>
        <v>42349</v>
      </c>
      <c r="BJ61" s="34">
        <f t="shared" si="42"/>
        <v>42350</v>
      </c>
      <c r="BL61" s="24">
        <f t="array" ref="BL61">IFERROR(IF(MATCH(8,DAY(BD61:BJ61),0),BJ61,""),"")</f>
        <v>42350</v>
      </c>
      <c r="BM61" s="71">
        <f ca="1">IF(AND(BD61&gt;=$AC$4,BD61&lt;=$AU$4),IF(""=IFERROR(INDEX(INDIRECT("Data!C"&amp;$K$5,FALSE),MATCH(BD61,Data!$A:$A,0)),$BX$12),$BX$11,IFERROR(INDEX(INDIRECT("Data!C"&amp;$K$5,FALSE),MATCH(BD61,Data!$A:$A,0)),$BX$12)),"-")</f>
        <v>35</v>
      </c>
      <c r="BN61" s="71">
        <f ca="1">IF(AND(BE61&gt;=$AC$4,BE61&lt;=$AU$4),IF(""=IFERROR(INDEX(INDIRECT("Data!C"&amp;$K$5,FALSE),MATCH(BE61,Data!$A:$A,0)),$BX$12),$BX$11,IFERROR(INDEX(INDIRECT("Data!C"&amp;$K$5,FALSE),MATCH(BE61,Data!$A:$A,0)),$BX$12)),"-")</f>
        <v>212</v>
      </c>
      <c r="BO61" s="71">
        <f ca="1">IF(AND(BF61&gt;=$AC$4,BF61&lt;=$AU$4),IF(""=IFERROR(INDEX(INDIRECT("Data!C"&amp;$K$5,FALSE),MATCH(BF61,Data!$A:$A,0)),$BX$12),$BX$11,IFERROR(INDEX(INDIRECT("Data!C"&amp;$K$5,FALSE),MATCH(BF61,Data!$A:$A,0)),$BX$12)),"-")</f>
        <v>250</v>
      </c>
      <c r="BP61" s="71">
        <f ca="1">IF(AND(BG61&gt;=$AC$4,BG61&lt;=$AU$4),IF(""=IFERROR(INDEX(INDIRECT("Data!C"&amp;$K$5,FALSE),MATCH(BG61,Data!$A:$A,0)),$BX$12),$BX$11,IFERROR(INDEX(INDIRECT("Data!C"&amp;$K$5,FALSE),MATCH(BG61,Data!$A:$A,0)),$BX$12)),"-")</f>
        <v>252</v>
      </c>
      <c r="BQ61" s="71">
        <f ca="1">IF(AND(BH61&gt;=$AC$4,BH61&lt;=$AU$4),IF(""=IFERROR(INDEX(INDIRECT("Data!C"&amp;$K$5,FALSE),MATCH(BH61,Data!$A:$A,0)),$BX$12),$BX$11,IFERROR(INDEX(INDIRECT("Data!C"&amp;$K$5,FALSE),MATCH(BH61,Data!$A:$A,0)),$BX$12)),"-")</f>
        <v>128</v>
      </c>
      <c r="BR61" s="71">
        <f ca="1">IF(AND(BI61&gt;=$AC$4,BI61&lt;=$AU$4),IF(""=IFERROR(INDEX(INDIRECT("Data!C"&amp;$K$5,FALSE),MATCH(BI61,Data!$A:$A,0)),$BX$12),$BX$11,IFERROR(INDEX(INDIRECT("Data!C"&amp;$K$5,FALSE),MATCH(BI61,Data!$A:$A,0)),$BX$12)),"-")</f>
        <v>124</v>
      </c>
      <c r="BS61" s="71">
        <f ca="1">IF(AND(BJ61&gt;=$AC$4,BJ61&lt;=$AU$4),IF(""=IFERROR(INDEX(INDIRECT("Data!C"&amp;$K$5,FALSE),MATCH(BJ61,Data!$A:$A,0)),$BX$12),$BX$11,IFERROR(INDEX(INDIRECT("Data!C"&amp;$K$5,FALSE),MATCH(BJ61,Data!$A:$A,0)),$BX$12)),"-")</f>
        <v>41</v>
      </c>
      <c r="BT61" s="7"/>
      <c r="BU61" s="58">
        <f t="shared" ca="1" si="47"/>
        <v>171.53571428571428</v>
      </c>
    </row>
    <row r="62" spans="2:73" ht="12" customHeight="1" x14ac:dyDescent="0.2">
      <c r="B62" s="34">
        <f t="shared" si="48"/>
        <v>41259</v>
      </c>
      <c r="C62" s="34">
        <f t="shared" si="54"/>
        <v>41260</v>
      </c>
      <c r="D62" s="34">
        <f t="shared" si="54"/>
        <v>41261</v>
      </c>
      <c r="E62" s="34">
        <f t="shared" si="54"/>
        <v>41262</v>
      </c>
      <c r="F62" s="34">
        <f t="shared" si="54"/>
        <v>41263</v>
      </c>
      <c r="G62" s="34">
        <f t="shared" si="54"/>
        <v>41264</v>
      </c>
      <c r="H62" s="34">
        <f t="shared" si="54"/>
        <v>41265</v>
      </c>
      <c r="J62" s="24" t="str">
        <f t="array" ref="J62">IFERROR(IF(MATCH(8,DAY(B62:H62),0),H62,""),"")</f>
        <v/>
      </c>
      <c r="K62" s="71">
        <f ca="1">IF(AND(B62&gt;=$AC$4,B62&lt;=$AU$4),IF(""=IFERROR(INDEX(INDIRECT("Data!C"&amp;$K$5,FALSE),MATCH(B62,Data!$A:$A,0)),$BX$12),$BX$11,IFERROR(INDEX(INDIRECT("Data!C"&amp;$K$5,FALSE),MATCH(B62,Data!$A:$A,0)),$BX$12)),"-")</f>
        <v>30</v>
      </c>
      <c r="L62" s="71">
        <f ca="1">IF(AND(C62&gt;=$AC$4,C62&lt;=$AU$4),IF(""=IFERROR(INDEX(INDIRECT("Data!C"&amp;$K$5,FALSE),MATCH(C62,Data!$A:$A,0)),$BX$12),$BX$11,IFERROR(INDEX(INDIRECT("Data!C"&amp;$K$5,FALSE),MATCH(C62,Data!$A:$A,0)),$BX$12)),"-")</f>
        <v>367</v>
      </c>
      <c r="M62" s="71">
        <f ca="1">IF(AND(D62&gt;=$AC$4,D62&lt;=$AU$4),IF(""=IFERROR(INDEX(INDIRECT("Data!C"&amp;$K$5,FALSE),MATCH(D62,Data!$A:$A,0)),$BX$12),$BX$11,IFERROR(INDEX(INDIRECT("Data!C"&amp;$K$5,FALSE),MATCH(D62,Data!$A:$A,0)),$BX$12)),"-")</f>
        <v>311</v>
      </c>
      <c r="N62" s="71">
        <f ca="1">IF(AND(E62&gt;=$AC$4,E62&lt;=$AU$4),IF(""=IFERROR(INDEX(INDIRECT("Data!C"&amp;$K$5,FALSE),MATCH(E62,Data!$A:$A,0)),$BX$12),$BX$11,IFERROR(INDEX(INDIRECT("Data!C"&amp;$K$5,FALSE),MATCH(E62,Data!$A:$A,0)),$BX$12)),"-")</f>
        <v>169</v>
      </c>
      <c r="O62" s="71">
        <f ca="1">IF(AND(F62&gt;=$AC$4,F62&lt;=$AU$4),IF(""=IFERROR(INDEX(INDIRECT("Data!C"&amp;$K$5,FALSE),MATCH(F62,Data!$A:$A,0)),$BX$12),$BX$11,IFERROR(INDEX(INDIRECT("Data!C"&amp;$K$5,FALSE),MATCH(F62,Data!$A:$A,0)),$BX$12)),"-")</f>
        <v>194</v>
      </c>
      <c r="P62" s="71">
        <f ca="1">IF(AND(G62&gt;=$AC$4,G62&lt;=$AU$4),IF(""=IFERROR(INDEX(INDIRECT("Data!C"&amp;$K$5,FALSE),MATCH(G62,Data!$A:$A,0)),$BX$12),$BX$11,IFERROR(INDEX(INDIRECT("Data!C"&amp;$K$5,FALSE),MATCH(G62,Data!$A:$A,0)),$BX$12)),"-")</f>
        <v>165</v>
      </c>
      <c r="Q62" s="71">
        <f ca="1">IF(AND(H62&gt;=$AC$4,H62&lt;=$AU$4),IF(""=IFERROR(INDEX(INDIRECT("Data!C"&amp;$K$5,FALSE),MATCH(H62,Data!$A:$A,0)),$BX$12),$BX$11,IFERROR(INDEX(INDIRECT("Data!C"&amp;$K$5,FALSE),MATCH(H62,Data!$A:$A,0)),$BX$12)),"-")</f>
        <v>67</v>
      </c>
      <c r="R62" s="7"/>
      <c r="T62" s="34">
        <f t="shared" si="49"/>
        <v>41623</v>
      </c>
      <c r="U62" s="34">
        <f t="shared" si="44"/>
        <v>41624</v>
      </c>
      <c r="V62" s="34">
        <f t="shared" si="28"/>
        <v>41625</v>
      </c>
      <c r="W62" s="34">
        <f t="shared" si="29"/>
        <v>41626</v>
      </c>
      <c r="X62" s="34">
        <f t="shared" si="30"/>
        <v>41627</v>
      </c>
      <c r="Y62" s="34">
        <f t="shared" si="31"/>
        <v>41628</v>
      </c>
      <c r="Z62" s="34">
        <f t="shared" si="32"/>
        <v>41629</v>
      </c>
      <c r="AB62" s="24" t="str">
        <f t="array" ref="AB62">IFERROR(IF(MATCH(8,DAY(T62:Z62),0),Z62,""),"")</f>
        <v/>
      </c>
      <c r="AC62" s="71">
        <f ca="1">IF(AND(T62&gt;=$AC$4,T62&lt;=$AU$4),IF(""=IFERROR(INDEX(INDIRECT("Data!C"&amp;$K$5,FALSE),MATCH(T62,Data!$A:$A,0)),$BX$12),$BX$11,IFERROR(INDEX(INDIRECT("Data!C"&amp;$K$5,FALSE),MATCH(T62,Data!$A:$A,0)),$BX$12)),"-")</f>
        <v>29</v>
      </c>
      <c r="AD62" s="71">
        <f ca="1">IF(AND(U62&gt;=$AC$4,U62&lt;=$AU$4),IF(""=IFERROR(INDEX(INDIRECT("Data!C"&amp;$K$5,FALSE),MATCH(U62,Data!$A:$A,0)),$BX$12),$BX$11,IFERROR(INDEX(INDIRECT("Data!C"&amp;$K$5,FALSE),MATCH(U62,Data!$A:$A,0)),$BX$12)),"-")</f>
        <v>352</v>
      </c>
      <c r="AE62" s="71">
        <f ca="1">IF(AND(V62&gt;=$AC$4,V62&lt;=$AU$4),IF(""=IFERROR(INDEX(INDIRECT("Data!C"&amp;$K$5,FALSE),MATCH(V62,Data!$A:$A,0)),$BX$12),$BX$11,IFERROR(INDEX(INDIRECT("Data!C"&amp;$K$5,FALSE),MATCH(V62,Data!$A:$A,0)),$BX$12)),"-")</f>
        <v>144</v>
      </c>
      <c r="AF62" s="71">
        <f ca="1">IF(AND(W62&gt;=$AC$4,W62&lt;=$AU$4),IF(""=IFERROR(INDEX(INDIRECT("Data!C"&amp;$K$5,FALSE),MATCH(W62,Data!$A:$A,0)),$BX$12),$BX$11,IFERROR(INDEX(INDIRECT("Data!C"&amp;$K$5,FALSE),MATCH(W62,Data!$A:$A,0)),$BX$12)),"-")</f>
        <v>254</v>
      </c>
      <c r="AG62" s="71">
        <f ca="1">IF(AND(X62&gt;=$AC$4,X62&lt;=$AU$4),IF(""=IFERROR(INDEX(INDIRECT("Data!C"&amp;$K$5,FALSE),MATCH(X62,Data!$A:$A,0)),$BX$12),$BX$11,IFERROR(INDEX(INDIRECT("Data!C"&amp;$K$5,FALSE),MATCH(X62,Data!$A:$A,0)),$BX$12)),"-")</f>
        <v>125</v>
      </c>
      <c r="AH62" s="71">
        <f ca="1">IF(AND(Y62&gt;=$AC$4,Y62&lt;=$AU$4),IF(""=IFERROR(INDEX(INDIRECT("Data!C"&amp;$K$5,FALSE),MATCH(Y62,Data!$A:$A,0)),$BX$12),$BX$11,IFERROR(INDEX(INDIRECT("Data!C"&amp;$K$5,FALSE),MATCH(Y62,Data!$A:$A,0)),$BX$12)),"-")</f>
        <v>158</v>
      </c>
      <c r="AI62" s="71">
        <f ca="1">IF(AND(Z62&gt;=$AC$4,Z62&lt;=$AU$4),IF(""=IFERROR(INDEX(INDIRECT("Data!C"&amp;$K$5,FALSE),MATCH(Z62,Data!$A:$A,0)),$BX$12),$BX$11,IFERROR(INDEX(INDIRECT("Data!C"&amp;$K$5,FALSE),MATCH(Z62,Data!$A:$A,0)),$BX$12)),"-")</f>
        <v>39</v>
      </c>
      <c r="AJ62" s="7"/>
      <c r="AL62" s="34">
        <f t="shared" si="50"/>
        <v>41987</v>
      </c>
      <c r="AM62" s="34">
        <f t="shared" si="45"/>
        <v>41988</v>
      </c>
      <c r="AN62" s="34">
        <f t="shared" si="33"/>
        <v>41989</v>
      </c>
      <c r="AO62" s="34">
        <f t="shared" si="34"/>
        <v>41990</v>
      </c>
      <c r="AP62" s="34">
        <f t="shared" si="35"/>
        <v>41991</v>
      </c>
      <c r="AQ62" s="34">
        <f t="shared" si="36"/>
        <v>41992</v>
      </c>
      <c r="AR62" s="34">
        <f t="shared" si="37"/>
        <v>41993</v>
      </c>
      <c r="AT62" s="24" t="str">
        <f t="array" ref="AT62">IFERROR(IF(MATCH(8,DAY(AL62:AR62),0),AR62,""),"")</f>
        <v/>
      </c>
      <c r="AU62" s="71">
        <f ca="1">IF(AND(AL62&gt;=$AC$4,AL62&lt;=$AU$4),IF(""=IFERROR(INDEX(INDIRECT("Data!C"&amp;$K$5,FALSE),MATCH(AL62,Data!$A:$A,0)),$BX$12),$BX$11,IFERROR(INDEX(INDIRECT("Data!C"&amp;$K$5,FALSE),MATCH(AL62,Data!$A:$A,0)),$BX$12)),"-")</f>
        <v>27</v>
      </c>
      <c r="AV62" s="71">
        <f ca="1">IF(AND(AM62&gt;=$AC$4,AM62&lt;=$AU$4),IF(""=IFERROR(INDEX(INDIRECT("Data!C"&amp;$K$5,FALSE),MATCH(AM62,Data!$A:$A,0)),$BX$12),$BX$11,IFERROR(INDEX(INDIRECT("Data!C"&amp;$K$5,FALSE),MATCH(AM62,Data!$A:$A,0)),$BX$12)),"-")</f>
        <v>164</v>
      </c>
      <c r="AW62" s="71">
        <f ca="1">IF(AND(AN62&gt;=$AC$4,AN62&lt;=$AU$4),IF(""=IFERROR(INDEX(INDIRECT("Data!C"&amp;$K$5,FALSE),MATCH(AN62,Data!$A:$A,0)),$BX$12),$BX$11,IFERROR(INDEX(INDIRECT("Data!C"&amp;$K$5,FALSE),MATCH(AN62,Data!$A:$A,0)),$BX$12)),"-")</f>
        <v>285</v>
      </c>
      <c r="AX62" s="71">
        <f ca="1">IF(AND(AO62&gt;=$AC$4,AO62&lt;=$AU$4),IF(""=IFERROR(INDEX(INDIRECT("Data!C"&amp;$K$5,FALSE),MATCH(AO62,Data!$A:$A,0)),$BX$12),$BX$11,IFERROR(INDEX(INDIRECT("Data!C"&amp;$K$5,FALSE),MATCH(AO62,Data!$A:$A,0)),$BX$12)),"-")</f>
        <v>121</v>
      </c>
      <c r="AY62" s="71">
        <f ca="1">IF(AND(AP62&gt;=$AC$4,AP62&lt;=$AU$4),IF(""=IFERROR(INDEX(INDIRECT("Data!C"&amp;$K$5,FALSE),MATCH(AP62,Data!$A:$A,0)),$BX$12),$BX$11,IFERROR(INDEX(INDIRECT("Data!C"&amp;$K$5,FALSE),MATCH(AP62,Data!$A:$A,0)),$BX$12)),"-")</f>
        <v>190</v>
      </c>
      <c r="AZ62" s="71">
        <f ca="1">IF(AND(AQ62&gt;=$AC$4,AQ62&lt;=$AU$4),IF(""=IFERROR(INDEX(INDIRECT("Data!C"&amp;$K$5,FALSE),MATCH(AQ62,Data!$A:$A,0)),$BX$12),$BX$11,IFERROR(INDEX(INDIRECT("Data!C"&amp;$K$5,FALSE),MATCH(AQ62,Data!$A:$A,0)),$BX$12)),"-")</f>
        <v>131</v>
      </c>
      <c r="BA62" s="71">
        <f ca="1">IF(AND(AR62&gt;=$AC$4,AR62&lt;=$AU$4),IF(""=IFERROR(INDEX(INDIRECT("Data!C"&amp;$K$5,FALSE),MATCH(AR62,Data!$A:$A,0)),$BX$12),$BX$11,IFERROR(INDEX(INDIRECT("Data!C"&amp;$K$5,FALSE),MATCH(AR62,Data!$A:$A,0)),$BX$12)),"-")</f>
        <v>55</v>
      </c>
      <c r="BB62" s="7"/>
      <c r="BD62" s="34">
        <f t="shared" si="51"/>
        <v>42351</v>
      </c>
      <c r="BE62" s="34">
        <f t="shared" si="46"/>
        <v>42352</v>
      </c>
      <c r="BF62" s="34">
        <f t="shared" si="38"/>
        <v>42353</v>
      </c>
      <c r="BG62" s="34">
        <f t="shared" si="39"/>
        <v>42354</v>
      </c>
      <c r="BH62" s="34">
        <f t="shared" si="40"/>
        <v>42355</v>
      </c>
      <c r="BI62" s="34">
        <f t="shared" si="41"/>
        <v>42356</v>
      </c>
      <c r="BJ62" s="34">
        <f t="shared" si="42"/>
        <v>42357</v>
      </c>
      <c r="BL62" s="24" t="str">
        <f t="array" ref="BL62">IFERROR(IF(MATCH(8,DAY(BD62:BJ62),0),BJ62,""),"")</f>
        <v/>
      </c>
      <c r="BM62" s="71">
        <f ca="1">IF(AND(BD62&gt;=$AC$4,BD62&lt;=$AU$4),IF(""=IFERROR(INDEX(INDIRECT("Data!C"&amp;$K$5,FALSE),MATCH(BD62,Data!$A:$A,0)),$BX$12),$BX$11,IFERROR(INDEX(INDIRECT("Data!C"&amp;$K$5,FALSE),MATCH(BD62,Data!$A:$A,0)),$BX$12)),"-")</f>
        <v>29</v>
      </c>
      <c r="BN62" s="71">
        <f ca="1">IF(AND(BE62&gt;=$AC$4,BE62&lt;=$AU$4),IF(""=IFERROR(INDEX(INDIRECT("Data!C"&amp;$K$5,FALSE),MATCH(BE62,Data!$A:$A,0)),$BX$12),$BX$11,IFERROR(INDEX(INDIRECT("Data!C"&amp;$K$5,FALSE),MATCH(BE62,Data!$A:$A,0)),$BX$12)),"-")</f>
        <v>270</v>
      </c>
      <c r="BO62" s="71">
        <f ca="1">IF(AND(BF62&gt;=$AC$4,BF62&lt;=$AU$4),IF(""=IFERROR(INDEX(INDIRECT("Data!C"&amp;$K$5,FALSE),MATCH(BF62,Data!$A:$A,0)),$BX$12),$BX$11,IFERROR(INDEX(INDIRECT("Data!C"&amp;$K$5,FALSE),MATCH(BF62,Data!$A:$A,0)),$BX$12)),"-")</f>
        <v>247</v>
      </c>
      <c r="BP62" s="71">
        <f ca="1">IF(AND(BG62&gt;=$AC$4,BG62&lt;=$AU$4),IF(""=IFERROR(INDEX(INDIRECT("Data!C"&amp;$K$5,FALSE),MATCH(BG62,Data!$A:$A,0)),$BX$12),$BX$11,IFERROR(INDEX(INDIRECT("Data!C"&amp;$K$5,FALSE),MATCH(BG62,Data!$A:$A,0)),$BX$12)),"-")</f>
        <v>118</v>
      </c>
      <c r="BQ62" s="71">
        <f ca="1">IF(AND(BH62&gt;=$AC$4,BH62&lt;=$AU$4),IF(""=IFERROR(INDEX(INDIRECT("Data!C"&amp;$K$5,FALSE),MATCH(BH62,Data!$A:$A,0)),$BX$12),$BX$11,IFERROR(INDEX(INDIRECT("Data!C"&amp;$K$5,FALSE),MATCH(BH62,Data!$A:$A,0)),$BX$12)),"-")</f>
        <v>122</v>
      </c>
      <c r="BR62" s="71">
        <f ca="1">IF(AND(BI62&gt;=$AC$4,BI62&lt;=$AU$4),IF(""=IFERROR(INDEX(INDIRECT("Data!C"&amp;$K$5,FALSE),MATCH(BI62,Data!$A:$A,0)),$BX$12),$BX$11,IFERROR(INDEX(INDIRECT("Data!C"&amp;$K$5,FALSE),MATCH(BI62,Data!$A:$A,0)),$BX$12)),"-")</f>
        <v>69</v>
      </c>
      <c r="BS62" s="71">
        <f ca="1">IF(AND(BJ62&gt;=$AC$4,BJ62&lt;=$AU$4),IF(""=IFERROR(INDEX(INDIRECT("Data!C"&amp;$K$5,FALSE),MATCH(BJ62,Data!$A:$A,0)),$BX$12),$BX$11,IFERROR(INDEX(INDIRECT("Data!C"&amp;$K$5,FALSE),MATCH(BJ62,Data!$A:$A,0)),$BX$12)),"-")</f>
        <v>38</v>
      </c>
      <c r="BT62" s="7"/>
      <c r="BU62" s="58">
        <f t="shared" ca="1" si="47"/>
        <v>152.5</v>
      </c>
    </row>
    <row r="63" spans="2:73" ht="12" customHeight="1" x14ac:dyDescent="0.2">
      <c r="B63" s="34">
        <f t="shared" si="48"/>
        <v>41266</v>
      </c>
      <c r="C63" s="34">
        <f t="shared" si="54"/>
        <v>41267</v>
      </c>
      <c r="D63" s="34">
        <f t="shared" si="54"/>
        <v>41268</v>
      </c>
      <c r="E63" s="34">
        <f t="shared" si="54"/>
        <v>41269</v>
      </c>
      <c r="F63" s="34">
        <f t="shared" si="54"/>
        <v>41270</v>
      </c>
      <c r="G63" s="34">
        <f t="shared" si="54"/>
        <v>41271</v>
      </c>
      <c r="H63" s="34">
        <f t="shared" si="54"/>
        <v>41272</v>
      </c>
      <c r="J63" s="24" t="str">
        <f t="array" ref="J63">IFERROR(IF(MATCH(8,DAY(B63:H63),0),H63,""),"")</f>
        <v/>
      </c>
      <c r="K63" s="71">
        <f ca="1">IF(AND(B63&gt;=$AC$4,B63&lt;=$AU$4),IF(""=IFERROR(INDEX(INDIRECT("Data!C"&amp;$K$5,FALSE),MATCH(B63,Data!$A:$A,0)),$BX$12),$BX$11,IFERROR(INDEX(INDIRECT("Data!C"&amp;$K$5,FALSE),MATCH(B63,Data!$A:$A,0)),$BX$12)),"-")</f>
        <v>30</v>
      </c>
      <c r="L63" s="71">
        <f ca="1">IF(AND(C63&gt;=$AC$4,C63&lt;=$AU$4),IF(""=IFERROR(INDEX(INDIRECT("Data!C"&amp;$K$5,FALSE),MATCH(C63,Data!$A:$A,0)),$BX$12),$BX$11,IFERROR(INDEX(INDIRECT("Data!C"&amp;$K$5,FALSE),MATCH(C63,Data!$A:$A,0)),$BX$12)),"-")</f>
        <v>328</v>
      </c>
      <c r="M63" s="71">
        <f ca="1">IF(AND(D63&gt;=$AC$4,D63&lt;=$AU$4),IF(""=IFERROR(INDEX(INDIRECT("Data!C"&amp;$K$5,FALSE),MATCH(D63,Data!$A:$A,0)),$BX$12),$BX$11,IFERROR(INDEX(INDIRECT("Data!C"&amp;$K$5,FALSE),MATCH(D63,Data!$A:$A,0)),$BX$12)),"-")</f>
        <v>224</v>
      </c>
      <c r="N63" s="71">
        <f ca="1">IF(AND(E63&gt;=$AC$4,E63&lt;=$AU$4),IF(""=IFERROR(INDEX(INDIRECT("Data!C"&amp;$K$5,FALSE),MATCH(E63,Data!$A:$A,0)),$BX$12),$BX$11,IFERROR(INDEX(INDIRECT("Data!C"&amp;$K$5,FALSE),MATCH(E63,Data!$A:$A,0)),$BX$12)),"-")</f>
        <v>239</v>
      </c>
      <c r="O63" s="71">
        <f ca="1">IF(AND(F63&gt;=$AC$4,F63&lt;=$AU$4),IF(""=IFERROR(INDEX(INDIRECT("Data!C"&amp;$K$5,FALSE),MATCH(F63,Data!$A:$A,0)),$BX$12),$BX$11,IFERROR(INDEX(INDIRECT("Data!C"&amp;$K$5,FALSE),MATCH(F63,Data!$A:$A,0)),$BX$12)),"-")</f>
        <v>96</v>
      </c>
      <c r="P63" s="71">
        <f ca="1">IF(AND(G63&gt;=$AC$4,G63&lt;=$AU$4),IF(""=IFERROR(INDEX(INDIRECT("Data!C"&amp;$K$5,FALSE),MATCH(G63,Data!$A:$A,0)),$BX$12),$BX$11,IFERROR(INDEX(INDIRECT("Data!C"&amp;$K$5,FALSE),MATCH(G63,Data!$A:$A,0)),$BX$12)),"-")</f>
        <v>140</v>
      </c>
      <c r="Q63" s="71">
        <f ca="1">IF(AND(H63&gt;=$AC$4,H63&lt;=$AU$4),IF(""=IFERROR(INDEX(INDIRECT("Data!C"&amp;$K$5,FALSE),MATCH(H63,Data!$A:$A,0)),$BX$12),$BX$11,IFERROR(INDEX(INDIRECT("Data!C"&amp;$K$5,FALSE),MATCH(H63,Data!$A:$A,0)),$BX$12)),"-")</f>
        <v>39</v>
      </c>
      <c r="R63" s="7"/>
      <c r="T63" s="34">
        <f t="shared" si="49"/>
        <v>41630</v>
      </c>
      <c r="U63" s="34">
        <f t="shared" si="44"/>
        <v>41631</v>
      </c>
      <c r="V63" s="34">
        <f t="shared" si="28"/>
        <v>41632</v>
      </c>
      <c r="W63" s="34">
        <f t="shared" si="29"/>
        <v>41633</v>
      </c>
      <c r="X63" s="34">
        <f t="shared" si="30"/>
        <v>41634</v>
      </c>
      <c r="Y63" s="34">
        <f t="shared" si="31"/>
        <v>41635</v>
      </c>
      <c r="Z63" s="34">
        <f t="shared" si="32"/>
        <v>41636</v>
      </c>
      <c r="AB63" s="24" t="str">
        <f t="array" ref="AB63">IFERROR(IF(MATCH(8,DAY(T63:Z63),0),Z63,""),"")</f>
        <v/>
      </c>
      <c r="AC63" s="71">
        <f ca="1">IF(AND(T63&gt;=$AC$4,T63&lt;=$AU$4),IF(""=IFERROR(INDEX(INDIRECT("Data!C"&amp;$K$5,FALSE),MATCH(T63,Data!$A:$A,0)),$BX$12),$BX$11,IFERROR(INDEX(INDIRECT("Data!C"&amp;$K$5,FALSE),MATCH(T63,Data!$A:$A,0)),$BX$12)),"-")</f>
        <v>13</v>
      </c>
      <c r="AD63" s="71">
        <f ca="1">IF(AND(U63&gt;=$AC$4,U63&lt;=$AU$4),IF(""=IFERROR(INDEX(INDIRECT("Data!C"&amp;$K$5,FALSE),MATCH(U63,Data!$A:$A,0)),$BX$12),$BX$11,IFERROR(INDEX(INDIRECT("Data!C"&amp;$K$5,FALSE),MATCH(U63,Data!$A:$A,0)),$BX$12)),"-")</f>
        <v>239</v>
      </c>
      <c r="AE63" s="71">
        <f ca="1">IF(AND(V63&gt;=$AC$4,V63&lt;=$AU$4),IF(""=IFERROR(INDEX(INDIRECT("Data!C"&amp;$K$5,FALSE),MATCH(V63,Data!$A:$A,0)),$BX$12),$BX$11,IFERROR(INDEX(INDIRECT("Data!C"&amp;$K$5,FALSE),MATCH(V63,Data!$A:$A,0)),$BX$12)),"-")</f>
        <v>125</v>
      </c>
      <c r="AF63" s="71">
        <f ca="1">IF(AND(W63&gt;=$AC$4,W63&lt;=$AU$4),IF(""=IFERROR(INDEX(INDIRECT("Data!C"&amp;$K$5,FALSE),MATCH(W63,Data!$A:$A,0)),$BX$12),$BX$11,IFERROR(INDEX(INDIRECT("Data!C"&amp;$K$5,FALSE),MATCH(W63,Data!$A:$A,0)),$BX$12)),"-")</f>
        <v>116</v>
      </c>
      <c r="AG63" s="71">
        <f ca="1">IF(AND(X63&gt;=$AC$4,X63&lt;=$AU$4),IF(""=IFERROR(INDEX(INDIRECT("Data!C"&amp;$K$5,FALSE),MATCH(X63,Data!$A:$A,0)),$BX$12),$BX$11,IFERROR(INDEX(INDIRECT("Data!C"&amp;$K$5,FALSE),MATCH(X63,Data!$A:$A,0)),$BX$12)),"-")</f>
        <v>169</v>
      </c>
      <c r="AH63" s="71">
        <f ca="1">IF(AND(Y63&gt;=$AC$4,Y63&lt;=$AU$4),IF(""=IFERROR(INDEX(INDIRECT("Data!C"&amp;$K$5,FALSE),MATCH(Y63,Data!$A:$A,0)),$BX$12),$BX$11,IFERROR(INDEX(INDIRECT("Data!C"&amp;$K$5,FALSE),MATCH(Y63,Data!$A:$A,0)),$BX$12)),"-")</f>
        <v>144</v>
      </c>
      <c r="AI63" s="71">
        <f ca="1">IF(AND(Z63&gt;=$AC$4,Z63&lt;=$AU$4),IF(""=IFERROR(INDEX(INDIRECT("Data!C"&amp;$K$5,FALSE),MATCH(Z63,Data!$A:$A,0)),$BX$12),$BX$11,IFERROR(INDEX(INDIRECT("Data!C"&amp;$K$5,FALSE),MATCH(Z63,Data!$A:$A,0)),$BX$12)),"-")</f>
        <v>43</v>
      </c>
      <c r="AJ63" s="7"/>
      <c r="AL63" s="34">
        <f t="shared" si="50"/>
        <v>41994</v>
      </c>
      <c r="AM63" s="34">
        <f t="shared" si="45"/>
        <v>41995</v>
      </c>
      <c r="AN63" s="34">
        <f t="shared" si="33"/>
        <v>41996</v>
      </c>
      <c r="AO63" s="34">
        <f t="shared" si="34"/>
        <v>41997</v>
      </c>
      <c r="AP63" s="34">
        <f t="shared" si="35"/>
        <v>41998</v>
      </c>
      <c r="AQ63" s="34">
        <f t="shared" si="36"/>
        <v>41999</v>
      </c>
      <c r="AR63" s="34">
        <f t="shared" si="37"/>
        <v>42000</v>
      </c>
      <c r="AT63" s="24" t="str">
        <f t="array" ref="AT63">IFERROR(IF(MATCH(8,DAY(AL63:AR63),0),AR63,""),"")</f>
        <v/>
      </c>
      <c r="AU63" s="71">
        <f ca="1">IF(AND(AL63&gt;=$AC$4,AL63&lt;=$AU$4),IF(""=IFERROR(INDEX(INDIRECT("Data!C"&amp;$K$5,FALSE),MATCH(AL63,Data!$A:$A,0)),$BX$12),$BX$11,IFERROR(INDEX(INDIRECT("Data!C"&amp;$K$5,FALSE),MATCH(AL63,Data!$A:$A,0)),$BX$12)),"-")</f>
        <v>25</v>
      </c>
      <c r="AV63" s="71">
        <f ca="1">IF(AND(AM63&gt;=$AC$4,AM63&lt;=$AU$4),IF(""=IFERROR(INDEX(INDIRECT("Data!C"&amp;$K$5,FALSE),MATCH(AM63,Data!$A:$A,0)),$BX$12),$BX$11,IFERROR(INDEX(INDIRECT("Data!C"&amp;$K$5,FALSE),MATCH(AM63,Data!$A:$A,0)),$BX$12)),"-")</f>
        <v>214</v>
      </c>
      <c r="AW63" s="71">
        <f ca="1">IF(AND(AN63&gt;=$AC$4,AN63&lt;=$AU$4),IF(""=IFERROR(INDEX(INDIRECT("Data!C"&amp;$K$5,FALSE),MATCH(AN63,Data!$A:$A,0)),$BX$12),$BX$11,IFERROR(INDEX(INDIRECT("Data!C"&amp;$K$5,FALSE),MATCH(AN63,Data!$A:$A,0)),$BX$12)),"-")</f>
        <v>134</v>
      </c>
      <c r="AX63" s="71">
        <f ca="1">IF(AND(AO63&gt;=$AC$4,AO63&lt;=$AU$4),IF(""=IFERROR(INDEX(INDIRECT("Data!C"&amp;$K$5,FALSE),MATCH(AO63,Data!$A:$A,0)),$BX$12),$BX$11,IFERROR(INDEX(INDIRECT("Data!C"&amp;$K$5,FALSE),MATCH(AO63,Data!$A:$A,0)),$BX$12)),"-")</f>
        <v>197</v>
      </c>
      <c r="AY63" s="71">
        <f ca="1">IF(AND(AP63&gt;=$AC$4,AP63&lt;=$AU$4),IF(""=IFERROR(INDEX(INDIRECT("Data!C"&amp;$K$5,FALSE),MATCH(AP63,Data!$A:$A,0)),$BX$12),$BX$11,IFERROR(INDEX(INDIRECT("Data!C"&amp;$K$5,FALSE),MATCH(AP63,Data!$A:$A,0)),$BX$12)),"-")</f>
        <v>92</v>
      </c>
      <c r="AZ63" s="71">
        <f ca="1">IF(AND(AQ63&gt;=$AC$4,AQ63&lt;=$AU$4),IF(""=IFERROR(INDEX(INDIRECT("Data!C"&amp;$K$5,FALSE),MATCH(AQ63,Data!$A:$A,0)),$BX$12),$BX$11,IFERROR(INDEX(INDIRECT("Data!C"&amp;$K$5,FALSE),MATCH(AQ63,Data!$A:$A,0)),$BX$12)),"-")</f>
        <v>144</v>
      </c>
      <c r="BA63" s="71">
        <f ca="1">IF(AND(AR63&gt;=$AC$4,AR63&lt;=$AU$4),IF(""=IFERROR(INDEX(INDIRECT("Data!C"&amp;$K$5,FALSE),MATCH(AR63,Data!$A:$A,0)),$BX$12),$BX$11,IFERROR(INDEX(INDIRECT("Data!C"&amp;$K$5,FALSE),MATCH(AR63,Data!$A:$A,0)),$BX$12)),"-")</f>
        <v>23</v>
      </c>
      <c r="BB63" s="7"/>
      <c r="BD63" s="34">
        <f t="shared" si="51"/>
        <v>42358</v>
      </c>
      <c r="BE63" s="34">
        <f t="shared" si="46"/>
        <v>42359</v>
      </c>
      <c r="BF63" s="34">
        <f t="shared" si="38"/>
        <v>42360</v>
      </c>
      <c r="BG63" s="34">
        <f t="shared" si="39"/>
        <v>42361</v>
      </c>
      <c r="BH63" s="34">
        <f t="shared" si="40"/>
        <v>42362</v>
      </c>
      <c r="BI63" s="34">
        <f t="shared" si="41"/>
        <v>42363</v>
      </c>
      <c r="BJ63" s="34">
        <f t="shared" si="42"/>
        <v>42364</v>
      </c>
      <c r="BL63" s="24" t="str">
        <f t="array" ref="BL63">IFERROR(IF(MATCH(8,DAY(BD63:BJ63),0),BJ63,""),"")</f>
        <v/>
      </c>
      <c r="BM63" s="71">
        <f ca="1">IF(AND(BD63&gt;=$AC$4,BD63&lt;=$AU$4),IF(""=IFERROR(INDEX(INDIRECT("Data!C"&amp;$K$5,FALSE),MATCH(BD63,Data!$A:$A,0)),$BX$12),$BX$11,IFERROR(INDEX(INDIRECT("Data!C"&amp;$K$5,FALSE),MATCH(BD63,Data!$A:$A,0)),$BX$12)),"-")</f>
        <v>15</v>
      </c>
      <c r="BN63" s="71">
        <f ca="1">IF(AND(BE63&gt;=$AC$4,BE63&lt;=$AU$4),IF(""=IFERROR(INDEX(INDIRECT("Data!C"&amp;$K$5,FALSE),MATCH(BE63,Data!$A:$A,0)),$BX$12),$BX$11,IFERROR(INDEX(INDIRECT("Data!C"&amp;$K$5,FALSE),MATCH(BE63,Data!$A:$A,0)),$BX$12)),"-")</f>
        <v>166</v>
      </c>
      <c r="BO63" s="71">
        <f ca="1">IF(AND(BF63&gt;=$AC$4,BF63&lt;=$AU$4),IF(""=IFERROR(INDEX(INDIRECT("Data!C"&amp;$K$5,FALSE),MATCH(BF63,Data!$A:$A,0)),$BX$12),$BX$11,IFERROR(INDEX(INDIRECT("Data!C"&amp;$K$5,FALSE),MATCH(BF63,Data!$A:$A,0)),$BX$12)),"-")</f>
        <v>184</v>
      </c>
      <c r="BP63" s="71">
        <f ca="1">IF(AND(BG63&gt;=$AC$4,BG63&lt;=$AU$4),IF(""=IFERROR(INDEX(INDIRECT("Data!C"&amp;$K$5,FALSE),MATCH(BG63,Data!$A:$A,0)),$BX$12),$BX$11,IFERROR(INDEX(INDIRECT("Data!C"&amp;$K$5,FALSE),MATCH(BG63,Data!$A:$A,0)),$BX$12)),"-")</f>
        <v>96</v>
      </c>
      <c r="BQ63" s="71">
        <f ca="1">IF(AND(BH63&gt;=$AC$4,BH63&lt;=$AU$4),IF(""=IFERROR(INDEX(INDIRECT("Data!C"&amp;$K$5,FALSE),MATCH(BH63,Data!$A:$A,0)),$BX$12),$BX$11,IFERROR(INDEX(INDIRECT("Data!C"&amp;$K$5,FALSE),MATCH(BH63,Data!$A:$A,0)),$BX$12)),"-")</f>
        <v>97</v>
      </c>
      <c r="BR63" s="71">
        <f ca="1">IF(AND(BI63&gt;=$AC$4,BI63&lt;=$AU$4),IF(""=IFERROR(INDEX(INDIRECT("Data!C"&amp;$K$5,FALSE),MATCH(BI63,Data!$A:$A,0)),$BX$12),$BX$11,IFERROR(INDEX(INDIRECT("Data!C"&amp;$K$5,FALSE),MATCH(BI63,Data!$A:$A,0)),$BX$12)),"-")</f>
        <v>116</v>
      </c>
      <c r="BS63" s="71">
        <f ca="1">IF(AND(BJ63&gt;=$AC$4,BJ63&lt;=$AU$4),IF(""=IFERROR(INDEX(INDIRECT("Data!C"&amp;$K$5,FALSE),MATCH(BJ63,Data!$A:$A,0)),$BX$12),$BX$11,IFERROR(INDEX(INDIRECT("Data!C"&amp;$K$5,FALSE),MATCH(BJ63,Data!$A:$A,0)),$BX$12)),"-")</f>
        <v>44</v>
      </c>
      <c r="BT63" s="7"/>
      <c r="BU63" s="58">
        <f t="shared" ca="1" si="47"/>
        <v>124.71428571428571</v>
      </c>
    </row>
    <row r="64" spans="2:73" ht="12" customHeight="1" x14ac:dyDescent="0.2">
      <c r="B64" s="34">
        <f t="shared" si="48"/>
        <v>41273</v>
      </c>
      <c r="C64" s="34">
        <f t="shared" si="54"/>
        <v>41274</v>
      </c>
      <c r="D64" s="34">
        <f t="shared" si="54"/>
        <v>41275</v>
      </c>
      <c r="E64" s="34">
        <f t="shared" si="54"/>
        <v>41276</v>
      </c>
      <c r="F64" s="34">
        <f t="shared" si="54"/>
        <v>41277</v>
      </c>
      <c r="G64" s="34">
        <f t="shared" si="54"/>
        <v>41278</v>
      </c>
      <c r="H64" s="34">
        <f t="shared" si="54"/>
        <v>41279</v>
      </c>
      <c r="J64" s="24" t="str">
        <f t="array" ref="J64">IFERROR(IF(MATCH(8,DAY(B64:H64),0),H64,""),"")</f>
        <v/>
      </c>
      <c r="K64" s="71">
        <f ca="1">IF(AND(B64&gt;=$AC$4,B64&lt;=$AU$4),IF(""=IFERROR(INDEX(INDIRECT("Data!C"&amp;$K$5,FALSE),MATCH(B64,Data!$A:$A,0)),$BX$12),$BX$11,IFERROR(INDEX(INDIRECT("Data!C"&amp;$K$5,FALSE),MATCH(B64,Data!$A:$A,0)),$BX$12)),"-")</f>
        <v>30</v>
      </c>
      <c r="L64" s="71">
        <f ca="1">IF(AND(C64&gt;=$AC$4,C64&lt;=$AU$4),IF(""=IFERROR(INDEX(INDIRECT("Data!C"&amp;$K$5,FALSE),MATCH(C64,Data!$A:$A,0)),$BX$12),$BX$11,IFERROR(INDEX(INDIRECT("Data!C"&amp;$K$5,FALSE),MATCH(C64,Data!$A:$A,0)),$BX$12)),"-")</f>
        <v>123</v>
      </c>
      <c r="M64" s="71">
        <f ca="1">IF(AND(D64&gt;=$AC$4,D64&lt;=$AU$4),IF(""=IFERROR(INDEX(INDIRECT("Data!C"&amp;$K$5,FALSE),MATCH(D64,Data!$A:$A,0)),$BX$12),$BX$11,IFERROR(INDEX(INDIRECT("Data!C"&amp;$K$5,FALSE),MATCH(D64,Data!$A:$A,0)),$BX$12)),"-")</f>
        <v>126</v>
      </c>
      <c r="N64" s="71">
        <f ca="1">IF(AND(E64&gt;=$AC$4,E64&lt;=$AU$4),IF(""=IFERROR(INDEX(INDIRECT("Data!C"&amp;$K$5,FALSE),MATCH(E64,Data!$A:$A,0)),$BX$12),$BX$11,IFERROR(INDEX(INDIRECT("Data!C"&amp;$K$5,FALSE),MATCH(E64,Data!$A:$A,0)),$BX$12)),"-")</f>
        <v>141</v>
      </c>
      <c r="O64" s="71">
        <f ca="1">IF(AND(F64&gt;=$AC$4,F64&lt;=$AU$4),IF(""=IFERROR(INDEX(INDIRECT("Data!C"&amp;$K$5,FALSE),MATCH(F64,Data!$A:$A,0)),$BX$12),$BX$11,IFERROR(INDEX(INDIRECT("Data!C"&amp;$K$5,FALSE),MATCH(F64,Data!$A:$A,0)),$BX$12)),"-")</f>
        <v>86</v>
      </c>
      <c r="P64" s="71">
        <f ca="1">IF(AND(G64&gt;=$AC$4,G64&lt;=$AU$4),IF(""=IFERROR(INDEX(INDIRECT("Data!C"&amp;$K$5,FALSE),MATCH(G64,Data!$A:$A,0)),$BX$12),$BX$11,IFERROR(INDEX(INDIRECT("Data!C"&amp;$K$5,FALSE),MATCH(G64,Data!$A:$A,0)),$BX$12)),"-")</f>
        <v>109</v>
      </c>
      <c r="Q64" s="71">
        <f ca="1">IF(AND(H64&gt;=$AC$4,H64&lt;=$AU$4),IF(""=IFERROR(INDEX(INDIRECT("Data!C"&amp;$K$5,FALSE),MATCH(H64,Data!$A:$A,0)),$BX$12),$BX$11,IFERROR(INDEX(INDIRECT("Data!C"&amp;$K$5,FALSE),MATCH(H64,Data!$A:$A,0)),$BX$12)),"-")</f>
        <v>45</v>
      </c>
      <c r="R64" s="7"/>
      <c r="T64" s="34">
        <f t="shared" si="49"/>
        <v>41637</v>
      </c>
      <c r="U64" s="34">
        <f t="shared" si="44"/>
        <v>41638</v>
      </c>
      <c r="V64" s="34">
        <f t="shared" si="28"/>
        <v>41639</v>
      </c>
      <c r="W64" s="34">
        <f t="shared" si="29"/>
        <v>41640</v>
      </c>
      <c r="X64" s="34">
        <f t="shared" si="30"/>
        <v>41641</v>
      </c>
      <c r="Y64" s="34">
        <f t="shared" si="31"/>
        <v>41642</v>
      </c>
      <c r="Z64" s="34">
        <f t="shared" si="32"/>
        <v>41643</v>
      </c>
      <c r="AB64" s="24" t="str">
        <f t="array" ref="AB64">IFERROR(IF(MATCH(8,DAY(T64:Z64),0),Z64,""),"")</f>
        <v/>
      </c>
      <c r="AC64" s="71">
        <f ca="1">IF(AND(T64&gt;=$AC$4,T64&lt;=$AU$4),IF(""=IFERROR(INDEX(INDIRECT("Data!C"&amp;$K$5,FALSE),MATCH(T64,Data!$A:$A,0)),$BX$12),$BX$11,IFERROR(INDEX(INDIRECT("Data!C"&amp;$K$5,FALSE),MATCH(T64,Data!$A:$A,0)),$BX$12)),"-")</f>
        <v>27</v>
      </c>
      <c r="AD64" s="71">
        <f ca="1">IF(AND(U64&gt;=$AC$4,U64&lt;=$AU$4),IF(""=IFERROR(INDEX(INDIRECT("Data!C"&amp;$K$5,FALSE),MATCH(U64,Data!$A:$A,0)),$BX$12),$BX$11,IFERROR(INDEX(INDIRECT("Data!C"&amp;$K$5,FALSE),MATCH(U64,Data!$A:$A,0)),$BX$12)),"-")</f>
        <v>249</v>
      </c>
      <c r="AE64" s="71">
        <f ca="1">IF(AND(V64&gt;=$AC$4,V64&lt;=$AU$4),IF(""=IFERROR(INDEX(INDIRECT("Data!C"&amp;$K$5,FALSE),MATCH(V64,Data!$A:$A,0)),$BX$12),$BX$11,IFERROR(INDEX(INDIRECT("Data!C"&amp;$K$5,FALSE),MATCH(V64,Data!$A:$A,0)),$BX$12)),"-")</f>
        <v>269</v>
      </c>
      <c r="AF64" s="71">
        <f ca="1">IF(AND(W64&gt;=$AC$4,W64&lt;=$AU$4),IF(""=IFERROR(INDEX(INDIRECT("Data!C"&amp;$K$5,FALSE),MATCH(W64,Data!$A:$A,0)),$BX$12),$BX$11,IFERROR(INDEX(INDIRECT("Data!C"&amp;$K$5,FALSE),MATCH(W64,Data!$A:$A,0)),$BX$12)),"-")</f>
        <v>154</v>
      </c>
      <c r="AG64" s="71">
        <f ca="1">IF(AND(X64&gt;=$AC$4,X64&lt;=$AU$4),IF(""=IFERROR(INDEX(INDIRECT("Data!C"&amp;$K$5,FALSE),MATCH(X64,Data!$A:$A,0)),$BX$12),$BX$11,IFERROR(INDEX(INDIRECT("Data!C"&amp;$K$5,FALSE),MATCH(X64,Data!$A:$A,0)),$BX$12)),"-")</f>
        <v>123</v>
      </c>
      <c r="AH64" s="71">
        <f ca="1">IF(AND(Y64&gt;=$AC$4,Y64&lt;=$AU$4),IF(""=IFERROR(INDEX(INDIRECT("Data!C"&amp;$K$5,FALSE),MATCH(Y64,Data!$A:$A,0)),$BX$12),$BX$11,IFERROR(INDEX(INDIRECT("Data!C"&amp;$K$5,FALSE),MATCH(Y64,Data!$A:$A,0)),$BX$12)),"-")</f>
        <v>88</v>
      </c>
      <c r="AI64" s="71">
        <f ca="1">IF(AND(Z64&gt;=$AC$4,Z64&lt;=$AU$4),IF(""=IFERROR(INDEX(INDIRECT("Data!C"&amp;$K$5,FALSE),MATCH(Z64,Data!$A:$A,0)),$BX$12),$BX$11,IFERROR(INDEX(INDIRECT("Data!C"&amp;$K$5,FALSE),MATCH(Z64,Data!$A:$A,0)),$BX$12)),"-")</f>
        <v>20</v>
      </c>
      <c r="AJ64" s="7"/>
      <c r="AL64" s="34">
        <f t="shared" si="50"/>
        <v>42001</v>
      </c>
      <c r="AM64" s="34">
        <f t="shared" si="45"/>
        <v>42002</v>
      </c>
      <c r="AN64" s="34">
        <f t="shared" si="33"/>
        <v>42003</v>
      </c>
      <c r="AO64" s="34">
        <f t="shared" si="34"/>
        <v>42004</v>
      </c>
      <c r="AP64" s="34">
        <f t="shared" si="35"/>
        <v>42005</v>
      </c>
      <c r="AQ64" s="34">
        <f t="shared" si="36"/>
        <v>42006</v>
      </c>
      <c r="AR64" s="34">
        <f t="shared" si="37"/>
        <v>42007</v>
      </c>
      <c r="AT64" s="24" t="str">
        <f t="array" ref="AT64">IFERROR(IF(MATCH(8,DAY(AL64:AR64),0),AR64,""),"")</f>
        <v/>
      </c>
      <c r="AU64" s="71">
        <f ca="1">IF(AND(AL64&gt;=$AC$4,AL64&lt;=$AU$4),IF(""=IFERROR(INDEX(INDIRECT("Data!C"&amp;$K$5,FALSE),MATCH(AL64,Data!$A:$A,0)),$BX$12),$BX$11,IFERROR(INDEX(INDIRECT("Data!C"&amp;$K$5,FALSE),MATCH(AL64,Data!$A:$A,0)),$BX$12)),"-")</f>
        <v>28</v>
      </c>
      <c r="AV64" s="71">
        <f ca="1">IF(AND(AM64&gt;=$AC$4,AM64&lt;=$AU$4),IF(""=IFERROR(INDEX(INDIRECT("Data!C"&amp;$K$5,FALSE),MATCH(AM64,Data!$A:$A,0)),$BX$12),$BX$11,IFERROR(INDEX(INDIRECT("Data!C"&amp;$K$5,FALSE),MATCH(AM64,Data!$A:$A,0)),$BX$12)),"-")</f>
        <v>122</v>
      </c>
      <c r="AW64" s="71">
        <f ca="1">IF(AND(AN64&gt;=$AC$4,AN64&lt;=$AU$4),IF(""=IFERROR(INDEX(INDIRECT("Data!C"&amp;$K$5,FALSE),MATCH(AN64,Data!$A:$A,0)),$BX$12),$BX$11,IFERROR(INDEX(INDIRECT("Data!C"&amp;$K$5,FALSE),MATCH(AN64,Data!$A:$A,0)),$BX$12)),"-")</f>
        <v>160</v>
      </c>
      <c r="AX64" s="71">
        <f ca="1">IF(AND(AO64&gt;=$AC$4,AO64&lt;=$AU$4),IF(""=IFERROR(INDEX(INDIRECT("Data!C"&amp;$K$5,FALSE),MATCH(AO64,Data!$A:$A,0)),$BX$12),$BX$11,IFERROR(INDEX(INDIRECT("Data!C"&amp;$K$5,FALSE),MATCH(AO64,Data!$A:$A,0)),$BX$12)),"-")</f>
        <v>122</v>
      </c>
      <c r="AY64" s="71">
        <f ca="1">IF(AND(AP64&gt;=$AC$4,AP64&lt;=$AU$4),IF(""=IFERROR(INDEX(INDIRECT("Data!C"&amp;$K$5,FALSE),MATCH(AP64,Data!$A:$A,0)),$BX$12),$BX$11,IFERROR(INDEX(INDIRECT("Data!C"&amp;$K$5,FALSE),MATCH(AP64,Data!$A:$A,0)),$BX$12)),"-")</f>
        <v>187</v>
      </c>
      <c r="AZ64" s="71">
        <f ca="1">IF(AND(AQ64&gt;=$AC$4,AQ64&lt;=$AU$4),IF(""=IFERROR(INDEX(INDIRECT("Data!C"&amp;$K$5,FALSE),MATCH(AQ64,Data!$A:$A,0)),$BX$12),$BX$11,IFERROR(INDEX(INDIRECT("Data!C"&amp;$K$5,FALSE),MATCH(AQ64,Data!$A:$A,0)),$BX$12)),"-")</f>
        <v>147</v>
      </c>
      <c r="BA64" s="71">
        <f ca="1">IF(AND(AR64&gt;=$AC$4,AR64&lt;=$AU$4),IF(""=IFERROR(INDEX(INDIRECT("Data!C"&amp;$K$5,FALSE),MATCH(AR64,Data!$A:$A,0)),$BX$12),$BX$11,IFERROR(INDEX(INDIRECT("Data!C"&amp;$K$5,FALSE),MATCH(AR64,Data!$A:$A,0)),$BX$12)),"-")</f>
        <v>60</v>
      </c>
      <c r="BB64" s="7"/>
      <c r="BD64" s="34">
        <f t="shared" si="51"/>
        <v>42365</v>
      </c>
      <c r="BE64" s="34">
        <f t="shared" si="46"/>
        <v>42366</v>
      </c>
      <c r="BF64" s="34">
        <f t="shared" si="38"/>
        <v>42367</v>
      </c>
      <c r="BG64" s="34">
        <f t="shared" si="39"/>
        <v>42368</v>
      </c>
      <c r="BH64" s="34">
        <f t="shared" si="40"/>
        <v>42369</v>
      </c>
      <c r="BI64" s="34">
        <f t="shared" si="41"/>
        <v>42370</v>
      </c>
      <c r="BJ64" s="34">
        <f t="shared" si="42"/>
        <v>42371</v>
      </c>
      <c r="BL64" s="24" t="str">
        <f t="array" ref="BL64">IFERROR(IF(MATCH(8,DAY(BD64:BJ64),0),BJ64,""),"")</f>
        <v/>
      </c>
      <c r="BM64" s="71">
        <f ca="1">IF(AND(BD64&gt;=$AC$4,BD64&lt;=$AU$4),IF(""=IFERROR(INDEX(INDIRECT("Data!C"&amp;$K$5,FALSE),MATCH(BD64,Data!$A:$A,0)),$BX$12),$BX$11,IFERROR(INDEX(INDIRECT("Data!C"&amp;$K$5,FALSE),MATCH(BD64,Data!$A:$A,0)),$BX$12)),"-")</f>
        <v>12</v>
      </c>
      <c r="BN64" s="71">
        <f ca="1">IF(AND(BE64&gt;=$AC$4,BE64&lt;=$AU$4),IF(""=IFERROR(INDEX(INDIRECT("Data!C"&amp;$K$5,FALSE),MATCH(BE64,Data!$A:$A,0)),$BX$12),$BX$11,IFERROR(INDEX(INDIRECT("Data!C"&amp;$K$5,FALSE),MATCH(BE64,Data!$A:$A,0)),$BX$12)),"-")</f>
        <v>266</v>
      </c>
      <c r="BO64" s="71">
        <f ca="1">IF(AND(BF64&gt;=$AC$4,BF64&lt;=$AU$4),IF(""=IFERROR(INDEX(INDIRECT("Data!C"&amp;$K$5,FALSE),MATCH(BF64,Data!$A:$A,0)),$BX$12),$BX$11,IFERROR(INDEX(INDIRECT("Data!C"&amp;$K$5,FALSE),MATCH(BF64,Data!$A:$A,0)),$BX$12)),"-")</f>
        <v>99</v>
      </c>
      <c r="BP64" s="71">
        <f ca="1">IF(AND(BG64&gt;=$AC$4,BG64&lt;=$AU$4),IF(""=IFERROR(INDEX(INDIRECT("Data!C"&amp;$K$5,FALSE),MATCH(BG64,Data!$A:$A,0)),$BX$12),$BX$11,IFERROR(INDEX(INDIRECT("Data!C"&amp;$K$5,FALSE),MATCH(BG64,Data!$A:$A,0)),$BX$12)),"-")</f>
        <v>156</v>
      </c>
      <c r="BQ64" s="71">
        <f ca="1">IF(AND(BH64&gt;=$AC$4,BH64&lt;=$AU$4),IF(""=IFERROR(INDEX(INDIRECT("Data!C"&amp;$K$5,FALSE),MATCH(BH64,Data!$A:$A,0)),$BX$12),$BX$11,IFERROR(INDEX(INDIRECT("Data!C"&amp;$K$5,FALSE),MATCH(BH64,Data!$A:$A,0)),$BX$12)),"-")</f>
        <v>209</v>
      </c>
      <c r="BR64" s="71" t="str">
        <f ca="1">IF(AND(BI64&gt;=$AC$4,BI64&lt;=$AU$4),IF(""=IFERROR(INDEX(INDIRECT("Data!C"&amp;$K$5,FALSE),MATCH(BI64,Data!$A:$A,0)),$BX$12),$BX$11,IFERROR(INDEX(INDIRECT("Data!C"&amp;$K$5,FALSE),MATCH(BI64,Data!$A:$A,0)),$BX$12)),"-")</f>
        <v>-</v>
      </c>
      <c r="BS64" s="71" t="str">
        <f ca="1">IF(AND(BJ64&gt;=$AC$4,BJ64&lt;=$AU$4),IF(""=IFERROR(INDEX(INDIRECT("Data!C"&amp;$K$5,FALSE),MATCH(BJ64,Data!$A:$A,0)),$BX$12),$BX$11,IFERROR(INDEX(INDIRECT("Data!C"&amp;$K$5,FALSE),MATCH(BJ64,Data!$A:$A,0)),$BX$12)),"-")</f>
        <v>-</v>
      </c>
      <c r="BT64" s="7"/>
      <c r="BU64" s="58">
        <f t="shared" ca="1" si="47"/>
        <v>121.46153846153847</v>
      </c>
    </row>
  </sheetData>
  <mergeCells count="20">
    <mergeCell ref="BW9:BX9"/>
    <mergeCell ref="BM4:BS4"/>
    <mergeCell ref="BM3:BS3"/>
    <mergeCell ref="B10:H10"/>
    <mergeCell ref="K10:Q10"/>
    <mergeCell ref="T10:Z10"/>
    <mergeCell ref="AL10:AR10"/>
    <mergeCell ref="BD10:BJ10"/>
    <mergeCell ref="AC10:AI10"/>
    <mergeCell ref="AU10:BA10"/>
    <mergeCell ref="BM10:BS10"/>
    <mergeCell ref="AC3:AI3"/>
    <mergeCell ref="AU3:BA3"/>
    <mergeCell ref="K3:Q3"/>
    <mergeCell ref="K4:Q4"/>
    <mergeCell ref="AU7:AY7"/>
    <mergeCell ref="AC7:AG7"/>
    <mergeCell ref="BM7:BQ7"/>
    <mergeCell ref="AC4:AI4"/>
    <mergeCell ref="AU4:BA4"/>
  </mergeCells>
  <conditionalFormatting sqref="K12:Q64">
    <cfRule type="expression" dxfId="57" priority="26">
      <formula>OR(ISBLANK(OFFSET(B12,0,1,1,1)),MONTH(B12)&lt;&gt;MONTH(OFFSET(B12,0,1,1,1)))</formula>
    </cfRule>
    <cfRule type="expression" dxfId="56" priority="30">
      <formula>OR(ISBLANK(OFFSET(B12,1,0,1,1)),MONTH(B12)&lt;&gt;MONTH(OFFSET(B12,1,0,1,1)))</formula>
    </cfRule>
    <cfRule type="expression" dxfId="55" priority="31">
      <formula>OR(ISBLANK(OFFSET(B12,0,-1,1,1)),MONTH(B12)&lt;&gt;MONTH(OFFSET(B12,0,-1,1,1)))</formula>
    </cfRule>
  </conditionalFormatting>
  <conditionalFormatting sqref="B12:H64">
    <cfRule type="expression" dxfId="54" priority="32">
      <formula>OR(ISBLANK(OFFSET(B12,0,1,1,1)),MONTH(B12)&lt;&gt;MONTH(OFFSET(B12,0,1,1,1)))</formula>
    </cfRule>
    <cfRule type="expression" dxfId="53" priority="33">
      <formula>OR(ISBLANK(OFFSET(B12,1,0,1,1)),MONTH(B12)&lt;&gt;MONTH(OFFSET(B12,1,0,1,1)))</formula>
    </cfRule>
    <cfRule type="expression" dxfId="52" priority="34">
      <formula>OR(ISBLANK(OFFSET(B12,0,-1,1,1)),MONTH(B12)&lt;&gt;MONTH(OFFSET(B12,0,-1,1,1)))</formula>
    </cfRule>
  </conditionalFormatting>
  <conditionalFormatting sqref="BU12:BU64">
    <cfRule type="dataBar" priority="25">
      <dataBar showValue="0">
        <cfvo type="min"/>
        <cfvo type="max"/>
        <color theme="4" tint="0.39997558519241921"/>
      </dataBar>
      <extLst>
        <ext xmlns:x14="http://schemas.microsoft.com/office/spreadsheetml/2009/9/main" uri="{B025F937-C7B1-47D3-B67F-A62EFF666E3E}">
          <x14:id>{AE825248-D430-49C9-95F2-FB0876A5BE43}</x14:id>
        </ext>
      </extLst>
    </cfRule>
  </conditionalFormatting>
  <conditionalFormatting sqref="AC12:AI64">
    <cfRule type="expression" dxfId="51" priority="18">
      <formula>OR(ISBLANK(OFFSET(T12,0,1,1,1)),MONTH(T12)&lt;&gt;MONTH(OFFSET(T12,0,1,1,1)))</formula>
    </cfRule>
    <cfRule type="expression" dxfId="50" priority="20">
      <formula>OR(ISBLANK(OFFSET(T12,1,0,1,1)),MONTH(T12)&lt;&gt;MONTH(OFFSET(T12,1,0,1,1)))</formula>
    </cfRule>
    <cfRule type="expression" dxfId="49" priority="21">
      <formula>OR(ISBLANK(OFFSET(T12,0,-1,1,1)),MONTH(T12)&lt;&gt;MONTH(OFFSET(T12,0,-1,1,1)))</formula>
    </cfRule>
  </conditionalFormatting>
  <conditionalFormatting sqref="T12:Z64">
    <cfRule type="expression" dxfId="48" priority="22">
      <formula>OR(ISBLANK(OFFSET(T12,0,1,1,1)),MONTH(T12)&lt;&gt;MONTH(OFFSET(T12,0,1,1,1)))</formula>
    </cfRule>
    <cfRule type="expression" dxfId="47" priority="23">
      <formula>OR(ISBLANK(OFFSET(T12,1,0,1,1)),MONTH(T12)&lt;&gt;MONTH(OFFSET(T12,1,0,1,1)))</formula>
    </cfRule>
    <cfRule type="expression" dxfId="46" priority="24">
      <formula>OR(ISBLANK(OFFSET(T12,0,-1,1,1)),MONTH(T12)&lt;&gt;MONTH(OFFSET(T12,0,-1,1,1)))</formula>
    </cfRule>
  </conditionalFormatting>
  <conditionalFormatting sqref="AU12:BA64">
    <cfRule type="expression" dxfId="45" priority="11">
      <formula>OR(ISBLANK(OFFSET(AL12,0,1,1,1)),MONTH(AL12)&lt;&gt;MONTH(OFFSET(AL12,0,1,1,1)))</formula>
    </cfRule>
    <cfRule type="expression" dxfId="44" priority="13">
      <formula>OR(ISBLANK(OFFSET(AL12,1,0,1,1)),MONTH(AL12)&lt;&gt;MONTH(OFFSET(AL12,1,0,1,1)))</formula>
    </cfRule>
    <cfRule type="expression" dxfId="43" priority="14">
      <formula>OR(ISBLANK(OFFSET(AL12,0,-1,1,1)),MONTH(AL12)&lt;&gt;MONTH(OFFSET(AL12,0,-1,1,1)))</formula>
    </cfRule>
  </conditionalFormatting>
  <conditionalFormatting sqref="AL12:AR64">
    <cfRule type="expression" dxfId="42" priority="15">
      <formula>OR(ISBLANK(OFFSET(AL12,0,1,1,1)),MONTH(AL12)&lt;&gt;MONTH(OFFSET(AL12,0,1,1,1)))</formula>
    </cfRule>
    <cfRule type="expression" dxfId="41" priority="16">
      <formula>OR(ISBLANK(OFFSET(AL12,1,0,1,1)),MONTH(AL12)&lt;&gt;MONTH(OFFSET(AL12,1,0,1,1)))</formula>
    </cfRule>
    <cfRule type="expression" dxfId="40" priority="17">
      <formula>OR(ISBLANK(OFFSET(AL12,0,-1,1,1)),MONTH(AL12)&lt;&gt;MONTH(OFFSET(AL12,0,-1,1,1)))</formula>
    </cfRule>
  </conditionalFormatting>
  <conditionalFormatting sqref="BM12:BS64">
    <cfRule type="expression" dxfId="39" priority="4">
      <formula>OR(ISBLANK(OFFSET(BD12,0,1,1,1)),MONTH(BD12)&lt;&gt;MONTH(OFFSET(BD12,0,1,1,1)))</formula>
    </cfRule>
    <cfRule type="expression" dxfId="38" priority="6">
      <formula>OR(ISBLANK(OFFSET(BD12,1,0,1,1)),MONTH(BD12)&lt;&gt;MONTH(OFFSET(BD12,1,0,1,1)))</formula>
    </cfRule>
    <cfRule type="expression" dxfId="37" priority="7">
      <formula>OR(ISBLANK(OFFSET(BD12,0,-1,1,1)),MONTH(BD12)&lt;&gt;MONTH(OFFSET(BD12,0,-1,1,1)))</formula>
    </cfRule>
  </conditionalFormatting>
  <conditionalFormatting sqref="BD12:BJ64">
    <cfRule type="expression" dxfId="36" priority="8">
      <formula>OR(ISBLANK(OFFSET(BD12,0,1,1,1)),MONTH(BD12)&lt;&gt;MONTH(OFFSET(BD12,0,1,1,1)))</formula>
    </cfRule>
    <cfRule type="expression" dxfId="35" priority="9">
      <formula>OR(ISBLANK(OFFSET(BD12,1,0,1,1)),MONTH(BD12)&lt;&gt;MONTH(OFFSET(BD12,1,0,1,1)))</formula>
    </cfRule>
    <cfRule type="expression" dxfId="34" priority="10">
      <formula>OR(ISBLANK(OFFSET(BD12,0,-1,1,1)),MONTH(BD12)&lt;&gt;MONTH(OFFSET(BD12,0,-1,1,1)))</formula>
    </cfRule>
  </conditionalFormatting>
  <conditionalFormatting sqref="AC12:AI64 AU12:BA64 BM12:BS64 K12:Q64">
    <cfRule type="expression" dxfId="33" priority="35">
      <formula>AND($BX$14="yes",MATCH(B12,holidays,0))</formula>
    </cfRule>
  </conditionalFormatting>
  <conditionalFormatting sqref="AC12:AI64 AU12:BA64 BM12:BS64 K12:Q64 AC7 AU7 BM7 BU7">
    <cfRule type="colorScale" priority="1">
      <colorScale>
        <cfvo type="percentile" val="10"/>
        <cfvo type="percentile" val="50"/>
        <cfvo type="percentile" val="90"/>
        <color rgb="FF63BE7B"/>
        <color rgb="FFFFEB84"/>
        <color rgb="FFF8696B"/>
      </colorScale>
    </cfRule>
  </conditionalFormatting>
  <conditionalFormatting sqref="K12:Q64 BM7 AU7 AC7 AC12:AI64 AU12:BA64 BM12:BS64 BU7">
    <cfRule type="colorScale" priority="2">
      <colorScale>
        <cfvo type="percentile" val="10"/>
        <cfvo type="percentile" val="50"/>
        <cfvo type="percentile" val="90"/>
        <color rgb="FFF8696B"/>
        <color rgb="FFFFEB84"/>
        <color rgb="FF63BE7B"/>
      </colorScale>
    </cfRule>
    <cfRule type="colorScale" priority="3">
      <colorScale>
        <cfvo type="min"/>
        <cfvo type="percentile" val="90"/>
        <color theme="0"/>
        <color theme="4"/>
      </colorScale>
    </cfRule>
  </conditionalFormatting>
  <dataValidations count="4">
    <dataValidation type="list" allowBlank="1" showInputMessage="1" showErrorMessage="1" sqref="BM4">
      <formula1>"Sunday,Monday,Tuesday,Wednesday,Thursday,Friday,Saturday"</formula1>
    </dataValidation>
    <dataValidation type="list" allowBlank="1" showInputMessage="1" showErrorMessage="1" sqref="K4">
      <formula1>data_labels</formula1>
    </dataValidation>
    <dataValidation type="list" allowBlank="1" sqref="BX14">
      <formula1>"yes,no"</formula1>
    </dataValidation>
    <dataValidation type="list" allowBlank="1" sqref="BX11:BX12">
      <formula1>"-,0"</formula1>
    </dataValidation>
  </dataValidations>
  <printOptions horizontalCentered="1"/>
  <pageMargins left="0.3" right="0.3" top="0.3" bottom="0.35" header="0.25" footer="0.25"/>
  <pageSetup scale="94" orientation="portrait" r:id="rId1"/>
  <headerFooter>
    <oddFooter>&amp;L&amp;8&amp;K01+049https://www.vertex42.com/ExcelTemplates/calendar-chart.html&amp;R&amp;8&amp;K01+049Calendar Chart Template © 2016 by Vertex42.com</oddFooter>
  </headerFooter>
  <ignoredErrors>
    <ignoredError sqref="R9:AB9 AJ9:AT9 BB9:BL9" evalError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825248-D430-49C9-95F2-FB0876A5BE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BU12:BU64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minAxisType="group" maxAxisType="group">
          <x14:colorSeries theme="4" tint="0.39997558519241921"/>
          <x14:colorNegative theme="0" tint="-0.499984740745262"/>
          <x14:colorAxis rgb="FF000000"/>
          <x14:colorMarkers theme="4" tint="0.79998168889431442"/>
          <x14:colorFirst theme="4" tint="-0.249977111117893"/>
          <x14:colorLast theme="4" tint="-0.249977111117893"/>
          <x14:colorHigh theme="4" tint="-0.499984740745262"/>
          <x14:colorLow theme="4" tint="-0.499984740745262"/>
          <x14:sparklines>
            <x14:sparkline>
              <xm:f>'4-Year'!K9:K9</xm:f>
              <xm:sqref>K9</xm:sqref>
            </x14:sparkline>
            <x14:sparkline>
              <xm:f>'4-Year'!L9:L9</xm:f>
              <xm:sqref>L9</xm:sqref>
            </x14:sparkline>
            <x14:sparkline>
              <xm:f>'4-Year'!M9:M9</xm:f>
              <xm:sqref>M9</xm:sqref>
            </x14:sparkline>
            <x14:sparkline>
              <xm:f>'4-Year'!N9:N9</xm:f>
              <xm:sqref>N9</xm:sqref>
            </x14:sparkline>
            <x14:sparkline>
              <xm:f>'4-Year'!O9:O9</xm:f>
              <xm:sqref>O9</xm:sqref>
            </x14:sparkline>
            <x14:sparkline>
              <xm:f>'4-Year'!P9:P9</xm:f>
              <xm:sqref>P9</xm:sqref>
            </x14:sparkline>
            <x14:sparkline>
              <xm:f>'4-Year'!Q9:Q9</xm:f>
              <xm:sqref>Q9</xm:sqref>
            </x14:sparkline>
            <x14:sparkline>
              <xm:f>'4-Year'!R9:R9</xm:f>
              <xm:sqref>R9</xm:sqref>
            </x14:sparkline>
            <x14:sparkline>
              <xm:f>'4-Year'!S9:S9</xm:f>
              <xm:sqref>S9</xm:sqref>
            </x14:sparkline>
            <x14:sparkline>
              <xm:f>'4-Year'!T9:T9</xm:f>
              <xm:sqref>T9</xm:sqref>
            </x14:sparkline>
            <x14:sparkline>
              <xm:f>'4-Year'!U9:U9</xm:f>
              <xm:sqref>U9</xm:sqref>
            </x14:sparkline>
            <x14:sparkline>
              <xm:f>'4-Year'!V9:V9</xm:f>
              <xm:sqref>V9</xm:sqref>
            </x14:sparkline>
            <x14:sparkline>
              <xm:f>'4-Year'!W9:W9</xm:f>
              <xm:sqref>W9</xm:sqref>
            </x14:sparkline>
            <x14:sparkline>
              <xm:f>'4-Year'!X9:X9</xm:f>
              <xm:sqref>X9</xm:sqref>
            </x14:sparkline>
            <x14:sparkline>
              <xm:f>'4-Year'!Y9:Y9</xm:f>
              <xm:sqref>Y9</xm:sqref>
            </x14:sparkline>
            <x14:sparkline>
              <xm:f>'4-Year'!Z9:Z9</xm:f>
              <xm:sqref>Z9</xm:sqref>
            </x14:sparkline>
            <x14:sparkline>
              <xm:f>'4-Year'!AA9:AA9</xm:f>
              <xm:sqref>AA9</xm:sqref>
            </x14:sparkline>
            <x14:sparkline>
              <xm:f>'4-Year'!AB9:AB9</xm:f>
              <xm:sqref>AB9</xm:sqref>
            </x14:sparkline>
            <x14:sparkline>
              <xm:f>'4-Year'!AC9:AC9</xm:f>
              <xm:sqref>AC9</xm:sqref>
            </x14:sparkline>
            <x14:sparkline>
              <xm:f>'4-Year'!AD9:AD9</xm:f>
              <xm:sqref>AD9</xm:sqref>
            </x14:sparkline>
            <x14:sparkline>
              <xm:f>'4-Year'!AE9:AE9</xm:f>
              <xm:sqref>AE9</xm:sqref>
            </x14:sparkline>
            <x14:sparkline>
              <xm:f>'4-Year'!AF9:AF9</xm:f>
              <xm:sqref>AF9</xm:sqref>
            </x14:sparkline>
            <x14:sparkline>
              <xm:f>'4-Year'!AG9:AG9</xm:f>
              <xm:sqref>AG9</xm:sqref>
            </x14:sparkline>
            <x14:sparkline>
              <xm:f>'4-Year'!AH9:AH9</xm:f>
              <xm:sqref>AH9</xm:sqref>
            </x14:sparkline>
            <x14:sparkline>
              <xm:f>'4-Year'!AI9:AI9</xm:f>
              <xm:sqref>AI9</xm:sqref>
            </x14:sparkline>
            <x14:sparkline>
              <xm:f>'4-Year'!AJ9:AJ9</xm:f>
              <xm:sqref>AJ9</xm:sqref>
            </x14:sparkline>
            <x14:sparkline>
              <xm:f>'4-Year'!AK9:AK9</xm:f>
              <xm:sqref>AK9</xm:sqref>
            </x14:sparkline>
            <x14:sparkline>
              <xm:f>'4-Year'!AL9:AL9</xm:f>
              <xm:sqref>AL9</xm:sqref>
            </x14:sparkline>
            <x14:sparkline>
              <xm:f>'4-Year'!AM9:AM9</xm:f>
              <xm:sqref>AM9</xm:sqref>
            </x14:sparkline>
            <x14:sparkline>
              <xm:f>'4-Year'!AN9:AN9</xm:f>
              <xm:sqref>AN9</xm:sqref>
            </x14:sparkline>
            <x14:sparkline>
              <xm:f>'4-Year'!AO9:AO9</xm:f>
              <xm:sqref>AO9</xm:sqref>
            </x14:sparkline>
            <x14:sparkline>
              <xm:f>'4-Year'!AP9:AP9</xm:f>
              <xm:sqref>AP9</xm:sqref>
            </x14:sparkline>
            <x14:sparkline>
              <xm:f>'4-Year'!AQ9:AQ9</xm:f>
              <xm:sqref>AQ9</xm:sqref>
            </x14:sparkline>
            <x14:sparkline>
              <xm:f>'4-Year'!AR9:AR9</xm:f>
              <xm:sqref>AR9</xm:sqref>
            </x14:sparkline>
            <x14:sparkline>
              <xm:f>'4-Year'!AS9:AS9</xm:f>
              <xm:sqref>AS9</xm:sqref>
            </x14:sparkline>
            <x14:sparkline>
              <xm:f>'4-Year'!AT9:AT9</xm:f>
              <xm:sqref>AT9</xm:sqref>
            </x14:sparkline>
            <x14:sparkline>
              <xm:f>'4-Year'!AU9:AU9</xm:f>
              <xm:sqref>AU9</xm:sqref>
            </x14:sparkline>
            <x14:sparkline>
              <xm:f>'4-Year'!AV9:AV9</xm:f>
              <xm:sqref>AV9</xm:sqref>
            </x14:sparkline>
            <x14:sparkline>
              <xm:f>'4-Year'!AW9:AW9</xm:f>
              <xm:sqref>AW9</xm:sqref>
            </x14:sparkline>
            <x14:sparkline>
              <xm:f>'4-Year'!AX9:AX9</xm:f>
              <xm:sqref>AX9</xm:sqref>
            </x14:sparkline>
            <x14:sparkline>
              <xm:f>'4-Year'!AY9:AY9</xm:f>
              <xm:sqref>AY9</xm:sqref>
            </x14:sparkline>
            <x14:sparkline>
              <xm:f>'4-Year'!AZ9:AZ9</xm:f>
              <xm:sqref>AZ9</xm:sqref>
            </x14:sparkline>
            <x14:sparkline>
              <xm:f>'4-Year'!BA9:BA9</xm:f>
              <xm:sqref>BA9</xm:sqref>
            </x14:sparkline>
            <x14:sparkline>
              <xm:f>'4-Year'!BB9:BB9</xm:f>
              <xm:sqref>BB9</xm:sqref>
            </x14:sparkline>
            <x14:sparkline>
              <xm:f>'4-Year'!BC9:BC9</xm:f>
              <xm:sqref>BC9</xm:sqref>
            </x14:sparkline>
            <x14:sparkline>
              <xm:f>'4-Year'!BD9:BD9</xm:f>
              <xm:sqref>BD9</xm:sqref>
            </x14:sparkline>
            <x14:sparkline>
              <xm:f>'4-Year'!BE9:BE9</xm:f>
              <xm:sqref>BE9</xm:sqref>
            </x14:sparkline>
            <x14:sparkline>
              <xm:f>'4-Year'!BF9:BF9</xm:f>
              <xm:sqref>BF9</xm:sqref>
            </x14:sparkline>
            <x14:sparkline>
              <xm:f>'4-Year'!BG9:BG9</xm:f>
              <xm:sqref>BG9</xm:sqref>
            </x14:sparkline>
            <x14:sparkline>
              <xm:f>'4-Year'!BH9:BH9</xm:f>
              <xm:sqref>BH9</xm:sqref>
            </x14:sparkline>
            <x14:sparkline>
              <xm:f>'4-Year'!BI9:BI9</xm:f>
              <xm:sqref>BI9</xm:sqref>
            </x14:sparkline>
            <x14:sparkline>
              <xm:f>'4-Year'!BJ9:BJ9</xm:f>
              <xm:sqref>BJ9</xm:sqref>
            </x14:sparkline>
            <x14:sparkline>
              <xm:f>'4-Year'!BK9:BK9</xm:f>
              <xm:sqref>BK9</xm:sqref>
            </x14:sparkline>
            <x14:sparkline>
              <xm:f>'4-Year'!BL9:BL9</xm:f>
              <xm:sqref>BL9</xm:sqref>
            </x14:sparkline>
            <x14:sparkline>
              <xm:f>'4-Year'!BM9:BM9</xm:f>
              <xm:sqref>BM9</xm:sqref>
            </x14:sparkline>
            <x14:sparkline>
              <xm:f>'4-Year'!BN9:BN9</xm:f>
              <xm:sqref>BN9</xm:sqref>
            </x14:sparkline>
            <x14:sparkline>
              <xm:f>'4-Year'!BO9:BO9</xm:f>
              <xm:sqref>BO9</xm:sqref>
            </x14:sparkline>
            <x14:sparkline>
              <xm:f>'4-Year'!BP9:BP9</xm:f>
              <xm:sqref>BP9</xm:sqref>
            </x14:sparkline>
            <x14:sparkline>
              <xm:f>'4-Year'!BQ9:BQ9</xm:f>
              <xm:sqref>BQ9</xm:sqref>
            </x14:sparkline>
            <x14:sparkline>
              <xm:f>'4-Year'!BR9:BR9</xm:f>
              <xm:sqref>BR9</xm:sqref>
            </x14:sparkline>
            <x14:sparkline>
              <xm:f>'4-Year'!BS9:BS9</xm:f>
              <xm:sqref>BS9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531"/>
  <sheetViews>
    <sheetView showGridLines="0" zoomScaleNormal="100" workbookViewId="0">
      <selection activeCell="V6" sqref="V1:V6"/>
    </sheetView>
  </sheetViews>
  <sheetFormatPr defaultColWidth="8.85546875" defaultRowHeight="12.75" x14ac:dyDescent="0.2"/>
  <cols>
    <col min="1" max="1" width="5.28515625" style="6" customWidth="1"/>
    <col min="2" max="2" width="0.7109375" style="6" customWidth="1"/>
    <col min="3" max="9" width="2.42578125" style="6" customWidth="1"/>
    <col min="10" max="10" width="2.5703125" style="6" customWidth="1"/>
    <col min="11" max="17" width="8.7109375" style="6" customWidth="1"/>
    <col min="18" max="18" width="2.5703125" style="6" customWidth="1"/>
    <col min="19" max="19" width="6.28515625" style="6" customWidth="1"/>
    <col min="20" max="20" width="11.42578125" style="6" customWidth="1"/>
    <col min="21" max="21" width="4" style="6" customWidth="1"/>
    <col min="22" max="22" width="20.7109375" style="6" customWidth="1"/>
    <col min="23" max="23" width="10.28515625" style="6" customWidth="1"/>
    <col min="24" max="24" width="8.85546875" style="25"/>
    <col min="25" max="16384" width="8.85546875" style="6"/>
  </cols>
  <sheetData>
    <row r="1" spans="1:25" ht="20.25" x14ac:dyDescent="0.3">
      <c r="A1" s="22" t="s">
        <v>37</v>
      </c>
      <c r="C1" s="2"/>
      <c r="D1" s="2"/>
      <c r="E1" s="2"/>
      <c r="F1" s="2"/>
      <c r="G1" s="2"/>
      <c r="H1" s="2"/>
      <c r="I1" s="2"/>
      <c r="K1" s="13"/>
    </row>
    <row r="3" spans="1:25" x14ac:dyDescent="0.2">
      <c r="A3" s="29"/>
      <c r="C3" s="100" t="s">
        <v>16</v>
      </c>
      <c r="D3" s="101"/>
      <c r="E3" s="101"/>
      <c r="F3" s="101"/>
      <c r="G3" s="101"/>
      <c r="H3" s="101"/>
      <c r="I3" s="101"/>
      <c r="V3" s="5"/>
    </row>
    <row r="4" spans="1:25" x14ac:dyDescent="0.2">
      <c r="B4" s="13"/>
      <c r="C4" s="122" t="s">
        <v>53</v>
      </c>
      <c r="D4" s="123"/>
      <c r="E4" s="123"/>
      <c r="F4" s="123"/>
      <c r="G4" s="123"/>
      <c r="H4" s="123"/>
      <c r="I4" s="124"/>
      <c r="K4" s="30">
        <f>MATCH(C4,data_labels,0)</f>
        <v>2</v>
      </c>
      <c r="V4" s="15"/>
    </row>
    <row r="5" spans="1:25" x14ac:dyDescent="0.2">
      <c r="B5" s="27"/>
      <c r="C5" s="16"/>
      <c r="D5" s="16"/>
      <c r="E5" s="16"/>
      <c r="F5" s="16"/>
      <c r="G5" s="16"/>
      <c r="H5" s="16"/>
      <c r="I5" s="16"/>
    </row>
    <row r="6" spans="1:25" x14ac:dyDescent="0.2">
      <c r="B6" s="13" t="s">
        <v>14</v>
      </c>
      <c r="C6" s="116">
        <v>41275</v>
      </c>
      <c r="D6" s="117"/>
      <c r="E6" s="117"/>
      <c r="F6" s="117"/>
      <c r="G6" s="117"/>
      <c r="H6" s="117"/>
      <c r="I6" s="118"/>
    </row>
    <row r="7" spans="1:25" x14ac:dyDescent="0.2">
      <c r="B7" s="31" t="s">
        <v>15</v>
      </c>
      <c r="C7" s="119">
        <f>I66</f>
        <v>41643</v>
      </c>
      <c r="D7" s="120"/>
      <c r="E7" s="120"/>
      <c r="F7" s="120"/>
      <c r="G7" s="120"/>
      <c r="H7" s="120"/>
      <c r="I7" s="121"/>
      <c r="V7" s="13" t="s">
        <v>17</v>
      </c>
      <c r="W7" s="32" t="s">
        <v>18</v>
      </c>
    </row>
    <row r="8" spans="1:25" x14ac:dyDescent="0.2">
      <c r="W8" s="33">
        <f>MATCH(W7,{"Sunday";"Monday";"Tuesday";"Wednesday";"Thursday";"Friday";"Saturday"},0)</f>
        <v>1</v>
      </c>
    </row>
    <row r="9" spans="1:25" x14ac:dyDescent="0.2">
      <c r="X9" s="6"/>
    </row>
    <row r="10" spans="1:25" ht="25.15" customHeight="1" x14ac:dyDescent="0.2">
      <c r="J10" s="13" t="s">
        <v>42</v>
      </c>
      <c r="K10" s="72">
        <f t="shared" ref="K10:Q10" ca="1" si="0">AVERAGE(K14:K66)</f>
        <v>28.307692307692307</v>
      </c>
      <c r="L10" s="72">
        <f t="shared" ca="1" si="0"/>
        <v>293.80769230769232</v>
      </c>
      <c r="M10" s="72">
        <f t="shared" ca="1" si="0"/>
        <v>255.26415094339623</v>
      </c>
      <c r="N10" s="72">
        <f t="shared" ca="1" si="0"/>
        <v>221.84905660377359</v>
      </c>
      <c r="O10" s="72">
        <f t="shared" ca="1" si="0"/>
        <v>195.50943396226415</v>
      </c>
      <c r="P10" s="72">
        <f t="shared" ca="1" si="0"/>
        <v>176.88679245283018</v>
      </c>
      <c r="Q10" s="72">
        <f t="shared" ca="1" si="0"/>
        <v>59.698113207547166</v>
      </c>
    </row>
    <row r="11" spans="1:25" ht="13.9" hidden="1" customHeight="1" x14ac:dyDescent="0.2">
      <c r="J11" s="13" t="s">
        <v>31</v>
      </c>
      <c r="K11" s="6">
        <f ca="1">AVERAGE(K14:K66)</f>
        <v>28.307692307692307</v>
      </c>
      <c r="L11" s="6">
        <f t="shared" ref="L11:Q11" ca="1" si="1">AVERAGE(L14:L66)</f>
        <v>293.80769230769232</v>
      </c>
      <c r="M11" s="6">
        <f t="shared" ca="1" si="1"/>
        <v>255.26415094339623</v>
      </c>
      <c r="N11" s="6">
        <f t="shared" ca="1" si="1"/>
        <v>221.84905660377359</v>
      </c>
      <c r="O11" s="6">
        <f t="shared" ca="1" si="1"/>
        <v>195.50943396226415</v>
      </c>
      <c r="P11" s="6">
        <f t="shared" ca="1" si="1"/>
        <v>176.88679245283018</v>
      </c>
      <c r="Q11" s="6">
        <f t="shared" ca="1" si="1"/>
        <v>59.698113207547166</v>
      </c>
    </row>
    <row r="12" spans="1:25" ht="9.6" hidden="1" customHeight="1" x14ac:dyDescent="0.2"/>
    <row r="13" spans="1:25" s="1" customFormat="1" ht="16.899999999999999" customHeight="1" x14ac:dyDescent="0.2">
      <c r="A13" s="23"/>
      <c r="C13" s="54" t="str">
        <f>CHOOSE(WEEKDAY(C14,1),"Su","M","Tu","W","Th","F","Sa")</f>
        <v>Su</v>
      </c>
      <c r="D13" s="54" t="str">
        <f t="shared" ref="D13:I13" si="2">CHOOSE(WEEKDAY(D14,1),"Su","M","Tu","W","Th","F","Sa")</f>
        <v>M</v>
      </c>
      <c r="E13" s="54" t="str">
        <f t="shared" si="2"/>
        <v>Tu</v>
      </c>
      <c r="F13" s="54" t="str">
        <f t="shared" si="2"/>
        <v>W</v>
      </c>
      <c r="G13" s="54" t="str">
        <f t="shared" si="2"/>
        <v>Th</v>
      </c>
      <c r="H13" s="54" t="str">
        <f t="shared" si="2"/>
        <v>F</v>
      </c>
      <c r="I13" s="54" t="str">
        <f t="shared" si="2"/>
        <v>Sa</v>
      </c>
      <c r="K13" s="55">
        <f>C14</f>
        <v>41273</v>
      </c>
      <c r="L13" s="55">
        <f>K13+1</f>
        <v>41274</v>
      </c>
      <c r="M13" s="55">
        <f t="shared" ref="M13:Q13" si="3">L13+1</f>
        <v>41275</v>
      </c>
      <c r="N13" s="55">
        <f t="shared" si="3"/>
        <v>41276</v>
      </c>
      <c r="O13" s="55">
        <f t="shared" si="3"/>
        <v>41277</v>
      </c>
      <c r="P13" s="55">
        <f t="shared" si="3"/>
        <v>41278</v>
      </c>
      <c r="Q13" s="55">
        <f t="shared" si="3"/>
        <v>41279</v>
      </c>
      <c r="R13" s="6"/>
      <c r="S13" s="68" t="s">
        <v>36</v>
      </c>
      <c r="T13" s="37"/>
      <c r="U13" s="6"/>
      <c r="V13" s="115" t="s">
        <v>70</v>
      </c>
      <c r="W13" s="115"/>
      <c r="X13" s="25"/>
      <c r="Y13" s="6"/>
    </row>
    <row r="14" spans="1:25" ht="12" customHeight="1" x14ac:dyDescent="0.2">
      <c r="A14" s="24">
        <f>IF(DAY(C14)=1,"",C14)</f>
        <v>41273</v>
      </c>
      <c r="C14" s="17">
        <f>C6-WEEKDAY(C6,1)+W8</f>
        <v>41273</v>
      </c>
      <c r="D14" s="17">
        <f>C14+1</f>
        <v>41274</v>
      </c>
      <c r="E14" s="17">
        <f t="shared" ref="E14:I14" si="4">D14+1</f>
        <v>41275</v>
      </c>
      <c r="F14" s="17">
        <f t="shared" si="4"/>
        <v>41276</v>
      </c>
      <c r="G14" s="17">
        <f t="shared" si="4"/>
        <v>41277</v>
      </c>
      <c r="H14" s="17">
        <f t="shared" si="4"/>
        <v>41278</v>
      </c>
      <c r="I14" s="17">
        <f t="shared" si="4"/>
        <v>41279</v>
      </c>
      <c r="K14" s="21" t="str">
        <f ca="1">IF(AND(C14&gt;=$C$6,C14&lt;=$C$7),IF(""=IFERROR(INDEX(INDIRECT("Data!C"&amp;$K$4,FALSE),MATCH(C14,Data!$A:$A,0)),$W$17),$W$16,IFERROR(INDEX(INDIRECT("Data!C"&amp;$K$4,FALSE),MATCH(C14,Data!$A:$A,0)),$W$17)),"-")</f>
        <v>-</v>
      </c>
      <c r="L14" s="21" t="str">
        <f ca="1">IF(AND(D14&gt;=$C$6,D14&lt;=$C$7),IF(""=IFERROR(INDEX(INDIRECT("Data!C"&amp;$K$4,FALSE),MATCH(D14,Data!$A:$A,0)),$W$17),$W$16,IFERROR(INDEX(INDIRECT("Data!C"&amp;$K$4,FALSE),MATCH(D14,Data!$A:$A,0)),$W$17)),"-")</f>
        <v>-</v>
      </c>
      <c r="M14" s="21">
        <f ca="1">IF(AND(E14&gt;=$C$6,E14&lt;=$C$7),IF(""=IFERROR(INDEX(INDIRECT("Data!C"&amp;$K$4,FALSE),MATCH(E14,Data!$A:$A,0)),$W$17),$W$16,IFERROR(INDEX(INDIRECT("Data!C"&amp;$K$4,FALSE),MATCH(E14,Data!$A:$A,0)),$W$17)),"-")</f>
        <v>126</v>
      </c>
      <c r="N14" s="21">
        <f ca="1">IF(AND(F14&gt;=$C$6,F14&lt;=$C$7),IF(""=IFERROR(INDEX(INDIRECT("Data!C"&amp;$K$4,FALSE),MATCH(F14,Data!$A:$A,0)),$W$17),$W$16,IFERROR(INDEX(INDIRECT("Data!C"&amp;$K$4,FALSE),MATCH(F14,Data!$A:$A,0)),$W$17)),"-")</f>
        <v>141</v>
      </c>
      <c r="O14" s="21">
        <f ca="1">IF(AND(G14&gt;=$C$6,G14&lt;=$C$7),IF(""=IFERROR(INDEX(INDIRECT("Data!C"&amp;$K$4,FALSE),MATCH(G14,Data!$A:$A,0)),$W$17),$W$16,IFERROR(INDEX(INDIRECT("Data!C"&amp;$K$4,FALSE),MATCH(G14,Data!$A:$A,0)),$W$17)),"-")</f>
        <v>86</v>
      </c>
      <c r="P14" s="21">
        <f ca="1">IF(AND(H14&gt;=$C$6,H14&lt;=$C$7),IF(""=IFERROR(INDEX(INDIRECT("Data!C"&amp;$K$4,FALSE),MATCH(H14,Data!$A:$A,0)),$W$17),$W$16,IFERROR(INDEX(INDIRECT("Data!C"&amp;$K$4,FALSE),MATCH(H14,Data!$A:$A,0)),$W$17)),"-")</f>
        <v>109</v>
      </c>
      <c r="Q14" s="21">
        <f ca="1">IF(AND(I14&gt;=$C$6,I14&lt;=$C$7),IF(""=IFERROR(INDEX(INDIRECT("Data!C"&amp;$K$4,FALSE),MATCH(I14,Data!$A:$A,0)),$W$17),$W$16,IFERROR(INDEX(INDIRECT("Data!C"&amp;$K$4,FALSE),MATCH(I14,Data!$A:$A,0)),$W$17)),"-")</f>
        <v>45</v>
      </c>
      <c r="R14" s="7"/>
      <c r="S14" s="36">
        <f t="shared" ref="S14:S45" ca="1" si="5">AVERAGE(K14:Q14)</f>
        <v>101.4</v>
      </c>
      <c r="T14" s="18">
        <f ca="1">IF(COUNTIF(K14:Q14,"&lt;&gt;-")&gt;0,AVERAGE(K14:Q14),"-")</f>
        <v>101.4</v>
      </c>
      <c r="V14" s="115"/>
      <c r="W14" s="115"/>
    </row>
    <row r="15" spans="1:25" ht="12" customHeight="1" x14ac:dyDescent="0.2">
      <c r="A15" s="24">
        <f t="array" ref="A15">IFERROR(IF(MATCH(8,DAY(C15:I15),0),I15,""),"")</f>
        <v>41286</v>
      </c>
      <c r="C15" s="17">
        <f>C14+7</f>
        <v>41280</v>
      </c>
      <c r="D15" s="17">
        <f t="shared" ref="D15:I15" si="6">C15+1</f>
        <v>41281</v>
      </c>
      <c r="E15" s="17">
        <f t="shared" si="6"/>
        <v>41282</v>
      </c>
      <c r="F15" s="17">
        <f t="shared" si="6"/>
        <v>41283</v>
      </c>
      <c r="G15" s="17">
        <f t="shared" si="6"/>
        <v>41284</v>
      </c>
      <c r="H15" s="17">
        <f t="shared" si="6"/>
        <v>41285</v>
      </c>
      <c r="I15" s="17">
        <f t="shared" si="6"/>
        <v>41286</v>
      </c>
      <c r="K15" s="21">
        <f ca="1">IF(AND(C15&gt;=$C$6,C15&lt;=$C$7),IF(""=IFERROR(INDEX(INDIRECT("Data!C"&amp;$K$4,FALSE),MATCH(C15,Data!$A:$A,0)),$W$17),$W$16,IFERROR(INDEX(INDIRECT("Data!C"&amp;$K$4,FALSE),MATCH(C15,Data!$A:$A,0)),$W$17)),"-")</f>
        <v>11</v>
      </c>
      <c r="L15" s="21">
        <f ca="1">IF(AND(D15&gt;=$C$6,D15&lt;=$C$7),IF(""=IFERROR(INDEX(INDIRECT("Data!C"&amp;$K$4,FALSE),MATCH(D15,Data!$A:$A,0)),$W$17),$W$16,IFERROR(INDEX(INDIRECT("Data!C"&amp;$K$4,FALSE),MATCH(D15,Data!$A:$A,0)),$W$17)),"-")</f>
        <v>143</v>
      </c>
      <c r="M15" s="21">
        <f ca="1">IF(AND(E15&gt;=$C$6,E15&lt;=$C$7),IF(""=IFERROR(INDEX(INDIRECT("Data!C"&amp;$K$4,FALSE),MATCH(E15,Data!$A:$A,0)),$W$17),$W$16,IFERROR(INDEX(INDIRECT("Data!C"&amp;$K$4,FALSE),MATCH(E15,Data!$A:$A,0)),$W$17)),"-")</f>
        <v>182</v>
      </c>
      <c r="N15" s="21">
        <f ca="1">IF(AND(F15&gt;=$C$6,F15&lt;=$C$7),IF(""=IFERROR(INDEX(INDIRECT("Data!C"&amp;$K$4,FALSE),MATCH(F15,Data!$A:$A,0)),$W$17),$W$16,IFERROR(INDEX(INDIRECT("Data!C"&amp;$K$4,FALSE),MATCH(F15,Data!$A:$A,0)),$W$17)),"-")</f>
        <v>202</v>
      </c>
      <c r="O15" s="21">
        <f ca="1">IF(AND(G15&gt;=$C$6,G15&lt;=$C$7),IF(""=IFERROR(INDEX(INDIRECT("Data!C"&amp;$K$4,FALSE),MATCH(G15,Data!$A:$A,0)),$W$17),$W$16,IFERROR(INDEX(INDIRECT("Data!C"&amp;$K$4,FALSE),MATCH(G15,Data!$A:$A,0)),$W$17)),"-")</f>
        <v>78</v>
      </c>
      <c r="P15" s="21">
        <f ca="1">IF(AND(H15&gt;=$C$6,H15&lt;=$C$7),IF(""=IFERROR(INDEX(INDIRECT("Data!C"&amp;$K$4,FALSE),MATCH(H15,Data!$A:$A,0)),$W$17),$W$16,IFERROR(INDEX(INDIRECT("Data!C"&amp;$K$4,FALSE),MATCH(H15,Data!$A:$A,0)),$W$17)),"-")</f>
        <v>157</v>
      </c>
      <c r="Q15" s="21">
        <f ca="1">IF(AND(I15&gt;=$C$6,I15&lt;=$C$7),IF(""=IFERROR(INDEX(INDIRECT("Data!C"&amp;$K$4,FALSE),MATCH(I15,Data!$A:$A,0)),$W$17),$W$16,IFERROR(INDEX(INDIRECT("Data!C"&amp;$K$4,FALSE),MATCH(I15,Data!$A:$A,0)),$W$17)),"-")</f>
        <v>52</v>
      </c>
      <c r="R15" s="7"/>
      <c r="S15" s="36">
        <f t="shared" ca="1" si="5"/>
        <v>117.85714285714286</v>
      </c>
      <c r="T15" s="18">
        <f t="shared" ref="T15:T66" ca="1" si="7">IF(COUNTIF(K15:Q15,"&lt;&gt;-")&gt;0,AVERAGE(K15:Q15),"-")</f>
        <v>117.85714285714286</v>
      </c>
    </row>
    <row r="16" spans="1:25" ht="12" customHeight="1" x14ac:dyDescent="0.2">
      <c r="A16" s="24" t="str">
        <f t="array" ref="A16">IFERROR(IF(MATCH(8,DAY(C16:I16),0),I16,""),"")</f>
        <v/>
      </c>
      <c r="C16" s="17">
        <f t="shared" ref="C16:C66" si="8">C15+7</f>
        <v>41287</v>
      </c>
      <c r="D16" s="17">
        <f t="shared" ref="D16:I16" si="9">C16+1</f>
        <v>41288</v>
      </c>
      <c r="E16" s="17">
        <f t="shared" si="9"/>
        <v>41289</v>
      </c>
      <c r="F16" s="17">
        <f t="shared" si="9"/>
        <v>41290</v>
      </c>
      <c r="G16" s="17">
        <f t="shared" si="9"/>
        <v>41291</v>
      </c>
      <c r="H16" s="17">
        <f t="shared" si="9"/>
        <v>41292</v>
      </c>
      <c r="I16" s="17">
        <f t="shared" si="9"/>
        <v>41293</v>
      </c>
      <c r="K16" s="21">
        <f ca="1">IF(AND(C16&gt;=$C$6,C16&lt;=$C$7),IF(""=IFERROR(INDEX(INDIRECT("Data!C"&amp;$K$4,FALSE),MATCH(C16,Data!$A:$A,0)),$W$17),$W$16,IFERROR(INDEX(INDIRECT("Data!C"&amp;$K$4,FALSE),MATCH(C16,Data!$A:$A,0)),$W$17)),"-")</f>
        <v>12</v>
      </c>
      <c r="L16" s="21">
        <f ca="1">IF(AND(D16&gt;=$C$6,D16&lt;=$C$7),IF(""=IFERROR(INDEX(INDIRECT("Data!C"&amp;$K$4,FALSE),MATCH(D16,Data!$A:$A,0)),$W$17),$W$16,IFERROR(INDEX(INDIRECT("Data!C"&amp;$K$4,FALSE),MATCH(D16,Data!$A:$A,0)),$W$17)),"-")</f>
        <v>158</v>
      </c>
      <c r="M16" s="21">
        <f ca="1">IF(AND(E16&gt;=$C$6,E16&lt;=$C$7),IF(""=IFERROR(INDEX(INDIRECT("Data!C"&amp;$K$4,FALSE),MATCH(E16,Data!$A:$A,0)),$W$17),$W$16,IFERROR(INDEX(INDIRECT("Data!C"&amp;$K$4,FALSE),MATCH(E16,Data!$A:$A,0)),$W$17)),"-")</f>
        <v>124</v>
      </c>
      <c r="N16" s="21">
        <f ca="1">IF(AND(F16&gt;=$C$6,F16&lt;=$C$7),IF(""=IFERROR(INDEX(INDIRECT("Data!C"&amp;$K$4,FALSE),MATCH(F16,Data!$A:$A,0)),$W$17),$W$16,IFERROR(INDEX(INDIRECT("Data!C"&amp;$K$4,FALSE),MATCH(F16,Data!$A:$A,0)),$W$17)),"-")</f>
        <v>181</v>
      </c>
      <c r="O16" s="21">
        <f ca="1">IF(AND(G16&gt;=$C$6,G16&lt;=$C$7),IF(""=IFERROR(INDEX(INDIRECT("Data!C"&amp;$K$4,FALSE),MATCH(G16,Data!$A:$A,0)),$W$17),$W$16,IFERROR(INDEX(INDIRECT("Data!C"&amp;$K$4,FALSE),MATCH(G16,Data!$A:$A,0)),$W$17)),"-")</f>
        <v>99</v>
      </c>
      <c r="P16" s="21">
        <f ca="1">IF(AND(H16&gt;=$C$6,H16&lt;=$C$7),IF(""=IFERROR(INDEX(INDIRECT("Data!C"&amp;$K$4,FALSE),MATCH(H16,Data!$A:$A,0)),$W$17),$W$16,IFERROR(INDEX(INDIRECT("Data!C"&amp;$K$4,FALSE),MATCH(H16,Data!$A:$A,0)),$W$17)),"-")</f>
        <v>191</v>
      </c>
      <c r="Q16" s="21">
        <f ca="1">IF(AND(I16&gt;=$C$6,I16&lt;=$C$7),IF(""=IFERROR(INDEX(INDIRECT("Data!C"&amp;$K$4,FALSE),MATCH(I16,Data!$A:$A,0)),$W$17),$W$16,IFERROR(INDEX(INDIRECT("Data!C"&amp;$K$4,FALSE),MATCH(I16,Data!$A:$A,0)),$W$17)),"-")</f>
        <v>54</v>
      </c>
      <c r="R16" s="7"/>
      <c r="S16" s="36">
        <f t="shared" ca="1" si="5"/>
        <v>117</v>
      </c>
      <c r="T16" s="18">
        <f t="shared" ca="1" si="7"/>
        <v>117</v>
      </c>
      <c r="V16" s="39" t="s">
        <v>32</v>
      </c>
      <c r="W16" s="40">
        <v>0</v>
      </c>
    </row>
    <row r="17" spans="1:25" ht="12" customHeight="1" x14ac:dyDescent="0.2">
      <c r="A17" s="24" t="str">
        <f t="array" ref="A17">IFERROR(IF(MATCH(8,DAY(C17:I17),0),I17,""),"")</f>
        <v/>
      </c>
      <c r="C17" s="17">
        <f t="shared" si="8"/>
        <v>41294</v>
      </c>
      <c r="D17" s="17">
        <f t="shared" ref="D17:I17" si="10">C17+1</f>
        <v>41295</v>
      </c>
      <c r="E17" s="17">
        <f t="shared" si="10"/>
        <v>41296</v>
      </c>
      <c r="F17" s="17">
        <f t="shared" si="10"/>
        <v>41297</v>
      </c>
      <c r="G17" s="17">
        <f t="shared" si="10"/>
        <v>41298</v>
      </c>
      <c r="H17" s="17">
        <f t="shared" si="10"/>
        <v>41299</v>
      </c>
      <c r="I17" s="17">
        <f t="shared" si="10"/>
        <v>41300</v>
      </c>
      <c r="K17" s="21">
        <f ca="1">IF(AND(C17&gt;=$C$6,C17&lt;=$C$7),IF(""=IFERROR(INDEX(INDIRECT("Data!C"&amp;$K$4,FALSE),MATCH(C17,Data!$A:$A,0)),$W$17),$W$16,IFERROR(INDEX(INDIRECT("Data!C"&amp;$K$4,FALSE),MATCH(C17,Data!$A:$A,0)),$W$17)),"-")</f>
        <v>22</v>
      </c>
      <c r="L17" s="21">
        <f ca="1">IF(AND(D17&gt;=$C$6,D17&lt;=$C$7),IF(""=IFERROR(INDEX(INDIRECT("Data!C"&amp;$K$4,FALSE),MATCH(D17,Data!$A:$A,0)),$W$17),$W$16,IFERROR(INDEX(INDIRECT("Data!C"&amp;$K$4,FALSE),MATCH(D17,Data!$A:$A,0)),$W$17)),"-")</f>
        <v>208</v>
      </c>
      <c r="M17" s="21">
        <f ca="1">IF(AND(E17&gt;=$C$6,E17&lt;=$C$7),IF(""=IFERROR(INDEX(INDIRECT("Data!C"&amp;$K$4,FALSE),MATCH(E17,Data!$A:$A,0)),$W$17),$W$16,IFERROR(INDEX(INDIRECT("Data!C"&amp;$K$4,FALSE),MATCH(E17,Data!$A:$A,0)),$W$17)),"-")</f>
        <v>132</v>
      </c>
      <c r="N17" s="21">
        <f ca="1">IF(AND(F17&gt;=$C$6,F17&lt;=$C$7),IF(""=IFERROR(INDEX(INDIRECT("Data!C"&amp;$K$4,FALSE),MATCH(F17,Data!$A:$A,0)),$W$17),$W$16,IFERROR(INDEX(INDIRECT("Data!C"&amp;$K$4,FALSE),MATCH(F17,Data!$A:$A,0)),$W$17)),"-")</f>
        <v>279</v>
      </c>
      <c r="O17" s="21">
        <f ca="1">IF(AND(G17&gt;=$C$6,G17&lt;=$C$7),IF(""=IFERROR(INDEX(INDIRECT("Data!C"&amp;$K$4,FALSE),MATCH(G17,Data!$A:$A,0)),$W$17),$W$16,IFERROR(INDEX(INDIRECT("Data!C"&amp;$K$4,FALSE),MATCH(G17,Data!$A:$A,0)),$W$17)),"-")</f>
        <v>143</v>
      </c>
      <c r="P17" s="21">
        <f ca="1">IF(AND(H17&gt;=$C$6,H17&lt;=$C$7),IF(""=IFERROR(INDEX(INDIRECT("Data!C"&amp;$K$4,FALSE),MATCH(H17,Data!$A:$A,0)),$W$17),$W$16,IFERROR(INDEX(INDIRECT("Data!C"&amp;$K$4,FALSE),MATCH(H17,Data!$A:$A,0)),$W$17)),"-")</f>
        <v>115</v>
      </c>
      <c r="Q17" s="21">
        <f ca="1">IF(AND(I17&gt;=$C$6,I17&lt;=$C$7),IF(""=IFERROR(INDEX(INDIRECT("Data!C"&amp;$K$4,FALSE),MATCH(I17,Data!$A:$A,0)),$W$17),$W$16,IFERROR(INDEX(INDIRECT("Data!C"&amp;$K$4,FALSE),MATCH(I17,Data!$A:$A,0)),$W$17)),"-")</f>
        <v>72</v>
      </c>
      <c r="R17" s="7"/>
      <c r="S17" s="36">
        <f t="shared" ca="1" si="5"/>
        <v>138.71428571428572</v>
      </c>
      <c r="T17" s="18">
        <f t="shared" ca="1" si="7"/>
        <v>138.71428571428572</v>
      </c>
      <c r="V17" s="13" t="s">
        <v>65</v>
      </c>
      <c r="W17" s="38" t="s">
        <v>20</v>
      </c>
    </row>
    <row r="18" spans="1:25" ht="12" customHeight="1" x14ac:dyDescent="0.2">
      <c r="A18" s="24" t="str">
        <f t="array" ref="A18">IFERROR(IF(MATCH(8,DAY(C18:I18),0),I18,""),"")</f>
        <v/>
      </c>
      <c r="C18" s="17">
        <f t="shared" si="8"/>
        <v>41301</v>
      </c>
      <c r="D18" s="17">
        <f t="shared" ref="D18:I18" si="11">C18+1</f>
        <v>41302</v>
      </c>
      <c r="E18" s="17">
        <f t="shared" si="11"/>
        <v>41303</v>
      </c>
      <c r="F18" s="17">
        <f t="shared" si="11"/>
        <v>41304</v>
      </c>
      <c r="G18" s="17">
        <f t="shared" si="11"/>
        <v>41305</v>
      </c>
      <c r="H18" s="17">
        <f t="shared" si="11"/>
        <v>41306</v>
      </c>
      <c r="I18" s="17">
        <f t="shared" si="11"/>
        <v>41307</v>
      </c>
      <c r="K18" s="21">
        <f ca="1">IF(AND(C18&gt;=$C$6,C18&lt;=$C$7),IF(""=IFERROR(INDEX(INDIRECT("Data!C"&amp;$K$4,FALSE),MATCH(C18,Data!$A:$A,0)),$W$17),$W$16,IFERROR(INDEX(INDIRECT("Data!C"&amp;$K$4,FALSE),MATCH(C18,Data!$A:$A,0)),$W$17)),"-")</f>
        <v>19</v>
      </c>
      <c r="L18" s="21">
        <f ca="1">IF(AND(D18&gt;=$C$6,D18&lt;=$C$7),IF(""=IFERROR(INDEX(INDIRECT("Data!C"&amp;$K$4,FALSE),MATCH(D18,Data!$A:$A,0)),$W$17),$W$16,IFERROR(INDEX(INDIRECT("Data!C"&amp;$K$4,FALSE),MATCH(D18,Data!$A:$A,0)),$W$17)),"-")</f>
        <v>271</v>
      </c>
      <c r="M18" s="21">
        <f ca="1">IF(AND(E18&gt;=$C$6,E18&lt;=$C$7),IF(""=IFERROR(INDEX(INDIRECT("Data!C"&amp;$K$4,FALSE),MATCH(E18,Data!$A:$A,0)),$W$17),$W$16,IFERROR(INDEX(INDIRECT("Data!C"&amp;$K$4,FALSE),MATCH(E18,Data!$A:$A,0)),$W$17)),"-")</f>
        <v>259</v>
      </c>
      <c r="N18" s="21">
        <f ca="1">IF(AND(F18&gt;=$C$6,F18&lt;=$C$7),IF(""=IFERROR(INDEX(INDIRECT("Data!C"&amp;$K$4,FALSE),MATCH(F18,Data!$A:$A,0)),$W$17),$W$16,IFERROR(INDEX(INDIRECT("Data!C"&amp;$K$4,FALSE),MATCH(F18,Data!$A:$A,0)),$W$17)),"-")</f>
        <v>200</v>
      </c>
      <c r="O18" s="21">
        <f ca="1">IF(AND(G18&gt;=$C$6,G18&lt;=$C$7),IF(""=IFERROR(INDEX(INDIRECT("Data!C"&amp;$K$4,FALSE),MATCH(G18,Data!$A:$A,0)),$W$17),$W$16,IFERROR(INDEX(INDIRECT("Data!C"&amp;$K$4,FALSE),MATCH(G18,Data!$A:$A,0)),$W$17)),"-")</f>
        <v>169</v>
      </c>
      <c r="P18" s="21">
        <f ca="1">IF(AND(H18&gt;=$C$6,H18&lt;=$C$7),IF(""=IFERROR(INDEX(INDIRECT("Data!C"&amp;$K$4,FALSE),MATCH(H18,Data!$A:$A,0)),$W$17),$W$16,IFERROR(INDEX(INDIRECT("Data!C"&amp;$K$4,FALSE),MATCH(H18,Data!$A:$A,0)),$W$17)),"-")</f>
        <v>134</v>
      </c>
      <c r="Q18" s="21">
        <f ca="1">IF(AND(I18&gt;=$C$6,I18&lt;=$C$7),IF(""=IFERROR(INDEX(INDIRECT("Data!C"&amp;$K$4,FALSE),MATCH(I18,Data!$A:$A,0)),$W$17),$W$16,IFERROR(INDEX(INDIRECT("Data!C"&amp;$K$4,FALSE),MATCH(I18,Data!$A:$A,0)),$W$17)),"-")</f>
        <v>54</v>
      </c>
      <c r="R18" s="7"/>
      <c r="S18" s="36">
        <f t="shared" ca="1" si="5"/>
        <v>158</v>
      </c>
      <c r="T18" s="18">
        <f t="shared" ca="1" si="7"/>
        <v>158</v>
      </c>
    </row>
    <row r="19" spans="1:25" ht="12" customHeight="1" x14ac:dyDescent="0.2">
      <c r="A19" s="24">
        <f t="array" ref="A19">IFERROR(IF(MATCH(8,DAY(C19:I19),0),I19,""),"")</f>
        <v>41314</v>
      </c>
      <c r="C19" s="17">
        <f t="shared" si="8"/>
        <v>41308</v>
      </c>
      <c r="D19" s="17">
        <f t="shared" ref="D19:I19" si="12">C19+1</f>
        <v>41309</v>
      </c>
      <c r="E19" s="17">
        <f t="shared" si="12"/>
        <v>41310</v>
      </c>
      <c r="F19" s="17">
        <f t="shared" si="12"/>
        <v>41311</v>
      </c>
      <c r="G19" s="17">
        <f t="shared" si="12"/>
        <v>41312</v>
      </c>
      <c r="H19" s="17">
        <f t="shared" si="12"/>
        <v>41313</v>
      </c>
      <c r="I19" s="17">
        <f t="shared" si="12"/>
        <v>41314</v>
      </c>
      <c r="K19" s="21">
        <f ca="1">IF(AND(C19&gt;=$C$6,C19&lt;=$C$7),IF(""=IFERROR(INDEX(INDIRECT("Data!C"&amp;$K$4,FALSE),MATCH(C19,Data!$A:$A,0)),$W$17),$W$16,IFERROR(INDEX(INDIRECT("Data!C"&amp;$K$4,FALSE),MATCH(C19,Data!$A:$A,0)),$W$17)),"-")</f>
        <v>40</v>
      </c>
      <c r="L19" s="21">
        <f ca="1">IF(AND(D19&gt;=$C$6,D19&lt;=$C$7),IF(""=IFERROR(INDEX(INDIRECT("Data!C"&amp;$K$4,FALSE),MATCH(D19,Data!$A:$A,0)),$W$17),$W$16,IFERROR(INDEX(INDIRECT("Data!C"&amp;$K$4,FALSE),MATCH(D19,Data!$A:$A,0)),$W$17)),"-")</f>
        <v>428</v>
      </c>
      <c r="M19" s="21">
        <f ca="1">IF(AND(E19&gt;=$C$6,E19&lt;=$C$7),IF(""=IFERROR(INDEX(INDIRECT("Data!C"&amp;$K$4,FALSE),MATCH(E19,Data!$A:$A,0)),$W$17),$W$16,IFERROR(INDEX(INDIRECT("Data!C"&amp;$K$4,FALSE),MATCH(E19,Data!$A:$A,0)),$W$17)),"-")</f>
        <v>393</v>
      </c>
      <c r="N19" s="21">
        <f ca="1">IF(AND(F19&gt;=$C$6,F19&lt;=$C$7),IF(""=IFERROR(INDEX(INDIRECT("Data!C"&amp;$K$4,FALSE),MATCH(F19,Data!$A:$A,0)),$W$17),$W$16,IFERROR(INDEX(INDIRECT("Data!C"&amp;$K$4,FALSE),MATCH(F19,Data!$A:$A,0)),$W$17)),"-")</f>
        <v>237</v>
      </c>
      <c r="O19" s="21">
        <f ca="1">IF(AND(G19&gt;=$C$6,G19&lt;=$C$7),IF(""=IFERROR(INDEX(INDIRECT("Data!C"&amp;$K$4,FALSE),MATCH(G19,Data!$A:$A,0)),$W$17),$W$16,IFERROR(INDEX(INDIRECT("Data!C"&amp;$K$4,FALSE),MATCH(G19,Data!$A:$A,0)),$W$17)),"-")</f>
        <v>288</v>
      </c>
      <c r="P19" s="21">
        <f ca="1">IF(AND(H19&gt;=$C$6,H19&lt;=$C$7),IF(""=IFERROR(INDEX(INDIRECT("Data!C"&amp;$K$4,FALSE),MATCH(H19,Data!$A:$A,0)),$W$17),$W$16,IFERROR(INDEX(INDIRECT("Data!C"&amp;$K$4,FALSE),MATCH(H19,Data!$A:$A,0)),$W$17)),"-")</f>
        <v>209</v>
      </c>
      <c r="Q19" s="21">
        <f ca="1">IF(AND(I19&gt;=$C$6,I19&lt;=$C$7),IF(""=IFERROR(INDEX(INDIRECT("Data!C"&amp;$K$4,FALSE),MATCH(I19,Data!$A:$A,0)),$W$17),$W$16,IFERROR(INDEX(INDIRECT("Data!C"&amp;$K$4,FALSE),MATCH(I19,Data!$A:$A,0)),$W$17)),"-")</f>
        <v>61</v>
      </c>
      <c r="R19" s="7"/>
      <c r="S19" s="36">
        <f t="shared" ca="1" si="5"/>
        <v>236.57142857142858</v>
      </c>
      <c r="T19" s="18">
        <f t="shared" ca="1" si="7"/>
        <v>236.57142857142858</v>
      </c>
    </row>
    <row r="20" spans="1:25" ht="12" customHeight="1" x14ac:dyDescent="0.2">
      <c r="A20" s="24" t="str">
        <f t="array" ref="A20">IFERROR(IF(MATCH(8,DAY(C20:I20),0),I20,""),"")</f>
        <v/>
      </c>
      <c r="C20" s="17">
        <f t="shared" si="8"/>
        <v>41315</v>
      </c>
      <c r="D20" s="17">
        <f t="shared" ref="D20:I20" si="13">C20+1</f>
        <v>41316</v>
      </c>
      <c r="E20" s="17">
        <f t="shared" si="13"/>
        <v>41317</v>
      </c>
      <c r="F20" s="17">
        <f t="shared" si="13"/>
        <v>41318</v>
      </c>
      <c r="G20" s="17">
        <f t="shared" si="13"/>
        <v>41319</v>
      </c>
      <c r="H20" s="17">
        <f t="shared" si="13"/>
        <v>41320</v>
      </c>
      <c r="I20" s="17">
        <f t="shared" si="13"/>
        <v>41321</v>
      </c>
      <c r="K20" s="21">
        <f ca="1">IF(AND(C20&gt;=$C$6,C20&lt;=$C$7),IF(""=IFERROR(INDEX(INDIRECT("Data!C"&amp;$K$4,FALSE),MATCH(C20,Data!$A:$A,0)),$W$17),$W$16,IFERROR(INDEX(INDIRECT("Data!C"&amp;$K$4,FALSE),MATCH(C20,Data!$A:$A,0)),$W$17)),"-")</f>
        <v>30</v>
      </c>
      <c r="L20" s="21">
        <f ca="1">IF(AND(D20&gt;=$C$6,D20&lt;=$C$7),IF(""=IFERROR(INDEX(INDIRECT("Data!C"&amp;$K$4,FALSE),MATCH(D20,Data!$A:$A,0)),$W$17),$W$16,IFERROR(INDEX(INDIRECT("Data!C"&amp;$K$4,FALSE),MATCH(D20,Data!$A:$A,0)),$W$17)),"-")</f>
        <v>392</v>
      </c>
      <c r="M20" s="21">
        <f ca="1">IF(AND(E20&gt;=$C$6,E20&lt;=$C$7),IF(""=IFERROR(INDEX(INDIRECT("Data!C"&amp;$K$4,FALSE),MATCH(E20,Data!$A:$A,0)),$W$17),$W$16,IFERROR(INDEX(INDIRECT("Data!C"&amp;$K$4,FALSE),MATCH(E20,Data!$A:$A,0)),$W$17)),"-")</f>
        <v>316</v>
      </c>
      <c r="N20" s="21">
        <f ca="1">IF(AND(F20&gt;=$C$6,F20&lt;=$C$7),IF(""=IFERROR(INDEX(INDIRECT("Data!C"&amp;$K$4,FALSE),MATCH(F20,Data!$A:$A,0)),$W$17),$W$16,IFERROR(INDEX(INDIRECT("Data!C"&amp;$K$4,FALSE),MATCH(F20,Data!$A:$A,0)),$W$17)),"-")</f>
        <v>325</v>
      </c>
      <c r="O20" s="21">
        <f ca="1">IF(AND(G20&gt;=$C$6,G20&lt;=$C$7),IF(""=IFERROR(INDEX(INDIRECT("Data!C"&amp;$K$4,FALSE),MATCH(G20,Data!$A:$A,0)),$W$17),$W$16,IFERROR(INDEX(INDIRECT("Data!C"&amp;$K$4,FALSE),MATCH(G20,Data!$A:$A,0)),$W$17)),"-")</f>
        <v>265</v>
      </c>
      <c r="P20" s="21">
        <f ca="1">IF(AND(H20&gt;=$C$6,H20&lt;=$C$7),IF(""=IFERROR(INDEX(INDIRECT("Data!C"&amp;$K$4,FALSE),MATCH(H20,Data!$A:$A,0)),$W$17),$W$16,IFERROR(INDEX(INDIRECT("Data!C"&amp;$K$4,FALSE),MATCH(H20,Data!$A:$A,0)),$W$17)),"-")</f>
        <v>191</v>
      </c>
      <c r="Q20" s="21">
        <f ca="1">IF(AND(I20&gt;=$C$6,I20&lt;=$C$7),IF(""=IFERROR(INDEX(INDIRECT("Data!C"&amp;$K$4,FALSE),MATCH(I20,Data!$A:$A,0)),$W$17),$W$16,IFERROR(INDEX(INDIRECT("Data!C"&amp;$K$4,FALSE),MATCH(I20,Data!$A:$A,0)),$W$17)),"-")</f>
        <v>74</v>
      </c>
      <c r="R20" s="7"/>
      <c r="S20" s="36">
        <f t="shared" ca="1" si="5"/>
        <v>227.57142857142858</v>
      </c>
      <c r="T20" s="18">
        <f t="shared" ca="1" si="7"/>
        <v>227.57142857142858</v>
      </c>
    </row>
    <row r="21" spans="1:25" ht="12" customHeight="1" x14ac:dyDescent="0.2">
      <c r="A21" s="24" t="str">
        <f t="array" ref="A21">IFERROR(IF(MATCH(8,DAY(C21:I21),0),I21,""),"")</f>
        <v/>
      </c>
      <c r="C21" s="17">
        <f t="shared" si="8"/>
        <v>41322</v>
      </c>
      <c r="D21" s="17">
        <f t="shared" ref="D21:I21" si="14">C21+1</f>
        <v>41323</v>
      </c>
      <c r="E21" s="17">
        <f t="shared" si="14"/>
        <v>41324</v>
      </c>
      <c r="F21" s="17">
        <f t="shared" si="14"/>
        <v>41325</v>
      </c>
      <c r="G21" s="17">
        <f t="shared" si="14"/>
        <v>41326</v>
      </c>
      <c r="H21" s="17">
        <f t="shared" si="14"/>
        <v>41327</v>
      </c>
      <c r="I21" s="17">
        <f t="shared" si="14"/>
        <v>41328</v>
      </c>
      <c r="K21" s="21">
        <f ca="1">IF(AND(C21&gt;=$C$6,C21&lt;=$C$7),IF(""=IFERROR(INDEX(INDIRECT("Data!C"&amp;$K$4,FALSE),MATCH(C21,Data!$A:$A,0)),$W$17),$W$16,IFERROR(INDEX(INDIRECT("Data!C"&amp;$K$4,FALSE),MATCH(C21,Data!$A:$A,0)),$W$17)),"-")</f>
        <v>37</v>
      </c>
      <c r="L21" s="21">
        <f ca="1">IF(AND(D21&gt;=$C$6,D21&lt;=$C$7),IF(""=IFERROR(INDEX(INDIRECT("Data!C"&amp;$K$4,FALSE),MATCH(D21,Data!$A:$A,0)),$W$17),$W$16,IFERROR(INDEX(INDIRECT("Data!C"&amp;$K$4,FALSE),MATCH(D21,Data!$A:$A,0)),$W$17)),"-")</f>
        <v>314</v>
      </c>
      <c r="M21" s="21">
        <f ca="1">IF(AND(E21&gt;=$C$6,E21&lt;=$C$7),IF(""=IFERROR(INDEX(INDIRECT("Data!C"&amp;$K$4,FALSE),MATCH(E21,Data!$A:$A,0)),$W$17),$W$16,IFERROR(INDEX(INDIRECT("Data!C"&amp;$K$4,FALSE),MATCH(E21,Data!$A:$A,0)),$W$17)),"-")</f>
        <v>306</v>
      </c>
      <c r="N21" s="21">
        <f ca="1">IF(AND(F21&gt;=$C$6,F21&lt;=$C$7),IF(""=IFERROR(INDEX(INDIRECT("Data!C"&amp;$K$4,FALSE),MATCH(F21,Data!$A:$A,0)),$W$17),$W$16,IFERROR(INDEX(INDIRECT("Data!C"&amp;$K$4,FALSE),MATCH(F21,Data!$A:$A,0)),$W$17)),"-")</f>
        <v>361</v>
      </c>
      <c r="O21" s="21">
        <f ca="1">IF(AND(G21&gt;=$C$6,G21&lt;=$C$7),IF(""=IFERROR(INDEX(INDIRECT("Data!C"&amp;$K$4,FALSE),MATCH(G21,Data!$A:$A,0)),$W$17),$W$16,IFERROR(INDEX(INDIRECT("Data!C"&amp;$K$4,FALSE),MATCH(G21,Data!$A:$A,0)),$W$17)),"-")</f>
        <v>237</v>
      </c>
      <c r="P21" s="21">
        <f ca="1">IF(AND(H21&gt;=$C$6,H21&lt;=$C$7),IF(""=IFERROR(INDEX(INDIRECT("Data!C"&amp;$K$4,FALSE),MATCH(H21,Data!$A:$A,0)),$W$17),$W$16,IFERROR(INDEX(INDIRECT("Data!C"&amp;$K$4,FALSE),MATCH(H21,Data!$A:$A,0)),$W$17)),"-")</f>
        <v>185</v>
      </c>
      <c r="Q21" s="21">
        <f ca="1">IF(AND(I21&gt;=$C$6,I21&lt;=$C$7),IF(""=IFERROR(INDEX(INDIRECT("Data!C"&amp;$K$4,FALSE),MATCH(I21,Data!$A:$A,0)),$W$17),$W$16,IFERROR(INDEX(INDIRECT("Data!C"&amp;$K$4,FALSE),MATCH(I21,Data!$A:$A,0)),$W$17)),"-")</f>
        <v>90</v>
      </c>
      <c r="R21" s="7"/>
      <c r="S21" s="36">
        <f t="shared" ca="1" si="5"/>
        <v>218.57142857142858</v>
      </c>
      <c r="T21" s="18">
        <f t="shared" ca="1" si="7"/>
        <v>218.57142857142858</v>
      </c>
      <c r="Y21" s="1"/>
    </row>
    <row r="22" spans="1:25" ht="12" customHeight="1" x14ac:dyDescent="0.2">
      <c r="A22" s="24" t="str">
        <f t="array" ref="A22">IFERROR(IF(MATCH(8,DAY(C22:I22),0),I22,""),"")</f>
        <v/>
      </c>
      <c r="C22" s="17">
        <f t="shared" si="8"/>
        <v>41329</v>
      </c>
      <c r="D22" s="17">
        <f t="shared" ref="D22:I22" si="15">C22+1</f>
        <v>41330</v>
      </c>
      <c r="E22" s="17">
        <f t="shared" si="15"/>
        <v>41331</v>
      </c>
      <c r="F22" s="17">
        <f t="shared" si="15"/>
        <v>41332</v>
      </c>
      <c r="G22" s="17">
        <f t="shared" si="15"/>
        <v>41333</v>
      </c>
      <c r="H22" s="17">
        <f t="shared" si="15"/>
        <v>41334</v>
      </c>
      <c r="I22" s="17">
        <f t="shared" si="15"/>
        <v>41335</v>
      </c>
      <c r="K22" s="21">
        <f ca="1">IF(AND(C22&gt;=$C$6,C22&lt;=$C$7),IF(""=IFERROR(INDEX(INDIRECT("Data!C"&amp;$K$4,FALSE),MATCH(C22,Data!$A:$A,0)),$W$17),$W$16,IFERROR(INDEX(INDIRECT("Data!C"&amp;$K$4,FALSE),MATCH(C22,Data!$A:$A,0)),$W$17)),"-")</f>
        <v>36</v>
      </c>
      <c r="L22" s="21">
        <f ca="1">IF(AND(D22&gt;=$C$6,D22&lt;=$C$7),IF(""=IFERROR(INDEX(INDIRECT("Data!C"&amp;$K$4,FALSE),MATCH(D22,Data!$A:$A,0)),$W$17),$W$16,IFERROR(INDEX(INDIRECT("Data!C"&amp;$K$4,FALSE),MATCH(D22,Data!$A:$A,0)),$W$17)),"-")</f>
        <v>319</v>
      </c>
      <c r="M22" s="21">
        <f ca="1">IF(AND(E22&gt;=$C$6,E22&lt;=$C$7),IF(""=IFERROR(INDEX(INDIRECT("Data!C"&amp;$K$4,FALSE),MATCH(E22,Data!$A:$A,0)),$W$17),$W$16,IFERROR(INDEX(INDIRECT("Data!C"&amp;$K$4,FALSE),MATCH(E22,Data!$A:$A,0)),$W$17)),"-")</f>
        <v>292</v>
      </c>
      <c r="N22" s="21">
        <f ca="1">IF(AND(F22&gt;=$C$6,F22&lt;=$C$7),IF(""=IFERROR(INDEX(INDIRECT("Data!C"&amp;$K$4,FALSE),MATCH(F22,Data!$A:$A,0)),$W$17),$W$16,IFERROR(INDEX(INDIRECT("Data!C"&amp;$K$4,FALSE),MATCH(F22,Data!$A:$A,0)),$W$17)),"-")</f>
        <v>374</v>
      </c>
      <c r="O22" s="21">
        <f ca="1">IF(AND(G22&gt;=$C$6,G22&lt;=$C$7),IF(""=IFERROR(INDEX(INDIRECT("Data!C"&amp;$K$4,FALSE),MATCH(G22,Data!$A:$A,0)),$W$17),$W$16,IFERROR(INDEX(INDIRECT("Data!C"&amp;$K$4,FALSE),MATCH(G22,Data!$A:$A,0)),$W$17)),"-")</f>
        <v>309</v>
      </c>
      <c r="P22" s="21">
        <f ca="1">IF(AND(H22&gt;=$C$6,H22&lt;=$C$7),IF(""=IFERROR(INDEX(INDIRECT("Data!C"&amp;$K$4,FALSE),MATCH(H22,Data!$A:$A,0)),$W$17),$W$16,IFERROR(INDEX(INDIRECT("Data!C"&amp;$K$4,FALSE),MATCH(H22,Data!$A:$A,0)),$W$17)),"-")</f>
        <v>187</v>
      </c>
      <c r="Q22" s="21">
        <f ca="1">IF(AND(I22&gt;=$C$6,I22&lt;=$C$7),IF(""=IFERROR(INDEX(INDIRECT("Data!C"&amp;$K$4,FALSE),MATCH(I22,Data!$A:$A,0)),$W$17),$W$16,IFERROR(INDEX(INDIRECT("Data!C"&amp;$K$4,FALSE),MATCH(I22,Data!$A:$A,0)),$W$17)),"-")</f>
        <v>62</v>
      </c>
      <c r="R22" s="7"/>
      <c r="S22" s="36">
        <f t="shared" ca="1" si="5"/>
        <v>225.57142857142858</v>
      </c>
      <c r="T22" s="18">
        <f t="shared" ca="1" si="7"/>
        <v>225.57142857142858</v>
      </c>
    </row>
    <row r="23" spans="1:25" ht="12" customHeight="1" x14ac:dyDescent="0.2">
      <c r="A23" s="24">
        <f t="array" ref="A23">IFERROR(IF(MATCH(8,DAY(C23:I23),0),I23,""),"")</f>
        <v>41342</v>
      </c>
      <c r="C23" s="17">
        <f t="shared" si="8"/>
        <v>41336</v>
      </c>
      <c r="D23" s="17">
        <f t="shared" ref="D23:I23" si="16">C23+1</f>
        <v>41337</v>
      </c>
      <c r="E23" s="17">
        <f t="shared" si="16"/>
        <v>41338</v>
      </c>
      <c r="F23" s="17">
        <f t="shared" si="16"/>
        <v>41339</v>
      </c>
      <c r="G23" s="17">
        <f t="shared" si="16"/>
        <v>41340</v>
      </c>
      <c r="H23" s="17">
        <f t="shared" si="16"/>
        <v>41341</v>
      </c>
      <c r="I23" s="17">
        <f t="shared" si="16"/>
        <v>41342</v>
      </c>
      <c r="K23" s="21">
        <f ca="1">IF(AND(C23&gt;=$C$6,C23&lt;=$C$7),IF(""=IFERROR(INDEX(INDIRECT("Data!C"&amp;$K$4,FALSE),MATCH(C23,Data!$A:$A,0)),$W$17),$W$16,IFERROR(INDEX(INDIRECT("Data!C"&amp;$K$4,FALSE),MATCH(C23,Data!$A:$A,0)),$W$17)),"-")</f>
        <v>33</v>
      </c>
      <c r="L23" s="21">
        <f ca="1">IF(AND(D23&gt;=$C$6,D23&lt;=$C$7),IF(""=IFERROR(INDEX(INDIRECT("Data!C"&amp;$K$4,FALSE),MATCH(D23,Data!$A:$A,0)),$W$17),$W$16,IFERROR(INDEX(INDIRECT("Data!C"&amp;$K$4,FALSE),MATCH(D23,Data!$A:$A,0)),$W$17)),"-")</f>
        <v>427</v>
      </c>
      <c r="M23" s="21">
        <f ca="1">IF(AND(E23&gt;=$C$6,E23&lt;=$C$7),IF(""=IFERROR(INDEX(INDIRECT("Data!C"&amp;$K$4,FALSE),MATCH(E23,Data!$A:$A,0)),$W$17),$W$16,IFERROR(INDEX(INDIRECT("Data!C"&amp;$K$4,FALSE),MATCH(E23,Data!$A:$A,0)),$W$17)),"-")</f>
        <v>380</v>
      </c>
      <c r="N23" s="21">
        <f ca="1">IF(AND(F23&gt;=$C$6,F23&lt;=$C$7),IF(""=IFERROR(INDEX(INDIRECT("Data!C"&amp;$K$4,FALSE),MATCH(F23,Data!$A:$A,0)),$W$17),$W$16,IFERROR(INDEX(INDIRECT("Data!C"&amp;$K$4,FALSE),MATCH(F23,Data!$A:$A,0)),$W$17)),"-")</f>
        <v>264</v>
      </c>
      <c r="O23" s="21">
        <f ca="1">IF(AND(G23&gt;=$C$6,G23&lt;=$C$7),IF(""=IFERROR(INDEX(INDIRECT("Data!C"&amp;$K$4,FALSE),MATCH(G23,Data!$A:$A,0)),$W$17),$W$16,IFERROR(INDEX(INDIRECT("Data!C"&amp;$K$4,FALSE),MATCH(G23,Data!$A:$A,0)),$W$17)),"-")</f>
        <v>227</v>
      </c>
      <c r="P23" s="21">
        <f ca="1">IF(AND(H23&gt;=$C$6,H23&lt;=$C$7),IF(""=IFERROR(INDEX(INDIRECT("Data!C"&amp;$K$4,FALSE),MATCH(H23,Data!$A:$A,0)),$W$17),$W$16,IFERROR(INDEX(INDIRECT("Data!C"&amp;$K$4,FALSE),MATCH(H23,Data!$A:$A,0)),$W$17)),"-")</f>
        <v>257</v>
      </c>
      <c r="Q23" s="21">
        <f ca="1">IF(AND(I23&gt;=$C$6,I23&lt;=$C$7),IF(""=IFERROR(INDEX(INDIRECT("Data!C"&amp;$K$4,FALSE),MATCH(I23,Data!$A:$A,0)),$W$17),$W$16,IFERROR(INDEX(INDIRECT("Data!C"&amp;$K$4,FALSE),MATCH(I23,Data!$A:$A,0)),$W$17)),"-")</f>
        <v>61</v>
      </c>
      <c r="R23" s="7"/>
      <c r="S23" s="36">
        <f t="shared" ca="1" si="5"/>
        <v>235.57142857142858</v>
      </c>
      <c r="T23" s="18">
        <f t="shared" ca="1" si="7"/>
        <v>235.57142857142858</v>
      </c>
    </row>
    <row r="24" spans="1:25" ht="12" customHeight="1" x14ac:dyDescent="0.2">
      <c r="A24" s="24" t="str">
        <f t="array" ref="A24">IFERROR(IF(MATCH(8,DAY(C24:I24),0),I24,""),"")</f>
        <v/>
      </c>
      <c r="C24" s="17">
        <f t="shared" si="8"/>
        <v>41343</v>
      </c>
      <c r="D24" s="17">
        <f t="shared" ref="D24:I24" si="17">C24+1</f>
        <v>41344</v>
      </c>
      <c r="E24" s="17">
        <f t="shared" si="17"/>
        <v>41345</v>
      </c>
      <c r="F24" s="17">
        <f t="shared" si="17"/>
        <v>41346</v>
      </c>
      <c r="G24" s="17">
        <f t="shared" si="17"/>
        <v>41347</v>
      </c>
      <c r="H24" s="17">
        <f t="shared" si="17"/>
        <v>41348</v>
      </c>
      <c r="I24" s="17">
        <f t="shared" si="17"/>
        <v>41349</v>
      </c>
      <c r="K24" s="21">
        <f ca="1">IF(AND(C24&gt;=$C$6,C24&lt;=$C$7),IF(""=IFERROR(INDEX(INDIRECT("Data!C"&amp;$K$4,FALSE),MATCH(C24,Data!$A:$A,0)),$W$17),$W$16,IFERROR(INDEX(INDIRECT("Data!C"&amp;$K$4,FALSE),MATCH(C24,Data!$A:$A,0)),$W$17)),"-")</f>
        <v>37</v>
      </c>
      <c r="L24" s="21">
        <f ca="1">IF(AND(D24&gt;=$C$6,D24&lt;=$C$7),IF(""=IFERROR(INDEX(INDIRECT("Data!C"&amp;$K$4,FALSE),MATCH(D24,Data!$A:$A,0)),$W$17),$W$16,IFERROR(INDEX(INDIRECT("Data!C"&amp;$K$4,FALSE),MATCH(D24,Data!$A:$A,0)),$W$17)),"-")</f>
        <v>310</v>
      </c>
      <c r="M24" s="21">
        <f ca="1">IF(AND(E24&gt;=$C$6,E24&lt;=$C$7),IF(""=IFERROR(INDEX(INDIRECT("Data!C"&amp;$K$4,FALSE),MATCH(E24,Data!$A:$A,0)),$W$17),$W$16,IFERROR(INDEX(INDIRECT("Data!C"&amp;$K$4,FALSE),MATCH(E24,Data!$A:$A,0)),$W$17)),"-")</f>
        <v>253</v>
      </c>
      <c r="N24" s="21">
        <f ca="1">IF(AND(F24&gt;=$C$6,F24&lt;=$C$7),IF(""=IFERROR(INDEX(INDIRECT("Data!C"&amp;$K$4,FALSE),MATCH(F24,Data!$A:$A,0)),$W$17),$W$16,IFERROR(INDEX(INDIRECT("Data!C"&amp;$K$4,FALSE),MATCH(F24,Data!$A:$A,0)),$W$17)),"-")</f>
        <v>188</v>
      </c>
      <c r="O24" s="21">
        <f ca="1">IF(AND(G24&gt;=$C$6,G24&lt;=$C$7),IF(""=IFERROR(INDEX(INDIRECT("Data!C"&amp;$K$4,FALSE),MATCH(G24,Data!$A:$A,0)),$W$17),$W$16,IFERROR(INDEX(INDIRECT("Data!C"&amp;$K$4,FALSE),MATCH(G24,Data!$A:$A,0)),$W$17)),"-")</f>
        <v>215</v>
      </c>
      <c r="P24" s="21">
        <f ca="1">IF(AND(H24&gt;=$C$6,H24&lt;=$C$7),IF(""=IFERROR(INDEX(INDIRECT("Data!C"&amp;$K$4,FALSE),MATCH(H24,Data!$A:$A,0)),$W$17),$W$16,IFERROR(INDEX(INDIRECT("Data!C"&amp;$K$4,FALSE),MATCH(H24,Data!$A:$A,0)),$W$17)),"-")</f>
        <v>204</v>
      </c>
      <c r="Q24" s="21">
        <f ca="1">IF(AND(I24&gt;=$C$6,I24&lt;=$C$7),IF(""=IFERROR(INDEX(INDIRECT("Data!C"&amp;$K$4,FALSE),MATCH(I24,Data!$A:$A,0)),$W$17),$W$16,IFERROR(INDEX(INDIRECT("Data!C"&amp;$K$4,FALSE),MATCH(I24,Data!$A:$A,0)),$W$17)),"-")</f>
        <v>44</v>
      </c>
      <c r="R24" s="7"/>
      <c r="S24" s="36">
        <f t="shared" ca="1" si="5"/>
        <v>178.71428571428572</v>
      </c>
      <c r="T24" s="18">
        <f t="shared" ca="1" si="7"/>
        <v>178.71428571428572</v>
      </c>
    </row>
    <row r="25" spans="1:25" ht="12" customHeight="1" x14ac:dyDescent="0.2">
      <c r="A25" s="24" t="str">
        <f t="array" ref="A25">IFERROR(IF(MATCH(8,DAY(C25:I25),0),I25,""),"")</f>
        <v/>
      </c>
      <c r="C25" s="17">
        <f t="shared" si="8"/>
        <v>41350</v>
      </c>
      <c r="D25" s="17">
        <f t="shared" ref="D25:I25" si="18">C25+1</f>
        <v>41351</v>
      </c>
      <c r="E25" s="17">
        <f t="shared" si="18"/>
        <v>41352</v>
      </c>
      <c r="F25" s="17">
        <f t="shared" si="18"/>
        <v>41353</v>
      </c>
      <c r="G25" s="17">
        <f t="shared" si="18"/>
        <v>41354</v>
      </c>
      <c r="H25" s="17">
        <f t="shared" si="18"/>
        <v>41355</v>
      </c>
      <c r="I25" s="17">
        <f t="shared" si="18"/>
        <v>41356</v>
      </c>
      <c r="K25" s="21">
        <f ca="1">IF(AND(C25&gt;=$C$6,C25&lt;=$C$7),IF(""=IFERROR(INDEX(INDIRECT("Data!C"&amp;$K$4,FALSE),MATCH(C25,Data!$A:$A,0)),$W$17),$W$16,IFERROR(INDEX(INDIRECT("Data!C"&amp;$K$4,FALSE),MATCH(C25,Data!$A:$A,0)),$W$17)),"-")</f>
        <v>24</v>
      </c>
      <c r="L25" s="21">
        <f ca="1">IF(AND(D25&gt;=$C$6,D25&lt;=$C$7),IF(""=IFERROR(INDEX(INDIRECT("Data!C"&amp;$K$4,FALSE),MATCH(D25,Data!$A:$A,0)),$W$17),$W$16,IFERROR(INDEX(INDIRECT("Data!C"&amp;$K$4,FALSE),MATCH(D25,Data!$A:$A,0)),$W$17)),"-")</f>
        <v>326</v>
      </c>
      <c r="M25" s="21">
        <f ca="1">IF(AND(E25&gt;=$C$6,E25&lt;=$C$7),IF(""=IFERROR(INDEX(INDIRECT("Data!C"&amp;$K$4,FALSE),MATCH(E25,Data!$A:$A,0)),$W$17),$W$16,IFERROR(INDEX(INDIRECT("Data!C"&amp;$K$4,FALSE),MATCH(E25,Data!$A:$A,0)),$W$17)),"-")</f>
        <v>243</v>
      </c>
      <c r="N25" s="21">
        <f ca="1">IF(AND(F25&gt;=$C$6,F25&lt;=$C$7),IF(""=IFERROR(INDEX(INDIRECT("Data!C"&amp;$K$4,FALSE),MATCH(F25,Data!$A:$A,0)),$W$17),$W$16,IFERROR(INDEX(INDIRECT("Data!C"&amp;$K$4,FALSE),MATCH(F25,Data!$A:$A,0)),$W$17)),"-")</f>
        <v>146</v>
      </c>
      <c r="O25" s="21">
        <f ca="1">IF(AND(G25&gt;=$C$6,G25&lt;=$C$7),IF(""=IFERROR(INDEX(INDIRECT("Data!C"&amp;$K$4,FALSE),MATCH(G25,Data!$A:$A,0)),$W$17),$W$16,IFERROR(INDEX(INDIRECT("Data!C"&amp;$K$4,FALSE),MATCH(G25,Data!$A:$A,0)),$W$17)),"-")</f>
        <v>151</v>
      </c>
      <c r="P25" s="21">
        <f ca="1">IF(AND(H25&gt;=$C$6,H25&lt;=$C$7),IF(""=IFERROR(INDEX(INDIRECT("Data!C"&amp;$K$4,FALSE),MATCH(H25,Data!$A:$A,0)),$W$17),$W$16,IFERROR(INDEX(INDIRECT("Data!C"&amp;$K$4,FALSE),MATCH(H25,Data!$A:$A,0)),$W$17)),"-")</f>
        <v>211</v>
      </c>
      <c r="Q25" s="21">
        <f ca="1">IF(AND(I25&gt;=$C$6,I25&lt;=$C$7),IF(""=IFERROR(INDEX(INDIRECT("Data!C"&amp;$K$4,FALSE),MATCH(I25,Data!$A:$A,0)),$W$17),$W$16,IFERROR(INDEX(INDIRECT("Data!C"&amp;$K$4,FALSE),MATCH(I25,Data!$A:$A,0)),$W$17)),"-")</f>
        <v>55</v>
      </c>
      <c r="R25" s="7"/>
      <c r="S25" s="36">
        <f t="shared" ca="1" si="5"/>
        <v>165.14285714285714</v>
      </c>
      <c r="T25" s="18">
        <f t="shared" ca="1" si="7"/>
        <v>165.14285714285714</v>
      </c>
    </row>
    <row r="26" spans="1:25" ht="12" customHeight="1" x14ac:dyDescent="0.2">
      <c r="A26" s="24" t="str">
        <f t="array" ref="A26">IFERROR(IF(MATCH(8,DAY(C26:I26),0),I26,""),"")</f>
        <v/>
      </c>
      <c r="C26" s="17">
        <f t="shared" si="8"/>
        <v>41357</v>
      </c>
      <c r="D26" s="17">
        <f t="shared" ref="D26:I26" si="19">C26+1</f>
        <v>41358</v>
      </c>
      <c r="E26" s="17">
        <f t="shared" si="19"/>
        <v>41359</v>
      </c>
      <c r="F26" s="17">
        <f t="shared" si="19"/>
        <v>41360</v>
      </c>
      <c r="G26" s="17">
        <f t="shared" si="19"/>
        <v>41361</v>
      </c>
      <c r="H26" s="17">
        <f t="shared" si="19"/>
        <v>41362</v>
      </c>
      <c r="I26" s="17">
        <f t="shared" si="19"/>
        <v>41363</v>
      </c>
      <c r="K26" s="21">
        <f ca="1">IF(AND(C26&gt;=$C$6,C26&lt;=$C$7),IF(""=IFERROR(INDEX(INDIRECT("Data!C"&amp;$K$4,FALSE),MATCH(C26,Data!$A:$A,0)),$W$17),$W$16,IFERROR(INDEX(INDIRECT("Data!C"&amp;$K$4,FALSE),MATCH(C26,Data!$A:$A,0)),$W$17)),"-")</f>
        <v>22</v>
      </c>
      <c r="L26" s="21">
        <f ca="1">IF(AND(D26&gt;=$C$6,D26&lt;=$C$7),IF(""=IFERROR(INDEX(INDIRECT("Data!C"&amp;$K$4,FALSE),MATCH(D26,Data!$A:$A,0)),$W$17),$W$16,IFERROR(INDEX(INDIRECT("Data!C"&amp;$K$4,FALSE),MATCH(D26,Data!$A:$A,0)),$W$17)),"-")</f>
        <v>287</v>
      </c>
      <c r="M26" s="21">
        <f ca="1">IF(AND(E26&gt;=$C$6,E26&lt;=$C$7),IF(""=IFERROR(INDEX(INDIRECT("Data!C"&amp;$K$4,FALSE),MATCH(E26,Data!$A:$A,0)),$W$17),$W$16,IFERROR(INDEX(INDIRECT("Data!C"&amp;$K$4,FALSE),MATCH(E26,Data!$A:$A,0)),$W$17)),"-")</f>
        <v>156</v>
      </c>
      <c r="N26" s="21">
        <f ca="1">IF(AND(F26&gt;=$C$6,F26&lt;=$C$7),IF(""=IFERROR(INDEX(INDIRECT("Data!C"&amp;$K$4,FALSE),MATCH(F26,Data!$A:$A,0)),$W$17),$W$16,IFERROR(INDEX(INDIRECT("Data!C"&amp;$K$4,FALSE),MATCH(F26,Data!$A:$A,0)),$W$17)),"-")</f>
        <v>138</v>
      </c>
      <c r="O26" s="21">
        <f ca="1">IF(AND(G26&gt;=$C$6,G26&lt;=$C$7),IF(""=IFERROR(INDEX(INDIRECT("Data!C"&amp;$K$4,FALSE),MATCH(G26,Data!$A:$A,0)),$W$17),$W$16,IFERROR(INDEX(INDIRECT("Data!C"&amp;$K$4,FALSE),MATCH(G26,Data!$A:$A,0)),$W$17)),"-")</f>
        <v>126</v>
      </c>
      <c r="P26" s="21">
        <f ca="1">IF(AND(H26&gt;=$C$6,H26&lt;=$C$7),IF(""=IFERROR(INDEX(INDIRECT("Data!C"&amp;$K$4,FALSE),MATCH(H26,Data!$A:$A,0)),$W$17),$W$16,IFERROR(INDEX(INDIRECT("Data!C"&amp;$K$4,FALSE),MATCH(H26,Data!$A:$A,0)),$W$17)),"-")</f>
        <v>84</v>
      </c>
      <c r="Q26" s="21">
        <f ca="1">IF(AND(I26&gt;=$C$6,I26&lt;=$C$7),IF(""=IFERROR(INDEX(INDIRECT("Data!C"&amp;$K$4,FALSE),MATCH(I26,Data!$A:$A,0)),$W$17),$W$16,IFERROR(INDEX(INDIRECT("Data!C"&amp;$K$4,FALSE),MATCH(I26,Data!$A:$A,0)),$W$17)),"-")</f>
        <v>24</v>
      </c>
      <c r="R26" s="7"/>
      <c r="S26" s="36">
        <f t="shared" ca="1" si="5"/>
        <v>119.57142857142857</v>
      </c>
      <c r="T26" s="18">
        <f t="shared" ca="1" si="7"/>
        <v>119.57142857142857</v>
      </c>
    </row>
    <row r="27" spans="1:25" ht="12" customHeight="1" x14ac:dyDescent="0.2">
      <c r="A27" s="24" t="str">
        <f t="array" ref="A27">IFERROR(IF(MATCH(8,DAY(C27:I27),0),I27,""),"")</f>
        <v/>
      </c>
      <c r="C27" s="17">
        <f t="shared" si="8"/>
        <v>41364</v>
      </c>
      <c r="D27" s="17">
        <f t="shared" ref="D27:I27" si="20">C27+1</f>
        <v>41365</v>
      </c>
      <c r="E27" s="17">
        <f t="shared" si="20"/>
        <v>41366</v>
      </c>
      <c r="F27" s="17">
        <f t="shared" si="20"/>
        <v>41367</v>
      </c>
      <c r="G27" s="17">
        <f t="shared" si="20"/>
        <v>41368</v>
      </c>
      <c r="H27" s="17">
        <f t="shared" si="20"/>
        <v>41369</v>
      </c>
      <c r="I27" s="17">
        <f t="shared" si="20"/>
        <v>41370</v>
      </c>
      <c r="K27" s="21">
        <f ca="1">IF(AND(C27&gt;=$C$6,C27&lt;=$C$7),IF(""=IFERROR(INDEX(INDIRECT("Data!C"&amp;$K$4,FALSE),MATCH(C27,Data!$A:$A,0)),$W$17),$W$16,IFERROR(INDEX(INDIRECT("Data!C"&amp;$K$4,FALSE),MATCH(C27,Data!$A:$A,0)),$W$17)),"-")</f>
        <v>15</v>
      </c>
      <c r="L27" s="21">
        <f ca="1">IF(AND(D27&gt;=$C$6,D27&lt;=$C$7),IF(""=IFERROR(INDEX(INDIRECT("Data!C"&amp;$K$4,FALSE),MATCH(D27,Data!$A:$A,0)),$W$17),$W$16,IFERROR(INDEX(INDIRECT("Data!C"&amp;$K$4,FALSE),MATCH(D27,Data!$A:$A,0)),$W$17)),"-")</f>
        <v>174</v>
      </c>
      <c r="M27" s="21">
        <f ca="1">IF(AND(E27&gt;=$C$6,E27&lt;=$C$7),IF(""=IFERROR(INDEX(INDIRECT("Data!C"&amp;$K$4,FALSE),MATCH(E27,Data!$A:$A,0)),$W$17),$W$16,IFERROR(INDEX(INDIRECT("Data!C"&amp;$K$4,FALSE),MATCH(E27,Data!$A:$A,0)),$W$17)),"-")</f>
        <v>186</v>
      </c>
      <c r="N27" s="21">
        <f ca="1">IF(AND(F27&gt;=$C$6,F27&lt;=$C$7),IF(""=IFERROR(INDEX(INDIRECT("Data!C"&amp;$K$4,FALSE),MATCH(F27,Data!$A:$A,0)),$W$17),$W$16,IFERROR(INDEX(INDIRECT("Data!C"&amp;$K$4,FALSE),MATCH(F27,Data!$A:$A,0)),$W$17)),"-")</f>
        <v>154</v>
      </c>
      <c r="O27" s="21">
        <f ca="1">IF(AND(G27&gt;=$C$6,G27&lt;=$C$7),IF(""=IFERROR(INDEX(INDIRECT("Data!C"&amp;$K$4,FALSE),MATCH(G27,Data!$A:$A,0)),$W$17),$W$16,IFERROR(INDEX(INDIRECT("Data!C"&amp;$K$4,FALSE),MATCH(G27,Data!$A:$A,0)),$W$17)),"-")</f>
        <v>144</v>
      </c>
      <c r="P27" s="21">
        <f ca="1">IF(AND(H27&gt;=$C$6,H27&lt;=$C$7),IF(""=IFERROR(INDEX(INDIRECT("Data!C"&amp;$K$4,FALSE),MATCH(H27,Data!$A:$A,0)),$W$17),$W$16,IFERROR(INDEX(INDIRECT("Data!C"&amp;$K$4,FALSE),MATCH(H27,Data!$A:$A,0)),$W$17)),"-")</f>
        <v>133</v>
      </c>
      <c r="Q27" s="21">
        <f ca="1">IF(AND(I27&gt;=$C$6,I27&lt;=$C$7),IF(""=IFERROR(INDEX(INDIRECT("Data!C"&amp;$K$4,FALSE),MATCH(I27,Data!$A:$A,0)),$W$17),$W$16,IFERROR(INDEX(INDIRECT("Data!C"&amp;$K$4,FALSE),MATCH(I27,Data!$A:$A,0)),$W$17)),"-")</f>
        <v>34</v>
      </c>
      <c r="R27" s="7"/>
      <c r="S27" s="36">
        <f t="shared" ca="1" si="5"/>
        <v>120</v>
      </c>
      <c r="T27" s="18">
        <f t="shared" ca="1" si="7"/>
        <v>120</v>
      </c>
    </row>
    <row r="28" spans="1:25" ht="12" customHeight="1" x14ac:dyDescent="0.2">
      <c r="A28" s="24">
        <f t="array" ref="A28">IFERROR(IF(MATCH(8,DAY(C28:I28),0),I28,""),"")</f>
        <v>41377</v>
      </c>
      <c r="C28" s="17">
        <f t="shared" si="8"/>
        <v>41371</v>
      </c>
      <c r="D28" s="17">
        <f t="shared" ref="D28:I28" si="21">C28+1</f>
        <v>41372</v>
      </c>
      <c r="E28" s="17">
        <f t="shared" si="21"/>
        <v>41373</v>
      </c>
      <c r="F28" s="17">
        <f t="shared" si="21"/>
        <v>41374</v>
      </c>
      <c r="G28" s="17">
        <f t="shared" si="21"/>
        <v>41375</v>
      </c>
      <c r="H28" s="17">
        <f t="shared" si="21"/>
        <v>41376</v>
      </c>
      <c r="I28" s="17">
        <f t="shared" si="21"/>
        <v>41377</v>
      </c>
      <c r="K28" s="21">
        <f ca="1">IF(AND(C28&gt;=$C$6,C28&lt;=$C$7),IF(""=IFERROR(INDEX(INDIRECT("Data!C"&amp;$K$4,FALSE),MATCH(C28,Data!$A:$A,0)),$W$17),$W$16,IFERROR(INDEX(INDIRECT("Data!C"&amp;$K$4,FALSE),MATCH(C28,Data!$A:$A,0)),$W$17)),"-")</f>
        <v>26</v>
      </c>
      <c r="L28" s="21">
        <f ca="1">IF(AND(D28&gt;=$C$6,D28&lt;=$C$7),IF(""=IFERROR(INDEX(INDIRECT("Data!C"&amp;$K$4,FALSE),MATCH(D28,Data!$A:$A,0)),$W$17),$W$16,IFERROR(INDEX(INDIRECT("Data!C"&amp;$K$4,FALSE),MATCH(D28,Data!$A:$A,0)),$W$17)),"-")</f>
        <v>136</v>
      </c>
      <c r="M28" s="21">
        <f ca="1">IF(AND(E28&gt;=$C$6,E28&lt;=$C$7),IF(""=IFERROR(INDEX(INDIRECT("Data!C"&amp;$K$4,FALSE),MATCH(E28,Data!$A:$A,0)),$W$17),$W$16,IFERROR(INDEX(INDIRECT("Data!C"&amp;$K$4,FALSE),MATCH(E28,Data!$A:$A,0)),$W$17)),"-")</f>
        <v>184</v>
      </c>
      <c r="N28" s="21">
        <f ca="1">IF(AND(F28&gt;=$C$6,F28&lt;=$C$7),IF(""=IFERROR(INDEX(INDIRECT("Data!C"&amp;$K$4,FALSE),MATCH(F28,Data!$A:$A,0)),$W$17),$W$16,IFERROR(INDEX(INDIRECT("Data!C"&amp;$K$4,FALSE),MATCH(F28,Data!$A:$A,0)),$W$17)),"-")</f>
        <v>167</v>
      </c>
      <c r="O28" s="21">
        <f ca="1">IF(AND(G28&gt;=$C$6,G28&lt;=$C$7),IF(""=IFERROR(INDEX(INDIRECT("Data!C"&amp;$K$4,FALSE),MATCH(G28,Data!$A:$A,0)),$W$17),$W$16,IFERROR(INDEX(INDIRECT("Data!C"&amp;$K$4,FALSE),MATCH(G28,Data!$A:$A,0)),$W$17)),"-")</f>
        <v>174</v>
      </c>
      <c r="P28" s="21">
        <f ca="1">IF(AND(H28&gt;=$C$6,H28&lt;=$C$7),IF(""=IFERROR(INDEX(INDIRECT("Data!C"&amp;$K$4,FALSE),MATCH(H28,Data!$A:$A,0)),$W$17),$W$16,IFERROR(INDEX(INDIRECT("Data!C"&amp;$K$4,FALSE),MATCH(H28,Data!$A:$A,0)),$W$17)),"-")</f>
        <v>145</v>
      </c>
      <c r="Q28" s="21">
        <f ca="1">IF(AND(I28&gt;=$C$6,I28&lt;=$C$7),IF(""=IFERROR(INDEX(INDIRECT("Data!C"&amp;$K$4,FALSE),MATCH(I28,Data!$A:$A,0)),$W$17),$W$16,IFERROR(INDEX(INDIRECT("Data!C"&amp;$K$4,FALSE),MATCH(I28,Data!$A:$A,0)),$W$17)),"-")</f>
        <v>52</v>
      </c>
      <c r="R28" s="7"/>
      <c r="S28" s="36">
        <f t="shared" ca="1" si="5"/>
        <v>126.28571428571429</v>
      </c>
      <c r="T28" s="18">
        <f t="shared" ca="1" si="7"/>
        <v>126.28571428571429</v>
      </c>
    </row>
    <row r="29" spans="1:25" ht="12" customHeight="1" x14ac:dyDescent="0.2">
      <c r="A29" s="24" t="str">
        <f t="array" ref="A29">IFERROR(IF(MATCH(8,DAY(C29:I29),0),I29,""),"")</f>
        <v/>
      </c>
      <c r="C29" s="17">
        <f t="shared" si="8"/>
        <v>41378</v>
      </c>
      <c r="D29" s="17">
        <f t="shared" ref="D29:I29" si="22">C29+1</f>
        <v>41379</v>
      </c>
      <c r="E29" s="17">
        <f t="shared" si="22"/>
        <v>41380</v>
      </c>
      <c r="F29" s="17">
        <f t="shared" si="22"/>
        <v>41381</v>
      </c>
      <c r="G29" s="17">
        <f t="shared" si="22"/>
        <v>41382</v>
      </c>
      <c r="H29" s="17">
        <f t="shared" si="22"/>
        <v>41383</v>
      </c>
      <c r="I29" s="17">
        <f t="shared" si="22"/>
        <v>41384</v>
      </c>
      <c r="K29" s="21">
        <f ca="1">IF(AND(C29&gt;=$C$6,C29&lt;=$C$7),IF(""=IFERROR(INDEX(INDIRECT("Data!C"&amp;$K$4,FALSE),MATCH(C29,Data!$A:$A,0)),$W$17),$W$16,IFERROR(INDEX(INDIRECT("Data!C"&amp;$K$4,FALSE),MATCH(C29,Data!$A:$A,0)),$W$17)),"-")</f>
        <v>25</v>
      </c>
      <c r="L29" s="21">
        <f ca="1">IF(AND(D29&gt;=$C$6,D29&lt;=$C$7),IF(""=IFERROR(INDEX(INDIRECT("Data!C"&amp;$K$4,FALSE),MATCH(D29,Data!$A:$A,0)),$W$17),$W$16,IFERROR(INDEX(INDIRECT("Data!C"&amp;$K$4,FALSE),MATCH(D29,Data!$A:$A,0)),$W$17)),"-")</f>
        <v>228</v>
      </c>
      <c r="M29" s="21">
        <f ca="1">IF(AND(E29&gt;=$C$6,E29&lt;=$C$7),IF(""=IFERROR(INDEX(INDIRECT("Data!C"&amp;$K$4,FALSE),MATCH(E29,Data!$A:$A,0)),$W$17),$W$16,IFERROR(INDEX(INDIRECT("Data!C"&amp;$K$4,FALSE),MATCH(E29,Data!$A:$A,0)),$W$17)),"-")</f>
        <v>189</v>
      </c>
      <c r="N29" s="21">
        <f ca="1">IF(AND(F29&gt;=$C$6,F29&lt;=$C$7),IF(""=IFERROR(INDEX(INDIRECT("Data!C"&amp;$K$4,FALSE),MATCH(F29,Data!$A:$A,0)),$W$17),$W$16,IFERROR(INDEX(INDIRECT("Data!C"&amp;$K$4,FALSE),MATCH(F29,Data!$A:$A,0)),$W$17)),"-")</f>
        <v>237</v>
      </c>
      <c r="O29" s="21">
        <f ca="1">IF(AND(G29&gt;=$C$6,G29&lt;=$C$7),IF(""=IFERROR(INDEX(INDIRECT("Data!C"&amp;$K$4,FALSE),MATCH(G29,Data!$A:$A,0)),$W$17),$W$16,IFERROR(INDEX(INDIRECT("Data!C"&amp;$K$4,FALSE),MATCH(G29,Data!$A:$A,0)),$W$17)),"-")</f>
        <v>223</v>
      </c>
      <c r="P29" s="21">
        <f ca="1">IF(AND(H29&gt;=$C$6,H29&lt;=$C$7),IF(""=IFERROR(INDEX(INDIRECT("Data!C"&amp;$K$4,FALSE),MATCH(H29,Data!$A:$A,0)),$W$17),$W$16,IFERROR(INDEX(INDIRECT("Data!C"&amp;$K$4,FALSE),MATCH(H29,Data!$A:$A,0)),$W$17)),"-")</f>
        <v>116</v>
      </c>
      <c r="Q29" s="21">
        <f ca="1">IF(AND(I29&gt;=$C$6,I29&lt;=$C$7),IF(""=IFERROR(INDEX(INDIRECT("Data!C"&amp;$K$4,FALSE),MATCH(I29,Data!$A:$A,0)),$W$17),$W$16,IFERROR(INDEX(INDIRECT("Data!C"&amp;$K$4,FALSE),MATCH(I29,Data!$A:$A,0)),$W$17)),"-")</f>
        <v>61</v>
      </c>
      <c r="R29" s="7"/>
      <c r="S29" s="36">
        <f t="shared" ca="1" si="5"/>
        <v>154.14285714285714</v>
      </c>
      <c r="T29" s="18">
        <f t="shared" ca="1" si="7"/>
        <v>154.14285714285714</v>
      </c>
      <c r="V29" s="12"/>
      <c r="W29" s="12"/>
      <c r="X29" s="26"/>
    </row>
    <row r="30" spans="1:25" ht="12" customHeight="1" x14ac:dyDescent="0.2">
      <c r="A30" s="24" t="str">
        <f t="array" ref="A30">IFERROR(IF(MATCH(8,DAY(C30:I30),0),I30,""),"")</f>
        <v/>
      </c>
      <c r="C30" s="17">
        <f t="shared" si="8"/>
        <v>41385</v>
      </c>
      <c r="D30" s="17">
        <f t="shared" ref="D30:I30" si="23">C30+1</f>
        <v>41386</v>
      </c>
      <c r="E30" s="17">
        <f t="shared" si="23"/>
        <v>41387</v>
      </c>
      <c r="F30" s="17">
        <f t="shared" si="23"/>
        <v>41388</v>
      </c>
      <c r="G30" s="17">
        <f t="shared" si="23"/>
        <v>41389</v>
      </c>
      <c r="H30" s="17">
        <f t="shared" si="23"/>
        <v>41390</v>
      </c>
      <c r="I30" s="17">
        <f t="shared" si="23"/>
        <v>41391</v>
      </c>
      <c r="K30" s="21">
        <f ca="1">IF(AND(C30&gt;=$C$6,C30&lt;=$C$7),IF(""=IFERROR(INDEX(INDIRECT("Data!C"&amp;$K$4,FALSE),MATCH(C30,Data!$A:$A,0)),$W$17),$W$16,IFERROR(INDEX(INDIRECT("Data!C"&amp;$K$4,FALSE),MATCH(C30,Data!$A:$A,0)),$W$17)),"-")</f>
        <v>31</v>
      </c>
      <c r="L30" s="21">
        <f ca="1">IF(AND(D30&gt;=$C$6,D30&lt;=$C$7),IF(""=IFERROR(INDEX(INDIRECT("Data!C"&amp;$K$4,FALSE),MATCH(D30,Data!$A:$A,0)),$W$17),$W$16,IFERROR(INDEX(INDIRECT("Data!C"&amp;$K$4,FALSE),MATCH(D30,Data!$A:$A,0)),$W$17)),"-")</f>
        <v>334</v>
      </c>
      <c r="M30" s="21">
        <f ca="1">IF(AND(E30&gt;=$C$6,E30&lt;=$C$7),IF(""=IFERROR(INDEX(INDIRECT("Data!C"&amp;$K$4,FALSE),MATCH(E30,Data!$A:$A,0)),$W$17),$W$16,IFERROR(INDEX(INDIRECT("Data!C"&amp;$K$4,FALSE),MATCH(E30,Data!$A:$A,0)),$W$17)),"-")</f>
        <v>171</v>
      </c>
      <c r="N30" s="21">
        <f ca="1">IF(AND(F30&gt;=$C$6,F30&lt;=$C$7),IF(""=IFERROR(INDEX(INDIRECT("Data!C"&amp;$K$4,FALSE),MATCH(F30,Data!$A:$A,0)),$W$17),$W$16,IFERROR(INDEX(INDIRECT("Data!C"&amp;$K$4,FALSE),MATCH(F30,Data!$A:$A,0)),$W$17)),"-")</f>
        <v>159</v>
      </c>
      <c r="O30" s="21">
        <f ca="1">IF(AND(G30&gt;=$C$6,G30&lt;=$C$7),IF(""=IFERROR(INDEX(INDIRECT("Data!C"&amp;$K$4,FALSE),MATCH(G30,Data!$A:$A,0)),$W$17),$W$16,IFERROR(INDEX(INDIRECT("Data!C"&amp;$K$4,FALSE),MATCH(G30,Data!$A:$A,0)),$W$17)),"-")</f>
        <v>215</v>
      </c>
      <c r="P30" s="21">
        <f ca="1">IF(AND(H30&gt;=$C$6,H30&lt;=$C$7),IF(""=IFERROR(INDEX(INDIRECT("Data!C"&amp;$K$4,FALSE),MATCH(H30,Data!$A:$A,0)),$W$17),$W$16,IFERROR(INDEX(INDIRECT("Data!C"&amp;$K$4,FALSE),MATCH(H30,Data!$A:$A,0)),$W$17)),"-")</f>
        <v>158</v>
      </c>
      <c r="Q30" s="21">
        <f ca="1">IF(AND(I30&gt;=$C$6,I30&lt;=$C$7),IF(""=IFERROR(INDEX(INDIRECT("Data!C"&amp;$K$4,FALSE),MATCH(I30,Data!$A:$A,0)),$W$17),$W$16,IFERROR(INDEX(INDIRECT("Data!C"&amp;$K$4,FALSE),MATCH(I30,Data!$A:$A,0)),$W$17)),"-")</f>
        <v>46</v>
      </c>
      <c r="R30" s="7"/>
      <c r="S30" s="36">
        <f t="shared" ca="1" si="5"/>
        <v>159.14285714285714</v>
      </c>
      <c r="T30" s="18">
        <f t="shared" ca="1" si="7"/>
        <v>159.14285714285714</v>
      </c>
      <c r="V30" s="12"/>
      <c r="W30" s="12"/>
      <c r="X30" s="26"/>
    </row>
    <row r="31" spans="1:25" ht="12" customHeight="1" x14ac:dyDescent="0.2">
      <c r="A31" s="24" t="str">
        <f t="array" ref="A31">IFERROR(IF(MATCH(8,DAY(C31:I31),0),I31,""),"")</f>
        <v/>
      </c>
      <c r="C31" s="17">
        <f t="shared" si="8"/>
        <v>41392</v>
      </c>
      <c r="D31" s="17">
        <f t="shared" ref="D31:I31" si="24">C31+1</f>
        <v>41393</v>
      </c>
      <c r="E31" s="17">
        <f t="shared" si="24"/>
        <v>41394</v>
      </c>
      <c r="F31" s="17">
        <f t="shared" si="24"/>
        <v>41395</v>
      </c>
      <c r="G31" s="17">
        <f t="shared" si="24"/>
        <v>41396</v>
      </c>
      <c r="H31" s="17">
        <f t="shared" si="24"/>
        <v>41397</v>
      </c>
      <c r="I31" s="17">
        <f t="shared" si="24"/>
        <v>41398</v>
      </c>
      <c r="K31" s="21">
        <f ca="1">IF(AND(C31&gt;=$C$6,C31&lt;=$C$7),IF(""=IFERROR(INDEX(INDIRECT("Data!C"&amp;$K$4,FALSE),MATCH(C31,Data!$A:$A,0)),$W$17),$W$16,IFERROR(INDEX(INDIRECT("Data!C"&amp;$K$4,FALSE),MATCH(C31,Data!$A:$A,0)),$W$17)),"-")</f>
        <v>22</v>
      </c>
      <c r="L31" s="21">
        <f ca="1">IF(AND(D31&gt;=$C$6,D31&lt;=$C$7),IF(""=IFERROR(INDEX(INDIRECT("Data!C"&amp;$K$4,FALSE),MATCH(D31,Data!$A:$A,0)),$W$17),$W$16,IFERROR(INDEX(INDIRECT("Data!C"&amp;$K$4,FALSE),MATCH(D31,Data!$A:$A,0)),$W$17)),"-")</f>
        <v>257</v>
      </c>
      <c r="M31" s="21">
        <f ca="1">IF(AND(E31&gt;=$C$6,E31&lt;=$C$7),IF(""=IFERROR(INDEX(INDIRECT("Data!C"&amp;$K$4,FALSE),MATCH(E31,Data!$A:$A,0)),$W$17),$W$16,IFERROR(INDEX(INDIRECT("Data!C"&amp;$K$4,FALSE),MATCH(E31,Data!$A:$A,0)),$W$17)),"-")</f>
        <v>297</v>
      </c>
      <c r="N31" s="21">
        <f ca="1">IF(AND(F31&gt;=$C$6,F31&lt;=$C$7),IF(""=IFERROR(INDEX(INDIRECT("Data!C"&amp;$K$4,FALSE),MATCH(F31,Data!$A:$A,0)),$W$17),$W$16,IFERROR(INDEX(INDIRECT("Data!C"&amp;$K$4,FALSE),MATCH(F31,Data!$A:$A,0)),$W$17)),"-")</f>
        <v>323</v>
      </c>
      <c r="O31" s="21">
        <f ca="1">IF(AND(G31&gt;=$C$6,G31&lt;=$C$7),IF(""=IFERROR(INDEX(INDIRECT("Data!C"&amp;$K$4,FALSE),MATCH(G31,Data!$A:$A,0)),$W$17),$W$16,IFERROR(INDEX(INDIRECT("Data!C"&amp;$K$4,FALSE),MATCH(G31,Data!$A:$A,0)),$W$17)),"-")</f>
        <v>226</v>
      </c>
      <c r="P31" s="21">
        <f ca="1">IF(AND(H31&gt;=$C$6,H31&lt;=$C$7),IF(""=IFERROR(INDEX(INDIRECT("Data!C"&amp;$K$4,FALSE),MATCH(H31,Data!$A:$A,0)),$W$17),$W$16,IFERROR(INDEX(INDIRECT("Data!C"&amp;$K$4,FALSE),MATCH(H31,Data!$A:$A,0)),$W$17)),"-")</f>
        <v>242</v>
      </c>
      <c r="Q31" s="21">
        <f ca="1">IF(AND(I31&gt;=$C$6,I31&lt;=$C$7),IF(""=IFERROR(INDEX(INDIRECT("Data!C"&amp;$K$4,FALSE),MATCH(I31,Data!$A:$A,0)),$W$17),$W$16,IFERROR(INDEX(INDIRECT("Data!C"&amp;$K$4,FALSE),MATCH(I31,Data!$A:$A,0)),$W$17)),"-")</f>
        <v>84</v>
      </c>
      <c r="R31" s="7"/>
      <c r="S31" s="36">
        <f t="shared" ca="1" si="5"/>
        <v>207.28571428571428</v>
      </c>
      <c r="T31" s="18">
        <f t="shared" ca="1" si="7"/>
        <v>207.28571428571428</v>
      </c>
      <c r="V31" s="12"/>
      <c r="W31" s="12"/>
      <c r="X31" s="26"/>
    </row>
    <row r="32" spans="1:25" ht="12" customHeight="1" x14ac:dyDescent="0.2">
      <c r="A32" s="24">
        <f t="array" ref="A32">IFERROR(IF(MATCH(8,DAY(C32:I32),0),I32,""),"")</f>
        <v>41405</v>
      </c>
      <c r="C32" s="17">
        <f t="shared" si="8"/>
        <v>41399</v>
      </c>
      <c r="D32" s="17">
        <f t="shared" ref="D32:I32" si="25">C32+1</f>
        <v>41400</v>
      </c>
      <c r="E32" s="17">
        <f t="shared" si="25"/>
        <v>41401</v>
      </c>
      <c r="F32" s="17">
        <f t="shared" si="25"/>
        <v>41402</v>
      </c>
      <c r="G32" s="17">
        <f t="shared" si="25"/>
        <v>41403</v>
      </c>
      <c r="H32" s="17">
        <f t="shared" si="25"/>
        <v>41404</v>
      </c>
      <c r="I32" s="17">
        <f t="shared" si="25"/>
        <v>41405</v>
      </c>
      <c r="K32" s="21">
        <f ca="1">IF(AND(C32&gt;=$C$6,C32&lt;=$C$7),IF(""=IFERROR(INDEX(INDIRECT("Data!C"&amp;$K$4,FALSE),MATCH(C32,Data!$A:$A,0)),$W$17),$W$16,IFERROR(INDEX(INDIRECT("Data!C"&amp;$K$4,FALSE),MATCH(C32,Data!$A:$A,0)),$W$17)),"-")</f>
        <v>39</v>
      </c>
      <c r="L32" s="21">
        <f ca="1">IF(AND(D32&gt;=$C$6,D32&lt;=$C$7),IF(""=IFERROR(INDEX(INDIRECT("Data!C"&amp;$K$4,FALSE),MATCH(D32,Data!$A:$A,0)),$W$17),$W$16,IFERROR(INDEX(INDIRECT("Data!C"&amp;$K$4,FALSE),MATCH(D32,Data!$A:$A,0)),$W$17)),"-")</f>
        <v>247</v>
      </c>
      <c r="M32" s="21">
        <f ca="1">IF(AND(E32&gt;=$C$6,E32&lt;=$C$7),IF(""=IFERROR(INDEX(INDIRECT("Data!C"&amp;$K$4,FALSE),MATCH(E32,Data!$A:$A,0)),$W$17),$W$16,IFERROR(INDEX(INDIRECT("Data!C"&amp;$K$4,FALSE),MATCH(E32,Data!$A:$A,0)),$W$17)),"-")</f>
        <v>317</v>
      </c>
      <c r="N32" s="21">
        <f ca="1">IF(AND(F32&gt;=$C$6,F32&lt;=$C$7),IF(""=IFERROR(INDEX(INDIRECT("Data!C"&amp;$K$4,FALSE),MATCH(F32,Data!$A:$A,0)),$W$17),$W$16,IFERROR(INDEX(INDIRECT("Data!C"&amp;$K$4,FALSE),MATCH(F32,Data!$A:$A,0)),$W$17)),"-")</f>
        <v>220</v>
      </c>
      <c r="O32" s="21">
        <f ca="1">IF(AND(G32&gt;=$C$6,G32&lt;=$C$7),IF(""=IFERROR(INDEX(INDIRECT("Data!C"&amp;$K$4,FALSE),MATCH(G32,Data!$A:$A,0)),$W$17),$W$16,IFERROR(INDEX(INDIRECT("Data!C"&amp;$K$4,FALSE),MATCH(G32,Data!$A:$A,0)),$W$17)),"-")</f>
        <v>279</v>
      </c>
      <c r="P32" s="21">
        <f ca="1">IF(AND(H32&gt;=$C$6,H32&lt;=$C$7),IF(""=IFERROR(INDEX(INDIRECT("Data!C"&amp;$K$4,FALSE),MATCH(H32,Data!$A:$A,0)),$W$17),$W$16,IFERROR(INDEX(INDIRECT("Data!C"&amp;$K$4,FALSE),MATCH(H32,Data!$A:$A,0)),$W$17)),"-")</f>
        <v>200</v>
      </c>
      <c r="Q32" s="21">
        <f ca="1">IF(AND(I32&gt;=$C$6,I32&lt;=$C$7),IF(""=IFERROR(INDEX(INDIRECT("Data!C"&amp;$K$4,FALSE),MATCH(I32,Data!$A:$A,0)),$W$17),$W$16,IFERROR(INDEX(INDIRECT("Data!C"&amp;$K$4,FALSE),MATCH(I32,Data!$A:$A,0)),$W$17)),"-")</f>
        <v>83</v>
      </c>
      <c r="R32" s="7"/>
      <c r="S32" s="36">
        <f t="shared" ca="1" si="5"/>
        <v>197.85714285714286</v>
      </c>
      <c r="T32" s="18">
        <f t="shared" ca="1" si="7"/>
        <v>197.85714285714286</v>
      </c>
      <c r="V32" s="12"/>
      <c r="W32" s="12"/>
      <c r="X32" s="26"/>
    </row>
    <row r="33" spans="1:20" ht="12" customHeight="1" x14ac:dyDescent="0.2">
      <c r="A33" s="24" t="str">
        <f t="array" ref="A33">IFERROR(IF(MATCH(8,DAY(C33:I33),0),I33,""),"")</f>
        <v/>
      </c>
      <c r="C33" s="17">
        <f t="shared" si="8"/>
        <v>41406</v>
      </c>
      <c r="D33" s="17">
        <f t="shared" ref="D33:I33" si="26">C33+1</f>
        <v>41407</v>
      </c>
      <c r="E33" s="17">
        <f t="shared" si="26"/>
        <v>41408</v>
      </c>
      <c r="F33" s="17">
        <f t="shared" si="26"/>
        <v>41409</v>
      </c>
      <c r="G33" s="17">
        <f t="shared" si="26"/>
        <v>41410</v>
      </c>
      <c r="H33" s="17">
        <f t="shared" si="26"/>
        <v>41411</v>
      </c>
      <c r="I33" s="17">
        <f t="shared" si="26"/>
        <v>41412</v>
      </c>
      <c r="K33" s="21">
        <f ca="1">IF(AND(C33&gt;=$C$6,C33&lt;=$C$7),IF(""=IFERROR(INDEX(INDIRECT("Data!C"&amp;$K$4,FALSE),MATCH(C33,Data!$A:$A,0)),$W$17),$W$16,IFERROR(INDEX(INDIRECT("Data!C"&amp;$K$4,FALSE),MATCH(C33,Data!$A:$A,0)),$W$17)),"-")</f>
        <v>37</v>
      </c>
      <c r="L33" s="21">
        <f ca="1">IF(AND(D33&gt;=$C$6,D33&lt;=$C$7),IF(""=IFERROR(INDEX(INDIRECT("Data!C"&amp;$K$4,FALSE),MATCH(D33,Data!$A:$A,0)),$W$17),$W$16,IFERROR(INDEX(INDIRECT("Data!C"&amp;$K$4,FALSE),MATCH(D33,Data!$A:$A,0)),$W$17)),"-")</f>
        <v>373</v>
      </c>
      <c r="M33" s="21">
        <f ca="1">IF(AND(E33&gt;=$C$6,E33&lt;=$C$7),IF(""=IFERROR(INDEX(INDIRECT("Data!C"&amp;$K$4,FALSE),MATCH(E33,Data!$A:$A,0)),$W$17),$W$16,IFERROR(INDEX(INDIRECT("Data!C"&amp;$K$4,FALSE),MATCH(E33,Data!$A:$A,0)),$W$17)),"-")</f>
        <v>343</v>
      </c>
      <c r="N33" s="21">
        <f ca="1">IF(AND(F33&gt;=$C$6,F33&lt;=$C$7),IF(""=IFERROR(INDEX(INDIRECT("Data!C"&amp;$K$4,FALSE),MATCH(F33,Data!$A:$A,0)),$W$17),$W$16,IFERROR(INDEX(INDIRECT("Data!C"&amp;$K$4,FALSE),MATCH(F33,Data!$A:$A,0)),$W$17)),"-")</f>
        <v>242</v>
      </c>
      <c r="O33" s="21">
        <f ca="1">IF(AND(G33&gt;=$C$6,G33&lt;=$C$7),IF(""=IFERROR(INDEX(INDIRECT("Data!C"&amp;$K$4,FALSE),MATCH(G33,Data!$A:$A,0)),$W$17),$W$16,IFERROR(INDEX(INDIRECT("Data!C"&amp;$K$4,FALSE),MATCH(G33,Data!$A:$A,0)),$W$17)),"-")</f>
        <v>272</v>
      </c>
      <c r="P33" s="21">
        <f ca="1">IF(AND(H33&gt;=$C$6,H33&lt;=$C$7),IF(""=IFERROR(INDEX(INDIRECT("Data!C"&amp;$K$4,FALSE),MATCH(H33,Data!$A:$A,0)),$W$17),$W$16,IFERROR(INDEX(INDIRECT("Data!C"&amp;$K$4,FALSE),MATCH(H33,Data!$A:$A,0)),$W$17)),"-")</f>
        <v>289</v>
      </c>
      <c r="Q33" s="21">
        <f ca="1">IF(AND(I33&gt;=$C$6,I33&lt;=$C$7),IF(""=IFERROR(INDEX(INDIRECT("Data!C"&amp;$K$4,FALSE),MATCH(I33,Data!$A:$A,0)),$W$17),$W$16,IFERROR(INDEX(INDIRECT("Data!C"&amp;$K$4,FALSE),MATCH(I33,Data!$A:$A,0)),$W$17)),"-")</f>
        <v>97</v>
      </c>
      <c r="R33" s="7"/>
      <c r="S33" s="36">
        <f t="shared" ca="1" si="5"/>
        <v>236.14285714285714</v>
      </c>
      <c r="T33" s="18">
        <f t="shared" ca="1" si="7"/>
        <v>236.14285714285714</v>
      </c>
    </row>
    <row r="34" spans="1:20" ht="12" customHeight="1" x14ac:dyDescent="0.2">
      <c r="A34" s="24" t="str">
        <f t="array" ref="A34">IFERROR(IF(MATCH(8,DAY(C34:I34),0),I34,""),"")</f>
        <v/>
      </c>
      <c r="C34" s="17">
        <f t="shared" si="8"/>
        <v>41413</v>
      </c>
      <c r="D34" s="17">
        <f t="shared" ref="D34:I34" si="27">C34+1</f>
        <v>41414</v>
      </c>
      <c r="E34" s="17">
        <f t="shared" si="27"/>
        <v>41415</v>
      </c>
      <c r="F34" s="17">
        <f t="shared" si="27"/>
        <v>41416</v>
      </c>
      <c r="G34" s="17">
        <f t="shared" si="27"/>
        <v>41417</v>
      </c>
      <c r="H34" s="17">
        <f t="shared" si="27"/>
        <v>41418</v>
      </c>
      <c r="I34" s="17">
        <f t="shared" si="27"/>
        <v>41419</v>
      </c>
      <c r="K34" s="21">
        <f ca="1">IF(AND(C34&gt;=$C$6,C34&lt;=$C$7),IF(""=IFERROR(INDEX(INDIRECT("Data!C"&amp;$K$4,FALSE),MATCH(C34,Data!$A:$A,0)),$W$17),$W$16,IFERROR(INDEX(INDIRECT("Data!C"&amp;$K$4,FALSE),MATCH(C34,Data!$A:$A,0)),$W$17)),"-")</f>
        <v>48</v>
      </c>
      <c r="L34" s="21">
        <f ca="1">IF(AND(D34&gt;=$C$6,D34&lt;=$C$7),IF(""=IFERROR(INDEX(INDIRECT("Data!C"&amp;$K$4,FALSE),MATCH(D34,Data!$A:$A,0)),$W$17),$W$16,IFERROR(INDEX(INDIRECT("Data!C"&amp;$K$4,FALSE),MATCH(D34,Data!$A:$A,0)),$W$17)),"-")</f>
        <v>415</v>
      </c>
      <c r="M34" s="21">
        <f ca="1">IF(AND(E34&gt;=$C$6,E34&lt;=$C$7),IF(""=IFERROR(INDEX(INDIRECT("Data!C"&amp;$K$4,FALSE),MATCH(E34,Data!$A:$A,0)),$W$17),$W$16,IFERROR(INDEX(INDIRECT("Data!C"&amp;$K$4,FALSE),MATCH(E34,Data!$A:$A,0)),$W$17)),"-")</f>
        <v>448</v>
      </c>
      <c r="N34" s="21">
        <f ca="1">IF(AND(F34&gt;=$C$6,F34&lt;=$C$7),IF(""=IFERROR(INDEX(INDIRECT("Data!C"&amp;$K$4,FALSE),MATCH(F34,Data!$A:$A,0)),$W$17),$W$16,IFERROR(INDEX(INDIRECT("Data!C"&amp;$K$4,FALSE),MATCH(F34,Data!$A:$A,0)),$W$17)),"-")</f>
        <v>268</v>
      </c>
      <c r="O34" s="21">
        <f ca="1">IF(AND(G34&gt;=$C$6,G34&lt;=$C$7),IF(""=IFERROR(INDEX(INDIRECT("Data!C"&amp;$K$4,FALSE),MATCH(G34,Data!$A:$A,0)),$W$17),$W$16,IFERROR(INDEX(INDIRECT("Data!C"&amp;$K$4,FALSE),MATCH(G34,Data!$A:$A,0)),$W$17)),"-")</f>
        <v>307</v>
      </c>
      <c r="P34" s="21">
        <f ca="1">IF(AND(H34&gt;=$C$6,H34&lt;=$C$7),IF(""=IFERROR(INDEX(INDIRECT("Data!C"&amp;$K$4,FALSE),MATCH(H34,Data!$A:$A,0)),$W$17),$W$16,IFERROR(INDEX(INDIRECT("Data!C"&amp;$K$4,FALSE),MATCH(H34,Data!$A:$A,0)),$W$17)),"-")</f>
        <v>231</v>
      </c>
      <c r="Q34" s="21">
        <f ca="1">IF(AND(I34&gt;=$C$6,I34&lt;=$C$7),IF(""=IFERROR(INDEX(INDIRECT("Data!C"&amp;$K$4,FALSE),MATCH(I34,Data!$A:$A,0)),$W$17),$W$16,IFERROR(INDEX(INDIRECT("Data!C"&amp;$K$4,FALSE),MATCH(I34,Data!$A:$A,0)),$W$17)),"-")</f>
        <v>66</v>
      </c>
      <c r="R34" s="7"/>
      <c r="S34" s="36">
        <f t="shared" ca="1" si="5"/>
        <v>254.71428571428572</v>
      </c>
      <c r="T34" s="18">
        <f t="shared" ca="1" si="7"/>
        <v>254.71428571428572</v>
      </c>
    </row>
    <row r="35" spans="1:20" ht="12" customHeight="1" x14ac:dyDescent="0.2">
      <c r="A35" s="24" t="str">
        <f t="array" ref="A35">IFERROR(IF(MATCH(8,DAY(C35:I35),0),I35,""),"")</f>
        <v/>
      </c>
      <c r="C35" s="17">
        <f t="shared" si="8"/>
        <v>41420</v>
      </c>
      <c r="D35" s="17">
        <f t="shared" ref="D35:I35" si="28">C35+1</f>
        <v>41421</v>
      </c>
      <c r="E35" s="17">
        <f t="shared" si="28"/>
        <v>41422</v>
      </c>
      <c r="F35" s="17">
        <f t="shared" si="28"/>
        <v>41423</v>
      </c>
      <c r="G35" s="17">
        <f t="shared" si="28"/>
        <v>41424</v>
      </c>
      <c r="H35" s="17">
        <f t="shared" si="28"/>
        <v>41425</v>
      </c>
      <c r="I35" s="17">
        <f t="shared" si="28"/>
        <v>41426</v>
      </c>
      <c r="K35" s="21">
        <f ca="1">IF(AND(C35&gt;=$C$6,C35&lt;=$C$7),IF(""=IFERROR(INDEX(INDIRECT("Data!C"&amp;$K$4,FALSE),MATCH(C35,Data!$A:$A,0)),$W$17),$W$16,IFERROR(INDEX(INDIRECT("Data!C"&amp;$K$4,FALSE),MATCH(C35,Data!$A:$A,0)),$W$17)),"-")</f>
        <v>31</v>
      </c>
      <c r="L35" s="21">
        <f ca="1">IF(AND(D35&gt;=$C$6,D35&lt;=$C$7),IF(""=IFERROR(INDEX(INDIRECT("Data!C"&amp;$K$4,FALSE),MATCH(D35,Data!$A:$A,0)),$W$17),$W$16,IFERROR(INDEX(INDIRECT("Data!C"&amp;$K$4,FALSE),MATCH(D35,Data!$A:$A,0)),$W$17)),"-")</f>
        <v>392</v>
      </c>
      <c r="M35" s="21">
        <f ca="1">IF(AND(E35&gt;=$C$6,E35&lt;=$C$7),IF(""=IFERROR(INDEX(INDIRECT("Data!C"&amp;$K$4,FALSE),MATCH(E35,Data!$A:$A,0)),$W$17),$W$16,IFERROR(INDEX(INDIRECT("Data!C"&amp;$K$4,FALSE),MATCH(E35,Data!$A:$A,0)),$W$17)),"-")</f>
        <v>298</v>
      </c>
      <c r="N35" s="21">
        <f ca="1">IF(AND(F35&gt;=$C$6,F35&lt;=$C$7),IF(""=IFERROR(INDEX(INDIRECT("Data!C"&amp;$K$4,FALSE),MATCH(F35,Data!$A:$A,0)),$W$17),$W$16,IFERROR(INDEX(INDIRECT("Data!C"&amp;$K$4,FALSE),MATCH(F35,Data!$A:$A,0)),$W$17)),"-")</f>
        <v>232</v>
      </c>
      <c r="O35" s="21">
        <f ca="1">IF(AND(G35&gt;=$C$6,G35&lt;=$C$7),IF(""=IFERROR(INDEX(INDIRECT("Data!C"&amp;$K$4,FALSE),MATCH(G35,Data!$A:$A,0)),$W$17),$W$16,IFERROR(INDEX(INDIRECT("Data!C"&amp;$K$4,FALSE),MATCH(G35,Data!$A:$A,0)),$W$17)),"-")</f>
        <v>295</v>
      </c>
      <c r="P35" s="21">
        <f ca="1">IF(AND(H35&gt;=$C$6,H35&lt;=$C$7),IF(""=IFERROR(INDEX(INDIRECT("Data!C"&amp;$K$4,FALSE),MATCH(H35,Data!$A:$A,0)),$W$17),$W$16,IFERROR(INDEX(INDIRECT("Data!C"&amp;$K$4,FALSE),MATCH(H35,Data!$A:$A,0)),$W$17)),"-")</f>
        <v>265</v>
      </c>
      <c r="Q35" s="21">
        <f ca="1">IF(AND(I35&gt;=$C$6,I35&lt;=$C$7),IF(""=IFERROR(INDEX(INDIRECT("Data!C"&amp;$K$4,FALSE),MATCH(I35,Data!$A:$A,0)),$W$17),$W$16,IFERROR(INDEX(INDIRECT("Data!C"&amp;$K$4,FALSE),MATCH(I35,Data!$A:$A,0)),$W$17)),"-")</f>
        <v>66</v>
      </c>
      <c r="R35" s="7"/>
      <c r="S35" s="36">
        <f t="shared" ca="1" si="5"/>
        <v>225.57142857142858</v>
      </c>
      <c r="T35" s="18">
        <f t="shared" ca="1" si="7"/>
        <v>225.57142857142858</v>
      </c>
    </row>
    <row r="36" spans="1:20" ht="12" customHeight="1" x14ac:dyDescent="0.2">
      <c r="A36" s="24">
        <f t="array" ref="A36">IFERROR(IF(MATCH(8,DAY(C36:I36),0),I36,""),"")</f>
        <v>41433</v>
      </c>
      <c r="C36" s="17">
        <f t="shared" si="8"/>
        <v>41427</v>
      </c>
      <c r="D36" s="17">
        <f t="shared" ref="D36:I36" si="29">C36+1</f>
        <v>41428</v>
      </c>
      <c r="E36" s="17">
        <f t="shared" si="29"/>
        <v>41429</v>
      </c>
      <c r="F36" s="17">
        <f t="shared" si="29"/>
        <v>41430</v>
      </c>
      <c r="G36" s="17">
        <f t="shared" si="29"/>
        <v>41431</v>
      </c>
      <c r="H36" s="17">
        <f t="shared" si="29"/>
        <v>41432</v>
      </c>
      <c r="I36" s="17">
        <f t="shared" si="29"/>
        <v>41433</v>
      </c>
      <c r="K36" s="21">
        <f ca="1">IF(AND(C36&gt;=$C$6,C36&lt;=$C$7),IF(""=IFERROR(INDEX(INDIRECT("Data!C"&amp;$K$4,FALSE),MATCH(C36,Data!$A:$A,0)),$W$17),$W$16,IFERROR(INDEX(INDIRECT("Data!C"&amp;$K$4,FALSE),MATCH(C36,Data!$A:$A,0)),$W$17)),"-")</f>
        <v>28</v>
      </c>
      <c r="L36" s="21">
        <f ca="1">IF(AND(D36&gt;=$C$6,D36&lt;=$C$7),IF(""=IFERROR(INDEX(INDIRECT("Data!C"&amp;$K$4,FALSE),MATCH(D36,Data!$A:$A,0)),$W$17),$W$16,IFERROR(INDEX(INDIRECT("Data!C"&amp;$K$4,FALSE),MATCH(D36,Data!$A:$A,0)),$W$17)),"-")</f>
        <v>310</v>
      </c>
      <c r="M36" s="21">
        <f ca="1">IF(AND(E36&gt;=$C$6,E36&lt;=$C$7),IF(""=IFERROR(INDEX(INDIRECT("Data!C"&amp;$K$4,FALSE),MATCH(E36,Data!$A:$A,0)),$W$17),$W$16,IFERROR(INDEX(INDIRECT("Data!C"&amp;$K$4,FALSE),MATCH(E36,Data!$A:$A,0)),$W$17)),"-")</f>
        <v>308</v>
      </c>
      <c r="N36" s="21">
        <f ca="1">IF(AND(F36&gt;=$C$6,F36&lt;=$C$7),IF(""=IFERROR(INDEX(INDIRECT("Data!C"&amp;$K$4,FALSE),MATCH(F36,Data!$A:$A,0)),$W$17),$W$16,IFERROR(INDEX(INDIRECT("Data!C"&amp;$K$4,FALSE),MATCH(F36,Data!$A:$A,0)),$W$17)),"-")</f>
        <v>285</v>
      </c>
      <c r="O36" s="21">
        <f ca="1">IF(AND(G36&gt;=$C$6,G36&lt;=$C$7),IF(""=IFERROR(INDEX(INDIRECT("Data!C"&amp;$K$4,FALSE),MATCH(G36,Data!$A:$A,0)),$W$17),$W$16,IFERROR(INDEX(INDIRECT("Data!C"&amp;$K$4,FALSE),MATCH(G36,Data!$A:$A,0)),$W$17)),"-")</f>
        <v>188</v>
      </c>
      <c r="P36" s="21">
        <f ca="1">IF(AND(H36&gt;=$C$6,H36&lt;=$C$7),IF(""=IFERROR(INDEX(INDIRECT("Data!C"&amp;$K$4,FALSE),MATCH(H36,Data!$A:$A,0)),$W$17),$W$16,IFERROR(INDEX(INDIRECT("Data!C"&amp;$K$4,FALSE),MATCH(H36,Data!$A:$A,0)),$W$17)),"-")</f>
        <v>245</v>
      </c>
      <c r="Q36" s="21">
        <f ca="1">IF(AND(I36&gt;=$C$6,I36&lt;=$C$7),IF(""=IFERROR(INDEX(INDIRECT("Data!C"&amp;$K$4,FALSE),MATCH(I36,Data!$A:$A,0)),$W$17),$W$16,IFERROR(INDEX(INDIRECT("Data!C"&amp;$K$4,FALSE),MATCH(I36,Data!$A:$A,0)),$W$17)),"-")</f>
        <v>69</v>
      </c>
      <c r="R36" s="7"/>
      <c r="S36" s="36">
        <f t="shared" ca="1" si="5"/>
        <v>204.71428571428572</v>
      </c>
      <c r="T36" s="18">
        <f t="shared" ca="1" si="7"/>
        <v>204.71428571428572</v>
      </c>
    </row>
    <row r="37" spans="1:20" ht="12" customHeight="1" x14ac:dyDescent="0.2">
      <c r="A37" s="24" t="str">
        <f t="array" ref="A37">IFERROR(IF(MATCH(8,DAY(C37:I37),0),I37,""),"")</f>
        <v/>
      </c>
      <c r="C37" s="17">
        <f t="shared" si="8"/>
        <v>41434</v>
      </c>
      <c r="D37" s="17">
        <f t="shared" ref="D37:I37" si="30">C37+1</f>
        <v>41435</v>
      </c>
      <c r="E37" s="17">
        <f t="shared" si="30"/>
        <v>41436</v>
      </c>
      <c r="F37" s="17">
        <f t="shared" si="30"/>
        <v>41437</v>
      </c>
      <c r="G37" s="17">
        <f t="shared" si="30"/>
        <v>41438</v>
      </c>
      <c r="H37" s="17">
        <f t="shared" si="30"/>
        <v>41439</v>
      </c>
      <c r="I37" s="17">
        <f t="shared" si="30"/>
        <v>41440</v>
      </c>
      <c r="K37" s="21">
        <f ca="1">IF(AND(C37&gt;=$C$6,C37&lt;=$C$7),IF(""=IFERROR(INDEX(INDIRECT("Data!C"&amp;$K$4,FALSE),MATCH(C37,Data!$A:$A,0)),$W$17),$W$16,IFERROR(INDEX(INDIRECT("Data!C"&amp;$K$4,FALSE),MATCH(C37,Data!$A:$A,0)),$W$17)),"-")</f>
        <v>41</v>
      </c>
      <c r="L37" s="21">
        <f ca="1">IF(AND(D37&gt;=$C$6,D37&lt;=$C$7),IF(""=IFERROR(INDEX(INDIRECT("Data!C"&amp;$K$4,FALSE),MATCH(D37,Data!$A:$A,0)),$W$17),$W$16,IFERROR(INDEX(INDIRECT("Data!C"&amp;$K$4,FALSE),MATCH(D37,Data!$A:$A,0)),$W$17)),"-")</f>
        <v>227</v>
      </c>
      <c r="M37" s="21">
        <f ca="1">IF(AND(E37&gt;=$C$6,E37&lt;=$C$7),IF(""=IFERROR(INDEX(INDIRECT("Data!C"&amp;$K$4,FALSE),MATCH(E37,Data!$A:$A,0)),$W$17),$W$16,IFERROR(INDEX(INDIRECT("Data!C"&amp;$K$4,FALSE),MATCH(E37,Data!$A:$A,0)),$W$17)),"-")</f>
        <v>216</v>
      </c>
      <c r="N37" s="21">
        <f ca="1">IF(AND(F37&gt;=$C$6,F37&lt;=$C$7),IF(""=IFERROR(INDEX(INDIRECT("Data!C"&amp;$K$4,FALSE),MATCH(F37,Data!$A:$A,0)),$W$17),$W$16,IFERROR(INDEX(INDIRECT("Data!C"&amp;$K$4,FALSE),MATCH(F37,Data!$A:$A,0)),$W$17)),"-")</f>
        <v>171</v>
      </c>
      <c r="O37" s="21">
        <f ca="1">IF(AND(G37&gt;=$C$6,G37&lt;=$C$7),IF(""=IFERROR(INDEX(INDIRECT("Data!C"&amp;$K$4,FALSE),MATCH(G37,Data!$A:$A,0)),$W$17),$W$16,IFERROR(INDEX(INDIRECT("Data!C"&amp;$K$4,FALSE),MATCH(G37,Data!$A:$A,0)),$W$17)),"-")</f>
        <v>153</v>
      </c>
      <c r="P37" s="21">
        <f ca="1">IF(AND(H37&gt;=$C$6,H37&lt;=$C$7),IF(""=IFERROR(INDEX(INDIRECT("Data!C"&amp;$K$4,FALSE),MATCH(H37,Data!$A:$A,0)),$W$17),$W$16,IFERROR(INDEX(INDIRECT("Data!C"&amp;$K$4,FALSE),MATCH(H37,Data!$A:$A,0)),$W$17)),"-")</f>
        <v>236</v>
      </c>
      <c r="Q37" s="21">
        <f ca="1">IF(AND(I37&gt;=$C$6,I37&lt;=$C$7),IF(""=IFERROR(INDEX(INDIRECT("Data!C"&amp;$K$4,FALSE),MATCH(I37,Data!$A:$A,0)),$W$17),$W$16,IFERROR(INDEX(INDIRECT("Data!C"&amp;$K$4,FALSE),MATCH(I37,Data!$A:$A,0)),$W$17)),"-")</f>
        <v>59</v>
      </c>
      <c r="R37" s="7"/>
      <c r="S37" s="36">
        <f t="shared" ca="1" si="5"/>
        <v>157.57142857142858</v>
      </c>
      <c r="T37" s="18">
        <f t="shared" ca="1" si="7"/>
        <v>157.57142857142858</v>
      </c>
    </row>
    <row r="38" spans="1:20" ht="12" customHeight="1" x14ac:dyDescent="0.2">
      <c r="A38" s="24" t="str">
        <f t="array" ref="A38">IFERROR(IF(MATCH(8,DAY(C38:I38),0),I38,""),"")</f>
        <v/>
      </c>
      <c r="C38" s="17">
        <f t="shared" si="8"/>
        <v>41441</v>
      </c>
      <c r="D38" s="17">
        <f t="shared" ref="D38:I38" si="31">C38+1</f>
        <v>41442</v>
      </c>
      <c r="E38" s="17">
        <f t="shared" si="31"/>
        <v>41443</v>
      </c>
      <c r="F38" s="17">
        <f t="shared" si="31"/>
        <v>41444</v>
      </c>
      <c r="G38" s="17">
        <f t="shared" si="31"/>
        <v>41445</v>
      </c>
      <c r="H38" s="17">
        <f t="shared" si="31"/>
        <v>41446</v>
      </c>
      <c r="I38" s="17">
        <f t="shared" si="31"/>
        <v>41447</v>
      </c>
      <c r="K38" s="21">
        <f ca="1">IF(AND(C38&gt;=$C$6,C38&lt;=$C$7),IF(""=IFERROR(INDEX(INDIRECT("Data!C"&amp;$K$4,FALSE),MATCH(C38,Data!$A:$A,0)),$W$17),$W$16,IFERROR(INDEX(INDIRECT("Data!C"&amp;$K$4,FALSE),MATCH(C38,Data!$A:$A,0)),$W$17)),"-")</f>
        <v>32</v>
      </c>
      <c r="L38" s="21">
        <f ca="1">IF(AND(D38&gt;=$C$6,D38&lt;=$C$7),IF(""=IFERROR(INDEX(INDIRECT("Data!C"&amp;$K$4,FALSE),MATCH(D38,Data!$A:$A,0)),$W$17),$W$16,IFERROR(INDEX(INDIRECT("Data!C"&amp;$K$4,FALSE),MATCH(D38,Data!$A:$A,0)),$W$17)),"-")</f>
        <v>378</v>
      </c>
      <c r="M38" s="21">
        <f ca="1">IF(AND(E38&gt;=$C$6,E38&lt;=$C$7),IF(""=IFERROR(INDEX(INDIRECT("Data!C"&amp;$K$4,FALSE),MATCH(E38,Data!$A:$A,0)),$W$17),$W$16,IFERROR(INDEX(INDIRECT("Data!C"&amp;$K$4,FALSE),MATCH(E38,Data!$A:$A,0)),$W$17)),"-")</f>
        <v>246</v>
      </c>
      <c r="N38" s="21">
        <f ca="1">IF(AND(F38&gt;=$C$6,F38&lt;=$C$7),IF(""=IFERROR(INDEX(INDIRECT("Data!C"&amp;$K$4,FALSE),MATCH(F38,Data!$A:$A,0)),$W$17),$W$16,IFERROR(INDEX(INDIRECT("Data!C"&amp;$K$4,FALSE),MATCH(F38,Data!$A:$A,0)),$W$17)),"-")</f>
        <v>171</v>
      </c>
      <c r="O38" s="21">
        <f ca="1">IF(AND(G38&gt;=$C$6,G38&lt;=$C$7),IF(""=IFERROR(INDEX(INDIRECT("Data!C"&amp;$K$4,FALSE),MATCH(G38,Data!$A:$A,0)),$W$17),$W$16,IFERROR(INDEX(INDIRECT("Data!C"&amp;$K$4,FALSE),MATCH(G38,Data!$A:$A,0)),$W$17)),"-")</f>
        <v>151</v>
      </c>
      <c r="P38" s="21">
        <f ca="1">IF(AND(H38&gt;=$C$6,H38&lt;=$C$7),IF(""=IFERROR(INDEX(INDIRECT("Data!C"&amp;$K$4,FALSE),MATCH(H38,Data!$A:$A,0)),$W$17),$W$16,IFERROR(INDEX(INDIRECT("Data!C"&amp;$K$4,FALSE),MATCH(H38,Data!$A:$A,0)),$W$17)),"-")</f>
        <v>108</v>
      </c>
      <c r="Q38" s="21">
        <f ca="1">IF(AND(I38&gt;=$C$6,I38&lt;=$C$7),IF(""=IFERROR(INDEX(INDIRECT("Data!C"&amp;$K$4,FALSE),MATCH(I38,Data!$A:$A,0)),$W$17),$W$16,IFERROR(INDEX(INDIRECT("Data!C"&amp;$K$4,FALSE),MATCH(I38,Data!$A:$A,0)),$W$17)),"-")</f>
        <v>39</v>
      </c>
      <c r="R38" s="7"/>
      <c r="S38" s="36">
        <f t="shared" ca="1" si="5"/>
        <v>160.71428571428572</v>
      </c>
      <c r="T38" s="18">
        <f t="shared" ca="1" si="7"/>
        <v>160.71428571428572</v>
      </c>
    </row>
    <row r="39" spans="1:20" ht="12" customHeight="1" x14ac:dyDescent="0.2">
      <c r="A39" s="24" t="str">
        <f t="array" ref="A39">IFERROR(IF(MATCH(8,DAY(C39:I39),0),I39,""),"")</f>
        <v/>
      </c>
      <c r="C39" s="17">
        <f t="shared" si="8"/>
        <v>41448</v>
      </c>
      <c r="D39" s="17">
        <f t="shared" ref="D39:I39" si="32">C39+1</f>
        <v>41449</v>
      </c>
      <c r="E39" s="17">
        <f t="shared" si="32"/>
        <v>41450</v>
      </c>
      <c r="F39" s="17">
        <f t="shared" si="32"/>
        <v>41451</v>
      </c>
      <c r="G39" s="17">
        <f t="shared" si="32"/>
        <v>41452</v>
      </c>
      <c r="H39" s="17">
        <f t="shared" si="32"/>
        <v>41453</v>
      </c>
      <c r="I39" s="17">
        <f t="shared" si="32"/>
        <v>41454</v>
      </c>
      <c r="K39" s="21">
        <f ca="1">IF(AND(C39&gt;=$C$6,C39&lt;=$C$7),IF(""=IFERROR(INDEX(INDIRECT("Data!C"&amp;$K$4,FALSE),MATCH(C39,Data!$A:$A,0)),$W$17),$W$16,IFERROR(INDEX(INDIRECT("Data!C"&amp;$K$4,FALSE),MATCH(C39,Data!$A:$A,0)),$W$17)),"-")</f>
        <v>33</v>
      </c>
      <c r="L39" s="21">
        <f ca="1">IF(AND(D39&gt;=$C$6,D39&lt;=$C$7),IF(""=IFERROR(INDEX(INDIRECT("Data!C"&amp;$K$4,FALSE),MATCH(D39,Data!$A:$A,0)),$W$17),$W$16,IFERROR(INDEX(INDIRECT("Data!C"&amp;$K$4,FALSE),MATCH(D39,Data!$A:$A,0)),$W$17)),"-")</f>
        <v>275</v>
      </c>
      <c r="M39" s="21">
        <f ca="1">IF(AND(E39&gt;=$C$6,E39&lt;=$C$7),IF(""=IFERROR(INDEX(INDIRECT("Data!C"&amp;$K$4,FALSE),MATCH(E39,Data!$A:$A,0)),$W$17),$W$16,IFERROR(INDEX(INDIRECT("Data!C"&amp;$K$4,FALSE),MATCH(E39,Data!$A:$A,0)),$W$17)),"-")</f>
        <v>203</v>
      </c>
      <c r="N39" s="21">
        <f ca="1">IF(AND(F39&gt;=$C$6,F39&lt;=$C$7),IF(""=IFERROR(INDEX(INDIRECT("Data!C"&amp;$K$4,FALSE),MATCH(F39,Data!$A:$A,0)),$W$17),$W$16,IFERROR(INDEX(INDIRECT("Data!C"&amp;$K$4,FALSE),MATCH(F39,Data!$A:$A,0)),$W$17)),"-")</f>
        <v>154</v>
      </c>
      <c r="O39" s="21">
        <f ca="1">IF(AND(G39&gt;=$C$6,G39&lt;=$C$7),IF(""=IFERROR(INDEX(INDIRECT("Data!C"&amp;$K$4,FALSE),MATCH(G39,Data!$A:$A,0)),$W$17),$W$16,IFERROR(INDEX(INDIRECT("Data!C"&amp;$K$4,FALSE),MATCH(G39,Data!$A:$A,0)),$W$17)),"-")</f>
        <v>219</v>
      </c>
      <c r="P39" s="21">
        <f ca="1">IF(AND(H39&gt;=$C$6,H39&lt;=$C$7),IF(""=IFERROR(INDEX(INDIRECT("Data!C"&amp;$K$4,FALSE),MATCH(H39,Data!$A:$A,0)),$W$17),$W$16,IFERROR(INDEX(INDIRECT("Data!C"&amp;$K$4,FALSE),MATCH(H39,Data!$A:$A,0)),$W$17)),"-")</f>
        <v>148</v>
      </c>
      <c r="Q39" s="21">
        <f ca="1">IF(AND(I39&gt;=$C$6,I39&lt;=$C$7),IF(""=IFERROR(INDEX(INDIRECT("Data!C"&amp;$K$4,FALSE),MATCH(I39,Data!$A:$A,0)),$W$17),$W$16,IFERROR(INDEX(INDIRECT("Data!C"&amp;$K$4,FALSE),MATCH(I39,Data!$A:$A,0)),$W$17)),"-")</f>
        <v>38</v>
      </c>
      <c r="R39" s="7"/>
      <c r="S39" s="36">
        <f t="shared" ca="1" si="5"/>
        <v>152.85714285714286</v>
      </c>
      <c r="T39" s="18">
        <f t="shared" ca="1" si="7"/>
        <v>152.85714285714286</v>
      </c>
    </row>
    <row r="40" spans="1:20" ht="12" customHeight="1" x14ac:dyDescent="0.2">
      <c r="A40" s="24" t="str">
        <f t="array" ref="A40">IFERROR(IF(MATCH(8,DAY(C40:I40),0),I40,""),"")</f>
        <v/>
      </c>
      <c r="C40" s="17">
        <f t="shared" si="8"/>
        <v>41455</v>
      </c>
      <c r="D40" s="17">
        <f t="shared" ref="D40:I40" si="33">C40+1</f>
        <v>41456</v>
      </c>
      <c r="E40" s="17">
        <f t="shared" si="33"/>
        <v>41457</v>
      </c>
      <c r="F40" s="17">
        <f t="shared" si="33"/>
        <v>41458</v>
      </c>
      <c r="G40" s="17">
        <f t="shared" si="33"/>
        <v>41459</v>
      </c>
      <c r="H40" s="17">
        <f t="shared" si="33"/>
        <v>41460</v>
      </c>
      <c r="I40" s="17">
        <f t="shared" si="33"/>
        <v>41461</v>
      </c>
      <c r="K40" s="21">
        <f ca="1">IF(AND(C40&gt;=$C$6,C40&lt;=$C$7),IF(""=IFERROR(INDEX(INDIRECT("Data!C"&amp;$K$4,FALSE),MATCH(C40,Data!$A:$A,0)),$W$17),$W$16,IFERROR(INDEX(INDIRECT("Data!C"&amp;$K$4,FALSE),MATCH(C40,Data!$A:$A,0)),$W$17)),"-")</f>
        <v>15</v>
      </c>
      <c r="L40" s="21">
        <f ca="1">IF(AND(D40&gt;=$C$6,D40&lt;=$C$7),IF(""=IFERROR(INDEX(INDIRECT("Data!C"&amp;$K$4,FALSE),MATCH(D40,Data!$A:$A,0)),$W$17),$W$16,IFERROR(INDEX(INDIRECT("Data!C"&amp;$K$4,FALSE),MATCH(D40,Data!$A:$A,0)),$W$17)),"-")</f>
        <v>197</v>
      </c>
      <c r="M40" s="21">
        <f ca="1">IF(AND(E40&gt;=$C$6,E40&lt;=$C$7),IF(""=IFERROR(INDEX(INDIRECT("Data!C"&amp;$K$4,FALSE),MATCH(E40,Data!$A:$A,0)),$W$17),$W$16,IFERROR(INDEX(INDIRECT("Data!C"&amp;$K$4,FALSE),MATCH(E40,Data!$A:$A,0)),$W$17)),"-")</f>
        <v>251</v>
      </c>
      <c r="N40" s="21">
        <f ca="1">IF(AND(F40&gt;=$C$6,F40&lt;=$C$7),IF(""=IFERROR(INDEX(INDIRECT("Data!C"&amp;$K$4,FALSE),MATCH(F40,Data!$A:$A,0)),$W$17),$W$16,IFERROR(INDEX(INDIRECT("Data!C"&amp;$K$4,FALSE),MATCH(F40,Data!$A:$A,0)),$W$17)),"-")</f>
        <v>176</v>
      </c>
      <c r="O40" s="21">
        <f ca="1">IF(AND(G40&gt;=$C$6,G40&lt;=$C$7),IF(""=IFERROR(INDEX(INDIRECT("Data!C"&amp;$K$4,FALSE),MATCH(G40,Data!$A:$A,0)),$W$17),$W$16,IFERROR(INDEX(INDIRECT("Data!C"&amp;$K$4,FALSE),MATCH(G40,Data!$A:$A,0)),$W$17)),"-")</f>
        <v>152</v>
      </c>
      <c r="P40" s="21">
        <f ca="1">IF(AND(H40&gt;=$C$6,H40&lt;=$C$7),IF(""=IFERROR(INDEX(INDIRECT("Data!C"&amp;$K$4,FALSE),MATCH(H40,Data!$A:$A,0)),$W$17),$W$16,IFERROR(INDEX(INDIRECT("Data!C"&amp;$K$4,FALSE),MATCH(H40,Data!$A:$A,0)),$W$17)),"-")</f>
        <v>140</v>
      </c>
      <c r="Q40" s="21">
        <f ca="1">IF(AND(I40&gt;=$C$6,I40&lt;=$C$7),IF(""=IFERROR(INDEX(INDIRECT("Data!C"&amp;$K$4,FALSE),MATCH(I40,Data!$A:$A,0)),$W$17),$W$16,IFERROR(INDEX(INDIRECT("Data!C"&amp;$K$4,FALSE),MATCH(I40,Data!$A:$A,0)),$W$17)),"-")</f>
        <v>30</v>
      </c>
      <c r="R40" s="7"/>
      <c r="S40" s="36">
        <f t="shared" ca="1" si="5"/>
        <v>137.28571428571428</v>
      </c>
      <c r="T40" s="18">
        <f t="shared" ca="1" si="7"/>
        <v>137.28571428571428</v>
      </c>
    </row>
    <row r="41" spans="1:20" ht="12" customHeight="1" x14ac:dyDescent="0.2">
      <c r="A41" s="24">
        <f t="array" ref="A41">IFERROR(IF(MATCH(8,DAY(C41:I41),0),I41,""),"")</f>
        <v>41468</v>
      </c>
      <c r="C41" s="17">
        <f t="shared" si="8"/>
        <v>41462</v>
      </c>
      <c r="D41" s="17">
        <f t="shared" ref="D41:I41" si="34">C41+1</f>
        <v>41463</v>
      </c>
      <c r="E41" s="17">
        <f t="shared" si="34"/>
        <v>41464</v>
      </c>
      <c r="F41" s="17">
        <f t="shared" si="34"/>
        <v>41465</v>
      </c>
      <c r="G41" s="17">
        <f t="shared" si="34"/>
        <v>41466</v>
      </c>
      <c r="H41" s="17">
        <f t="shared" si="34"/>
        <v>41467</v>
      </c>
      <c r="I41" s="17">
        <f t="shared" si="34"/>
        <v>41468</v>
      </c>
      <c r="K41" s="21">
        <f ca="1">IF(AND(C41&gt;=$C$6,C41&lt;=$C$7),IF(""=IFERROR(INDEX(INDIRECT("Data!C"&amp;$K$4,FALSE),MATCH(C41,Data!$A:$A,0)),$W$17),$W$16,IFERROR(INDEX(INDIRECT("Data!C"&amp;$K$4,FALSE),MATCH(C41,Data!$A:$A,0)),$W$17)),"-")</f>
        <v>20</v>
      </c>
      <c r="L41" s="21">
        <f ca="1">IF(AND(D41&gt;=$C$6,D41&lt;=$C$7),IF(""=IFERROR(INDEX(INDIRECT("Data!C"&amp;$K$4,FALSE),MATCH(D41,Data!$A:$A,0)),$W$17),$W$16,IFERROR(INDEX(INDIRECT("Data!C"&amp;$K$4,FALSE),MATCH(D41,Data!$A:$A,0)),$W$17)),"-")</f>
        <v>277</v>
      </c>
      <c r="M41" s="21">
        <f ca="1">IF(AND(E41&gt;=$C$6,E41&lt;=$C$7),IF(""=IFERROR(INDEX(INDIRECT("Data!C"&amp;$K$4,FALSE),MATCH(E41,Data!$A:$A,0)),$W$17),$W$16,IFERROR(INDEX(INDIRECT("Data!C"&amp;$K$4,FALSE),MATCH(E41,Data!$A:$A,0)),$W$17)),"-")</f>
        <v>186</v>
      </c>
      <c r="N41" s="21">
        <f ca="1">IF(AND(F41&gt;=$C$6,F41&lt;=$C$7),IF(""=IFERROR(INDEX(INDIRECT("Data!C"&amp;$K$4,FALSE),MATCH(F41,Data!$A:$A,0)),$W$17),$W$16,IFERROR(INDEX(INDIRECT("Data!C"&amp;$K$4,FALSE),MATCH(F41,Data!$A:$A,0)),$W$17)),"-")</f>
        <v>105</v>
      </c>
      <c r="O41" s="21">
        <f ca="1">IF(AND(G41&gt;=$C$6,G41&lt;=$C$7),IF(""=IFERROR(INDEX(INDIRECT("Data!C"&amp;$K$4,FALSE),MATCH(G41,Data!$A:$A,0)),$W$17),$W$16,IFERROR(INDEX(INDIRECT("Data!C"&amp;$K$4,FALSE),MATCH(G41,Data!$A:$A,0)),$W$17)),"-")</f>
        <v>73</v>
      </c>
      <c r="P41" s="21">
        <f ca="1">IF(AND(H41&gt;=$C$6,H41&lt;=$C$7),IF(""=IFERROR(INDEX(INDIRECT("Data!C"&amp;$K$4,FALSE),MATCH(H41,Data!$A:$A,0)),$W$17),$W$16,IFERROR(INDEX(INDIRECT("Data!C"&amp;$K$4,FALSE),MATCH(H41,Data!$A:$A,0)),$W$17)),"-")</f>
        <v>90</v>
      </c>
      <c r="Q41" s="21">
        <f ca="1">IF(AND(I41&gt;=$C$6,I41&lt;=$C$7),IF(""=IFERROR(INDEX(INDIRECT("Data!C"&amp;$K$4,FALSE),MATCH(I41,Data!$A:$A,0)),$W$17),$W$16,IFERROR(INDEX(INDIRECT("Data!C"&amp;$K$4,FALSE),MATCH(I41,Data!$A:$A,0)),$W$17)),"-")</f>
        <v>46</v>
      </c>
      <c r="R41" s="7"/>
      <c r="S41" s="36">
        <f t="shared" ca="1" si="5"/>
        <v>113.85714285714286</v>
      </c>
      <c r="T41" s="18">
        <f t="shared" ca="1" si="7"/>
        <v>113.85714285714286</v>
      </c>
    </row>
    <row r="42" spans="1:20" ht="12" customHeight="1" x14ac:dyDescent="0.2">
      <c r="A42" s="24" t="str">
        <f t="array" ref="A42">IFERROR(IF(MATCH(8,DAY(C42:I42),0),I42,""),"")</f>
        <v/>
      </c>
      <c r="C42" s="17">
        <f t="shared" si="8"/>
        <v>41469</v>
      </c>
      <c r="D42" s="17">
        <f t="shared" ref="D42:I42" si="35">C42+1</f>
        <v>41470</v>
      </c>
      <c r="E42" s="17">
        <f t="shared" si="35"/>
        <v>41471</v>
      </c>
      <c r="F42" s="17">
        <f t="shared" si="35"/>
        <v>41472</v>
      </c>
      <c r="G42" s="17">
        <f t="shared" si="35"/>
        <v>41473</v>
      </c>
      <c r="H42" s="17">
        <f t="shared" si="35"/>
        <v>41474</v>
      </c>
      <c r="I42" s="17">
        <f t="shared" si="35"/>
        <v>41475</v>
      </c>
      <c r="K42" s="21">
        <f ca="1">IF(AND(C42&gt;=$C$6,C42&lt;=$C$7),IF(""=IFERROR(INDEX(INDIRECT("Data!C"&amp;$K$4,FALSE),MATCH(C42,Data!$A:$A,0)),$W$17),$W$16,IFERROR(INDEX(INDIRECT("Data!C"&amp;$K$4,FALSE),MATCH(C42,Data!$A:$A,0)),$W$17)),"-")</f>
        <v>11</v>
      </c>
      <c r="L42" s="21">
        <f ca="1">IF(AND(D42&gt;=$C$6,D42&lt;=$C$7),IF(""=IFERROR(INDEX(INDIRECT("Data!C"&amp;$K$4,FALSE),MATCH(D42,Data!$A:$A,0)),$W$17),$W$16,IFERROR(INDEX(INDIRECT("Data!C"&amp;$K$4,FALSE),MATCH(D42,Data!$A:$A,0)),$W$17)),"-")</f>
        <v>193</v>
      </c>
      <c r="M42" s="21">
        <f ca="1">IF(AND(E42&gt;=$C$6,E42&lt;=$C$7),IF(""=IFERROR(INDEX(INDIRECT("Data!C"&amp;$K$4,FALSE),MATCH(E42,Data!$A:$A,0)),$W$17),$W$16,IFERROR(INDEX(INDIRECT("Data!C"&amp;$K$4,FALSE),MATCH(E42,Data!$A:$A,0)),$W$17)),"-")</f>
        <v>208</v>
      </c>
      <c r="N42" s="21">
        <f ca="1">IF(AND(F42&gt;=$C$6,F42&lt;=$C$7),IF(""=IFERROR(INDEX(INDIRECT("Data!C"&amp;$K$4,FALSE),MATCH(F42,Data!$A:$A,0)),$W$17),$W$16,IFERROR(INDEX(INDIRECT("Data!C"&amp;$K$4,FALSE),MATCH(F42,Data!$A:$A,0)),$W$17)),"-")</f>
        <v>240</v>
      </c>
      <c r="O42" s="21">
        <f ca="1">IF(AND(G42&gt;=$C$6,G42&lt;=$C$7),IF(""=IFERROR(INDEX(INDIRECT("Data!C"&amp;$K$4,FALSE),MATCH(G42,Data!$A:$A,0)),$W$17),$W$16,IFERROR(INDEX(INDIRECT("Data!C"&amp;$K$4,FALSE),MATCH(G42,Data!$A:$A,0)),$W$17)),"-")</f>
        <v>136</v>
      </c>
      <c r="P42" s="21">
        <f ca="1">IF(AND(H42&gt;=$C$6,H42&lt;=$C$7),IF(""=IFERROR(INDEX(INDIRECT("Data!C"&amp;$K$4,FALSE),MATCH(H42,Data!$A:$A,0)),$W$17),$W$16,IFERROR(INDEX(INDIRECT("Data!C"&amp;$K$4,FALSE),MATCH(H42,Data!$A:$A,0)),$W$17)),"-")</f>
        <v>91</v>
      </c>
      <c r="Q42" s="21">
        <f ca="1">IF(AND(I42&gt;=$C$6,I42&lt;=$C$7),IF(""=IFERROR(INDEX(INDIRECT("Data!C"&amp;$K$4,FALSE),MATCH(I42,Data!$A:$A,0)),$W$17),$W$16,IFERROR(INDEX(INDIRECT("Data!C"&amp;$K$4,FALSE),MATCH(I42,Data!$A:$A,0)),$W$17)),"-")</f>
        <v>52</v>
      </c>
      <c r="R42" s="7"/>
      <c r="S42" s="36">
        <f t="shared" ca="1" si="5"/>
        <v>133</v>
      </c>
      <c r="T42" s="18">
        <f t="shared" ca="1" si="7"/>
        <v>133</v>
      </c>
    </row>
    <row r="43" spans="1:20" ht="12" customHeight="1" x14ac:dyDescent="0.2">
      <c r="A43" s="24" t="str">
        <f t="array" ref="A43">IFERROR(IF(MATCH(8,DAY(C43:I43),0),I43,""),"")</f>
        <v/>
      </c>
      <c r="C43" s="17">
        <f t="shared" si="8"/>
        <v>41476</v>
      </c>
      <c r="D43" s="17">
        <f t="shared" ref="D43:I43" si="36">C43+1</f>
        <v>41477</v>
      </c>
      <c r="E43" s="17">
        <f t="shared" si="36"/>
        <v>41478</v>
      </c>
      <c r="F43" s="17">
        <f t="shared" si="36"/>
        <v>41479</v>
      </c>
      <c r="G43" s="17">
        <f t="shared" si="36"/>
        <v>41480</v>
      </c>
      <c r="H43" s="17">
        <f t="shared" si="36"/>
        <v>41481</v>
      </c>
      <c r="I43" s="17">
        <f t="shared" si="36"/>
        <v>41482</v>
      </c>
      <c r="K43" s="21">
        <f ca="1">IF(AND(C43&gt;=$C$6,C43&lt;=$C$7),IF(""=IFERROR(INDEX(INDIRECT("Data!C"&amp;$K$4,FALSE),MATCH(C43,Data!$A:$A,0)),$W$17),$W$16,IFERROR(INDEX(INDIRECT("Data!C"&amp;$K$4,FALSE),MATCH(C43,Data!$A:$A,0)),$W$17)),"-")</f>
        <v>28</v>
      </c>
      <c r="L43" s="21">
        <f ca="1">IF(AND(D43&gt;=$C$6,D43&lt;=$C$7),IF(""=IFERROR(INDEX(INDIRECT("Data!C"&amp;$K$4,FALSE),MATCH(D43,Data!$A:$A,0)),$W$17),$W$16,IFERROR(INDEX(INDIRECT("Data!C"&amp;$K$4,FALSE),MATCH(D43,Data!$A:$A,0)),$W$17)),"-")</f>
        <v>327</v>
      </c>
      <c r="M43" s="21">
        <f ca="1">IF(AND(E43&gt;=$C$6,E43&lt;=$C$7),IF(""=IFERROR(INDEX(INDIRECT("Data!C"&amp;$K$4,FALSE),MATCH(E43,Data!$A:$A,0)),$W$17),$W$16,IFERROR(INDEX(INDIRECT("Data!C"&amp;$K$4,FALSE),MATCH(E43,Data!$A:$A,0)),$W$17)),"-")</f>
        <v>151</v>
      </c>
      <c r="N43" s="21">
        <f ca="1">IF(AND(F43&gt;=$C$6,F43&lt;=$C$7),IF(""=IFERROR(INDEX(INDIRECT("Data!C"&amp;$K$4,FALSE),MATCH(F43,Data!$A:$A,0)),$W$17),$W$16,IFERROR(INDEX(INDIRECT("Data!C"&amp;$K$4,FALSE),MATCH(F43,Data!$A:$A,0)),$W$17)),"-")</f>
        <v>156</v>
      </c>
      <c r="O43" s="21">
        <f ca="1">IF(AND(G43&gt;=$C$6,G43&lt;=$C$7),IF(""=IFERROR(INDEX(INDIRECT("Data!C"&amp;$K$4,FALSE),MATCH(G43,Data!$A:$A,0)),$W$17),$W$16,IFERROR(INDEX(INDIRECT("Data!C"&amp;$K$4,FALSE),MATCH(G43,Data!$A:$A,0)),$W$17)),"-")</f>
        <v>255</v>
      </c>
      <c r="P43" s="21">
        <f ca="1">IF(AND(H43&gt;=$C$6,H43&lt;=$C$7),IF(""=IFERROR(INDEX(INDIRECT("Data!C"&amp;$K$4,FALSE),MATCH(H43,Data!$A:$A,0)),$W$17),$W$16,IFERROR(INDEX(INDIRECT("Data!C"&amp;$K$4,FALSE),MATCH(H43,Data!$A:$A,0)),$W$17)),"-")</f>
        <v>115</v>
      </c>
      <c r="Q43" s="21">
        <f ca="1">IF(AND(I43&gt;=$C$6,I43&lt;=$C$7),IF(""=IFERROR(INDEX(INDIRECT("Data!C"&amp;$K$4,FALSE),MATCH(I43,Data!$A:$A,0)),$W$17),$W$16,IFERROR(INDEX(INDIRECT("Data!C"&amp;$K$4,FALSE),MATCH(I43,Data!$A:$A,0)),$W$17)),"-")</f>
        <v>57</v>
      </c>
      <c r="R43" s="7"/>
      <c r="S43" s="36">
        <f t="shared" ca="1" si="5"/>
        <v>155.57142857142858</v>
      </c>
      <c r="T43" s="18">
        <f t="shared" ca="1" si="7"/>
        <v>155.57142857142858</v>
      </c>
    </row>
    <row r="44" spans="1:20" ht="12" customHeight="1" x14ac:dyDescent="0.2">
      <c r="A44" s="24" t="str">
        <f t="array" ref="A44">IFERROR(IF(MATCH(8,DAY(C44:I44),0),I44,""),"")</f>
        <v/>
      </c>
      <c r="C44" s="17">
        <f t="shared" si="8"/>
        <v>41483</v>
      </c>
      <c r="D44" s="17">
        <f t="shared" ref="D44:I44" si="37">C44+1</f>
        <v>41484</v>
      </c>
      <c r="E44" s="17">
        <f t="shared" si="37"/>
        <v>41485</v>
      </c>
      <c r="F44" s="17">
        <f t="shared" si="37"/>
        <v>41486</v>
      </c>
      <c r="G44" s="17">
        <f t="shared" si="37"/>
        <v>41487</v>
      </c>
      <c r="H44" s="17">
        <f t="shared" si="37"/>
        <v>41488</v>
      </c>
      <c r="I44" s="17">
        <f t="shared" si="37"/>
        <v>41489</v>
      </c>
      <c r="K44" s="21">
        <f ca="1">IF(AND(C44&gt;=$C$6,C44&lt;=$C$7),IF(""=IFERROR(INDEX(INDIRECT("Data!C"&amp;$K$4,FALSE),MATCH(C44,Data!$A:$A,0)),$W$17),$W$16,IFERROR(INDEX(INDIRECT("Data!C"&amp;$K$4,FALSE),MATCH(C44,Data!$A:$A,0)),$W$17)),"-")</f>
        <v>39</v>
      </c>
      <c r="L44" s="21">
        <f ca="1">IF(AND(D44&gt;=$C$6,D44&lt;=$C$7),IF(""=IFERROR(INDEX(INDIRECT("Data!C"&amp;$K$4,FALSE),MATCH(D44,Data!$A:$A,0)),$W$17),$W$16,IFERROR(INDEX(INDIRECT("Data!C"&amp;$K$4,FALSE),MATCH(D44,Data!$A:$A,0)),$W$17)),"-")</f>
        <v>233</v>
      </c>
      <c r="M44" s="21">
        <f ca="1">IF(AND(E44&gt;=$C$6,E44&lt;=$C$7),IF(""=IFERROR(INDEX(INDIRECT("Data!C"&amp;$K$4,FALSE),MATCH(E44,Data!$A:$A,0)),$W$17),$W$16,IFERROR(INDEX(INDIRECT("Data!C"&amp;$K$4,FALSE),MATCH(E44,Data!$A:$A,0)),$W$17)),"-")</f>
        <v>245</v>
      </c>
      <c r="N44" s="21">
        <f ca="1">IF(AND(F44&gt;=$C$6,F44&lt;=$C$7),IF(""=IFERROR(INDEX(INDIRECT("Data!C"&amp;$K$4,FALSE),MATCH(F44,Data!$A:$A,0)),$W$17),$W$16,IFERROR(INDEX(INDIRECT("Data!C"&amp;$K$4,FALSE),MATCH(F44,Data!$A:$A,0)),$W$17)),"-")</f>
        <v>225</v>
      </c>
      <c r="O44" s="21">
        <f ca="1">IF(AND(G44&gt;=$C$6,G44&lt;=$C$7),IF(""=IFERROR(INDEX(INDIRECT("Data!C"&amp;$K$4,FALSE),MATCH(G44,Data!$A:$A,0)),$W$17),$W$16,IFERROR(INDEX(INDIRECT("Data!C"&amp;$K$4,FALSE),MATCH(G44,Data!$A:$A,0)),$W$17)),"-")</f>
        <v>193</v>
      </c>
      <c r="P44" s="21">
        <f ca="1">IF(AND(H44&gt;=$C$6,H44&lt;=$C$7),IF(""=IFERROR(INDEX(INDIRECT("Data!C"&amp;$K$4,FALSE),MATCH(H44,Data!$A:$A,0)),$W$17),$W$16,IFERROR(INDEX(INDIRECT("Data!C"&amp;$K$4,FALSE),MATCH(H44,Data!$A:$A,0)),$W$17)),"-")</f>
        <v>239</v>
      </c>
      <c r="Q44" s="21">
        <f ca="1">IF(AND(I44&gt;=$C$6,I44&lt;=$C$7),IF(""=IFERROR(INDEX(INDIRECT("Data!C"&amp;$K$4,FALSE),MATCH(I44,Data!$A:$A,0)),$W$17),$W$16,IFERROR(INDEX(INDIRECT("Data!C"&amp;$K$4,FALSE),MATCH(I44,Data!$A:$A,0)),$W$17)),"-")</f>
        <v>56</v>
      </c>
      <c r="R44" s="7"/>
      <c r="S44" s="36">
        <f t="shared" ca="1" si="5"/>
        <v>175.71428571428572</v>
      </c>
      <c r="T44" s="18">
        <f t="shared" ca="1" si="7"/>
        <v>175.71428571428572</v>
      </c>
    </row>
    <row r="45" spans="1:20" ht="12" customHeight="1" x14ac:dyDescent="0.2">
      <c r="A45" s="24">
        <f t="array" ref="A45">IFERROR(IF(MATCH(8,DAY(C45:I45),0),I45,""),"")</f>
        <v>41496</v>
      </c>
      <c r="C45" s="17">
        <f t="shared" si="8"/>
        <v>41490</v>
      </c>
      <c r="D45" s="17">
        <f t="shared" ref="D45:I45" si="38">C45+1</f>
        <v>41491</v>
      </c>
      <c r="E45" s="17">
        <f t="shared" si="38"/>
        <v>41492</v>
      </c>
      <c r="F45" s="17">
        <f t="shared" si="38"/>
        <v>41493</v>
      </c>
      <c r="G45" s="17">
        <f t="shared" si="38"/>
        <v>41494</v>
      </c>
      <c r="H45" s="17">
        <f t="shared" si="38"/>
        <v>41495</v>
      </c>
      <c r="I45" s="17">
        <f t="shared" si="38"/>
        <v>41496</v>
      </c>
      <c r="K45" s="21">
        <f ca="1">IF(AND(C45&gt;=$C$6,C45&lt;=$C$7),IF(""=IFERROR(INDEX(INDIRECT("Data!C"&amp;$K$4,FALSE),MATCH(C45,Data!$A:$A,0)),$W$17),$W$16,IFERROR(INDEX(INDIRECT("Data!C"&amp;$K$4,FALSE),MATCH(C45,Data!$A:$A,0)),$W$17)),"-")</f>
        <v>32</v>
      </c>
      <c r="L45" s="21">
        <f ca="1">IF(AND(D45&gt;=$C$6,D45&lt;=$C$7),IF(""=IFERROR(INDEX(INDIRECT("Data!C"&amp;$K$4,FALSE),MATCH(D45,Data!$A:$A,0)),$W$17),$W$16,IFERROR(INDEX(INDIRECT("Data!C"&amp;$K$4,FALSE),MATCH(D45,Data!$A:$A,0)),$W$17)),"-")</f>
        <v>301</v>
      </c>
      <c r="M45" s="21">
        <f ca="1">IF(AND(E45&gt;=$C$6,E45&lt;=$C$7),IF(""=IFERROR(INDEX(INDIRECT("Data!C"&amp;$K$4,FALSE),MATCH(E45,Data!$A:$A,0)),$W$17),$W$16,IFERROR(INDEX(INDIRECT("Data!C"&amp;$K$4,FALSE),MATCH(E45,Data!$A:$A,0)),$W$17)),"-")</f>
        <v>304</v>
      </c>
      <c r="N45" s="21">
        <f ca="1">IF(AND(F45&gt;=$C$6,F45&lt;=$C$7),IF(""=IFERROR(INDEX(INDIRECT("Data!C"&amp;$K$4,FALSE),MATCH(F45,Data!$A:$A,0)),$W$17),$W$16,IFERROR(INDEX(INDIRECT("Data!C"&amp;$K$4,FALSE),MATCH(F45,Data!$A:$A,0)),$W$17)),"-")</f>
        <v>215</v>
      </c>
      <c r="O45" s="21">
        <f ca="1">IF(AND(G45&gt;=$C$6,G45&lt;=$C$7),IF(""=IFERROR(INDEX(INDIRECT("Data!C"&amp;$K$4,FALSE),MATCH(G45,Data!$A:$A,0)),$W$17),$W$16,IFERROR(INDEX(INDIRECT("Data!C"&amp;$K$4,FALSE),MATCH(G45,Data!$A:$A,0)),$W$17)),"-")</f>
        <v>191</v>
      </c>
      <c r="P45" s="21">
        <f ca="1">IF(AND(H45&gt;=$C$6,H45&lt;=$C$7),IF(""=IFERROR(INDEX(INDIRECT("Data!C"&amp;$K$4,FALSE),MATCH(H45,Data!$A:$A,0)),$W$17),$W$16,IFERROR(INDEX(INDIRECT("Data!C"&amp;$K$4,FALSE),MATCH(H45,Data!$A:$A,0)),$W$17)),"-")</f>
        <v>181</v>
      </c>
      <c r="Q45" s="21">
        <f ca="1">IF(AND(I45&gt;=$C$6,I45&lt;=$C$7),IF(""=IFERROR(INDEX(INDIRECT("Data!C"&amp;$K$4,FALSE),MATCH(I45,Data!$A:$A,0)),$W$17),$W$16,IFERROR(INDEX(INDIRECT("Data!C"&amp;$K$4,FALSE),MATCH(I45,Data!$A:$A,0)),$W$17)),"-")</f>
        <v>89</v>
      </c>
      <c r="R45" s="7"/>
      <c r="S45" s="36">
        <f t="shared" ca="1" si="5"/>
        <v>187.57142857142858</v>
      </c>
      <c r="T45" s="18">
        <f t="shared" ca="1" si="7"/>
        <v>187.57142857142858</v>
      </c>
    </row>
    <row r="46" spans="1:20" ht="12" customHeight="1" x14ac:dyDescent="0.2">
      <c r="A46" s="24" t="str">
        <f t="array" ref="A46">IFERROR(IF(MATCH(8,DAY(C46:I46),0),I46,""),"")</f>
        <v/>
      </c>
      <c r="C46" s="17">
        <f t="shared" si="8"/>
        <v>41497</v>
      </c>
      <c r="D46" s="17">
        <f t="shared" ref="D46:I46" si="39">C46+1</f>
        <v>41498</v>
      </c>
      <c r="E46" s="17">
        <f t="shared" si="39"/>
        <v>41499</v>
      </c>
      <c r="F46" s="17">
        <f t="shared" si="39"/>
        <v>41500</v>
      </c>
      <c r="G46" s="17">
        <f t="shared" si="39"/>
        <v>41501</v>
      </c>
      <c r="H46" s="17">
        <f t="shared" si="39"/>
        <v>41502</v>
      </c>
      <c r="I46" s="17">
        <f t="shared" si="39"/>
        <v>41503</v>
      </c>
      <c r="K46" s="21">
        <f ca="1">IF(AND(C46&gt;=$C$6,C46&lt;=$C$7),IF(""=IFERROR(INDEX(INDIRECT("Data!C"&amp;$K$4,FALSE),MATCH(C46,Data!$A:$A,0)),$W$17),$W$16,IFERROR(INDEX(INDIRECT("Data!C"&amp;$K$4,FALSE),MATCH(C46,Data!$A:$A,0)),$W$17)),"-")</f>
        <v>34</v>
      </c>
      <c r="L46" s="21">
        <f ca="1">IF(AND(D46&gt;=$C$6,D46&lt;=$C$7),IF(""=IFERROR(INDEX(INDIRECT("Data!C"&amp;$K$4,FALSE),MATCH(D46,Data!$A:$A,0)),$W$17),$W$16,IFERROR(INDEX(INDIRECT("Data!C"&amp;$K$4,FALSE),MATCH(D46,Data!$A:$A,0)),$W$17)),"-")</f>
        <v>457</v>
      </c>
      <c r="M46" s="21">
        <f ca="1">IF(AND(E46&gt;=$C$6,E46&lt;=$C$7),IF(""=IFERROR(INDEX(INDIRECT("Data!C"&amp;$K$4,FALSE),MATCH(E46,Data!$A:$A,0)),$W$17),$W$16,IFERROR(INDEX(INDIRECT("Data!C"&amp;$K$4,FALSE),MATCH(E46,Data!$A:$A,0)),$W$17)),"-")</f>
        <v>360</v>
      </c>
      <c r="N46" s="21">
        <f ca="1">IF(AND(F46&gt;=$C$6,F46&lt;=$C$7),IF(""=IFERROR(INDEX(INDIRECT("Data!C"&amp;$K$4,FALSE),MATCH(F46,Data!$A:$A,0)),$W$17),$W$16,IFERROR(INDEX(INDIRECT("Data!C"&amp;$K$4,FALSE),MATCH(F46,Data!$A:$A,0)),$W$17)),"-")</f>
        <v>295</v>
      </c>
      <c r="O46" s="21">
        <f ca="1">IF(AND(G46&gt;=$C$6,G46&lt;=$C$7),IF(""=IFERROR(INDEX(INDIRECT("Data!C"&amp;$K$4,FALSE),MATCH(G46,Data!$A:$A,0)),$W$17),$W$16,IFERROR(INDEX(INDIRECT("Data!C"&amp;$K$4,FALSE),MATCH(G46,Data!$A:$A,0)),$W$17)),"-")</f>
        <v>252</v>
      </c>
      <c r="P46" s="21">
        <f ca="1">IF(AND(H46&gt;=$C$6,H46&lt;=$C$7),IF(""=IFERROR(INDEX(INDIRECT("Data!C"&amp;$K$4,FALSE),MATCH(H46,Data!$A:$A,0)),$W$17),$W$16,IFERROR(INDEX(INDIRECT("Data!C"&amp;$K$4,FALSE),MATCH(H46,Data!$A:$A,0)),$W$17)),"-")</f>
        <v>239</v>
      </c>
      <c r="Q46" s="21">
        <f ca="1">IF(AND(I46&gt;=$C$6,I46&lt;=$C$7),IF(""=IFERROR(INDEX(INDIRECT("Data!C"&amp;$K$4,FALSE),MATCH(I46,Data!$A:$A,0)),$W$17),$W$16,IFERROR(INDEX(INDIRECT("Data!C"&amp;$K$4,FALSE),MATCH(I46,Data!$A:$A,0)),$W$17)),"-")</f>
        <v>97</v>
      </c>
      <c r="R46" s="7"/>
      <c r="S46" s="36">
        <f t="shared" ref="S46:S66" ca="1" si="40">AVERAGE(K46:Q46)</f>
        <v>247.71428571428572</v>
      </c>
      <c r="T46" s="18">
        <f t="shared" ca="1" si="7"/>
        <v>247.71428571428572</v>
      </c>
    </row>
    <row r="47" spans="1:20" ht="12" customHeight="1" x14ac:dyDescent="0.2">
      <c r="A47" s="24" t="str">
        <f t="array" ref="A47">IFERROR(IF(MATCH(8,DAY(C47:I47),0),I47,""),"")</f>
        <v/>
      </c>
      <c r="C47" s="17">
        <f t="shared" si="8"/>
        <v>41504</v>
      </c>
      <c r="D47" s="17">
        <f t="shared" ref="D47:I47" si="41">C47+1</f>
        <v>41505</v>
      </c>
      <c r="E47" s="17">
        <f t="shared" si="41"/>
        <v>41506</v>
      </c>
      <c r="F47" s="17">
        <f t="shared" si="41"/>
        <v>41507</v>
      </c>
      <c r="G47" s="17">
        <f t="shared" si="41"/>
        <v>41508</v>
      </c>
      <c r="H47" s="17">
        <f t="shared" si="41"/>
        <v>41509</v>
      </c>
      <c r="I47" s="17">
        <f t="shared" si="41"/>
        <v>41510</v>
      </c>
      <c r="K47" s="21">
        <f ca="1">IF(AND(C47&gt;=$C$6,C47&lt;=$C$7),IF(""=IFERROR(INDEX(INDIRECT("Data!C"&amp;$K$4,FALSE),MATCH(C47,Data!$A:$A,0)),$W$17),$W$16,IFERROR(INDEX(INDIRECT("Data!C"&amp;$K$4,FALSE),MATCH(C47,Data!$A:$A,0)),$W$17)),"-")</f>
        <v>33</v>
      </c>
      <c r="L47" s="21">
        <f ca="1">IF(AND(D47&gt;=$C$6,D47&lt;=$C$7),IF(""=IFERROR(INDEX(INDIRECT("Data!C"&amp;$K$4,FALSE),MATCH(D47,Data!$A:$A,0)),$W$17),$W$16,IFERROR(INDEX(INDIRECT("Data!C"&amp;$K$4,FALSE),MATCH(D47,Data!$A:$A,0)),$W$17)),"-")</f>
        <v>379</v>
      </c>
      <c r="M47" s="21">
        <f ca="1">IF(AND(E47&gt;=$C$6,E47&lt;=$C$7),IF(""=IFERROR(INDEX(INDIRECT("Data!C"&amp;$K$4,FALSE),MATCH(E47,Data!$A:$A,0)),$W$17),$W$16,IFERROR(INDEX(INDIRECT("Data!C"&amp;$K$4,FALSE),MATCH(E47,Data!$A:$A,0)),$W$17)),"-")</f>
        <v>357</v>
      </c>
      <c r="N47" s="21">
        <f ca="1">IF(AND(F47&gt;=$C$6,F47&lt;=$C$7),IF(""=IFERROR(INDEX(INDIRECT("Data!C"&amp;$K$4,FALSE),MATCH(F47,Data!$A:$A,0)),$W$17),$W$16,IFERROR(INDEX(INDIRECT("Data!C"&amp;$K$4,FALSE),MATCH(F47,Data!$A:$A,0)),$W$17)),"-")</f>
        <v>385</v>
      </c>
      <c r="O47" s="21">
        <f ca="1">IF(AND(G47&gt;=$C$6,G47&lt;=$C$7),IF(""=IFERROR(INDEX(INDIRECT("Data!C"&amp;$K$4,FALSE),MATCH(G47,Data!$A:$A,0)),$W$17),$W$16,IFERROR(INDEX(INDIRECT("Data!C"&amp;$K$4,FALSE),MATCH(G47,Data!$A:$A,0)),$W$17)),"-")</f>
        <v>348</v>
      </c>
      <c r="P47" s="21">
        <f ca="1">IF(AND(H47&gt;=$C$6,H47&lt;=$C$7),IF(""=IFERROR(INDEX(INDIRECT("Data!C"&amp;$K$4,FALSE),MATCH(H47,Data!$A:$A,0)),$W$17),$W$16,IFERROR(INDEX(INDIRECT("Data!C"&amp;$K$4,FALSE),MATCH(H47,Data!$A:$A,0)),$W$17)),"-")</f>
        <v>282</v>
      </c>
      <c r="Q47" s="21">
        <f ca="1">IF(AND(I47&gt;=$C$6,I47&lt;=$C$7),IF(""=IFERROR(INDEX(INDIRECT("Data!C"&amp;$K$4,FALSE),MATCH(I47,Data!$A:$A,0)),$W$17),$W$16,IFERROR(INDEX(INDIRECT("Data!C"&amp;$K$4,FALSE),MATCH(I47,Data!$A:$A,0)),$W$17)),"-")</f>
        <v>81</v>
      </c>
      <c r="R47" s="7"/>
      <c r="S47" s="36">
        <f t="shared" ca="1" si="40"/>
        <v>266.42857142857144</v>
      </c>
      <c r="T47" s="18">
        <f t="shared" ca="1" si="7"/>
        <v>266.42857142857144</v>
      </c>
    </row>
    <row r="48" spans="1:20" ht="12" customHeight="1" x14ac:dyDescent="0.2">
      <c r="A48" s="24" t="str">
        <f t="array" ref="A48">IFERROR(IF(MATCH(8,DAY(C48:I48),0),I48,""),"")</f>
        <v/>
      </c>
      <c r="C48" s="17">
        <f t="shared" si="8"/>
        <v>41511</v>
      </c>
      <c r="D48" s="17">
        <f t="shared" ref="D48:I48" si="42">C48+1</f>
        <v>41512</v>
      </c>
      <c r="E48" s="17">
        <f t="shared" si="42"/>
        <v>41513</v>
      </c>
      <c r="F48" s="17">
        <f t="shared" si="42"/>
        <v>41514</v>
      </c>
      <c r="G48" s="17">
        <f t="shared" si="42"/>
        <v>41515</v>
      </c>
      <c r="H48" s="17">
        <f t="shared" si="42"/>
        <v>41516</v>
      </c>
      <c r="I48" s="17">
        <f t="shared" si="42"/>
        <v>41517</v>
      </c>
      <c r="K48" s="21">
        <f ca="1">IF(AND(C48&gt;=$C$6,C48&lt;=$C$7),IF(""=IFERROR(INDEX(INDIRECT("Data!C"&amp;$K$4,FALSE),MATCH(C48,Data!$A:$A,0)),$W$17),$W$16,IFERROR(INDEX(INDIRECT("Data!C"&amp;$K$4,FALSE),MATCH(C48,Data!$A:$A,0)),$W$17)),"-")</f>
        <v>29</v>
      </c>
      <c r="L48" s="21">
        <f ca="1">IF(AND(D48&gt;=$C$6,D48&lt;=$C$7),IF(""=IFERROR(INDEX(INDIRECT("Data!C"&amp;$K$4,FALSE),MATCH(D48,Data!$A:$A,0)),$W$17),$W$16,IFERROR(INDEX(INDIRECT("Data!C"&amp;$K$4,FALSE),MATCH(D48,Data!$A:$A,0)),$W$17)),"-")</f>
        <v>405</v>
      </c>
      <c r="M48" s="21">
        <f ca="1">IF(AND(E48&gt;=$C$6,E48&lt;=$C$7),IF(""=IFERROR(INDEX(INDIRECT("Data!C"&amp;$K$4,FALSE),MATCH(E48,Data!$A:$A,0)),$W$17),$W$16,IFERROR(INDEX(INDIRECT("Data!C"&amp;$K$4,FALSE),MATCH(E48,Data!$A:$A,0)),$W$17)),"-")</f>
        <v>387</v>
      </c>
      <c r="N48" s="21">
        <f ca="1">IF(AND(F48&gt;=$C$6,F48&lt;=$C$7),IF(""=IFERROR(INDEX(INDIRECT("Data!C"&amp;$K$4,FALSE),MATCH(F48,Data!$A:$A,0)),$W$17),$W$16,IFERROR(INDEX(INDIRECT("Data!C"&amp;$K$4,FALSE),MATCH(F48,Data!$A:$A,0)),$W$17)),"-")</f>
        <v>308</v>
      </c>
      <c r="O48" s="21">
        <f ca="1">IF(AND(G48&gt;=$C$6,G48&lt;=$C$7),IF(""=IFERROR(INDEX(INDIRECT("Data!C"&amp;$K$4,FALSE),MATCH(G48,Data!$A:$A,0)),$W$17),$W$16,IFERROR(INDEX(INDIRECT("Data!C"&amp;$K$4,FALSE),MATCH(G48,Data!$A:$A,0)),$W$17)),"-")</f>
        <v>281</v>
      </c>
      <c r="P48" s="21">
        <f ca="1">IF(AND(H48&gt;=$C$6,H48&lt;=$C$7),IF(""=IFERROR(INDEX(INDIRECT("Data!C"&amp;$K$4,FALSE),MATCH(H48,Data!$A:$A,0)),$W$17),$W$16,IFERROR(INDEX(INDIRECT("Data!C"&amp;$K$4,FALSE),MATCH(H48,Data!$A:$A,0)),$W$17)),"-")</f>
        <v>181</v>
      </c>
      <c r="Q48" s="21">
        <f ca="1">IF(AND(I48&gt;=$C$6,I48&lt;=$C$7),IF(""=IFERROR(INDEX(INDIRECT("Data!C"&amp;$K$4,FALSE),MATCH(I48,Data!$A:$A,0)),$W$17),$W$16,IFERROR(INDEX(INDIRECT("Data!C"&amp;$K$4,FALSE),MATCH(I48,Data!$A:$A,0)),$W$17)),"-")</f>
        <v>63</v>
      </c>
      <c r="R48" s="7"/>
      <c r="S48" s="36">
        <f t="shared" ca="1" si="40"/>
        <v>236.28571428571428</v>
      </c>
      <c r="T48" s="18">
        <f t="shared" ca="1" si="7"/>
        <v>236.28571428571428</v>
      </c>
    </row>
    <row r="49" spans="1:20" ht="12" customHeight="1" x14ac:dyDescent="0.2">
      <c r="A49" s="24" t="str">
        <f t="array" ref="A49">IFERROR(IF(MATCH(8,DAY(C49:I49),0),I49,""),"")</f>
        <v/>
      </c>
      <c r="C49" s="17">
        <f t="shared" si="8"/>
        <v>41518</v>
      </c>
      <c r="D49" s="17">
        <f t="shared" ref="D49:I49" si="43">C49+1</f>
        <v>41519</v>
      </c>
      <c r="E49" s="17">
        <f t="shared" si="43"/>
        <v>41520</v>
      </c>
      <c r="F49" s="17">
        <f t="shared" si="43"/>
        <v>41521</v>
      </c>
      <c r="G49" s="17">
        <f t="shared" si="43"/>
        <v>41522</v>
      </c>
      <c r="H49" s="17">
        <f t="shared" si="43"/>
        <v>41523</v>
      </c>
      <c r="I49" s="17">
        <f t="shared" si="43"/>
        <v>41524</v>
      </c>
      <c r="K49" s="21">
        <f ca="1">IF(AND(C49&gt;=$C$6,C49&lt;=$C$7),IF(""=IFERROR(INDEX(INDIRECT("Data!C"&amp;$K$4,FALSE),MATCH(C49,Data!$A:$A,0)),$W$17),$W$16,IFERROR(INDEX(INDIRECT("Data!C"&amp;$K$4,FALSE),MATCH(C49,Data!$A:$A,0)),$W$17)),"-")</f>
        <v>46</v>
      </c>
      <c r="L49" s="21">
        <f ca="1">IF(AND(D49&gt;=$C$6,D49&lt;=$C$7),IF(""=IFERROR(INDEX(INDIRECT("Data!C"&amp;$K$4,FALSE),MATCH(D49,Data!$A:$A,0)),$W$17),$W$16,IFERROR(INDEX(INDIRECT("Data!C"&amp;$K$4,FALSE),MATCH(D49,Data!$A:$A,0)),$W$17)),"-")</f>
        <v>280</v>
      </c>
      <c r="M49" s="21">
        <f ca="1">IF(AND(E49&gt;=$C$6,E49&lt;=$C$7),IF(""=IFERROR(INDEX(INDIRECT("Data!C"&amp;$K$4,FALSE),MATCH(E49,Data!$A:$A,0)),$W$17),$W$16,IFERROR(INDEX(INDIRECT("Data!C"&amp;$K$4,FALSE),MATCH(E49,Data!$A:$A,0)),$W$17)),"-")</f>
        <v>391</v>
      </c>
      <c r="N49" s="21">
        <f ca="1">IF(AND(F49&gt;=$C$6,F49&lt;=$C$7),IF(""=IFERROR(INDEX(INDIRECT("Data!C"&amp;$K$4,FALSE),MATCH(F49,Data!$A:$A,0)),$W$17),$W$16,IFERROR(INDEX(INDIRECT("Data!C"&amp;$K$4,FALSE),MATCH(F49,Data!$A:$A,0)),$W$17)),"-")</f>
        <v>295</v>
      </c>
      <c r="O49" s="21">
        <f ca="1">IF(AND(G49&gt;=$C$6,G49&lt;=$C$7),IF(""=IFERROR(INDEX(INDIRECT("Data!C"&amp;$K$4,FALSE),MATCH(G49,Data!$A:$A,0)),$W$17),$W$16,IFERROR(INDEX(INDIRECT("Data!C"&amp;$K$4,FALSE),MATCH(G49,Data!$A:$A,0)),$W$17)),"-")</f>
        <v>187</v>
      </c>
      <c r="P49" s="21">
        <f ca="1">IF(AND(H49&gt;=$C$6,H49&lt;=$C$7),IF(""=IFERROR(INDEX(INDIRECT("Data!C"&amp;$K$4,FALSE),MATCH(H49,Data!$A:$A,0)),$W$17),$W$16,IFERROR(INDEX(INDIRECT("Data!C"&amp;$K$4,FALSE),MATCH(H49,Data!$A:$A,0)),$W$17)),"-")</f>
        <v>227</v>
      </c>
      <c r="Q49" s="21">
        <f ca="1">IF(AND(I49&gt;=$C$6,I49&lt;=$C$7),IF(""=IFERROR(INDEX(INDIRECT("Data!C"&amp;$K$4,FALSE),MATCH(I49,Data!$A:$A,0)),$W$17),$W$16,IFERROR(INDEX(INDIRECT("Data!C"&amp;$K$4,FALSE),MATCH(I49,Data!$A:$A,0)),$W$17)),"-")</f>
        <v>58</v>
      </c>
      <c r="R49" s="7"/>
      <c r="S49" s="36">
        <f t="shared" ca="1" si="40"/>
        <v>212</v>
      </c>
      <c r="T49" s="18">
        <f t="shared" ca="1" si="7"/>
        <v>212</v>
      </c>
    </row>
    <row r="50" spans="1:20" ht="12" customHeight="1" x14ac:dyDescent="0.2">
      <c r="A50" s="24">
        <f t="array" ref="A50">IFERROR(IF(MATCH(8,DAY(C50:I50),0),I50,""),"")</f>
        <v>41531</v>
      </c>
      <c r="C50" s="17">
        <f t="shared" si="8"/>
        <v>41525</v>
      </c>
      <c r="D50" s="17">
        <f t="shared" ref="D50:I50" si="44">C50+1</f>
        <v>41526</v>
      </c>
      <c r="E50" s="17">
        <f t="shared" si="44"/>
        <v>41527</v>
      </c>
      <c r="F50" s="17">
        <f t="shared" si="44"/>
        <v>41528</v>
      </c>
      <c r="G50" s="17">
        <f t="shared" si="44"/>
        <v>41529</v>
      </c>
      <c r="H50" s="17">
        <f t="shared" si="44"/>
        <v>41530</v>
      </c>
      <c r="I50" s="17">
        <f t="shared" si="44"/>
        <v>41531</v>
      </c>
      <c r="K50" s="21">
        <f ca="1">IF(AND(C50&gt;=$C$6,C50&lt;=$C$7),IF(""=IFERROR(INDEX(INDIRECT("Data!C"&amp;$K$4,FALSE),MATCH(C50,Data!$A:$A,0)),$W$17),$W$16,IFERROR(INDEX(INDIRECT("Data!C"&amp;$K$4,FALSE),MATCH(C50,Data!$A:$A,0)),$W$17)),"-")</f>
        <v>41</v>
      </c>
      <c r="L50" s="21">
        <f ca="1">IF(AND(D50&gt;=$C$6,D50&lt;=$C$7),IF(""=IFERROR(INDEX(INDIRECT("Data!C"&amp;$K$4,FALSE),MATCH(D50,Data!$A:$A,0)),$W$17),$W$16,IFERROR(INDEX(INDIRECT("Data!C"&amp;$K$4,FALSE),MATCH(D50,Data!$A:$A,0)),$W$17)),"-")</f>
        <v>297</v>
      </c>
      <c r="M50" s="21">
        <f ca="1">IF(AND(E50&gt;=$C$6,E50&lt;=$C$7),IF(""=IFERROR(INDEX(INDIRECT("Data!C"&amp;$K$4,FALSE),MATCH(E50,Data!$A:$A,0)),$W$17),$W$16,IFERROR(INDEX(INDIRECT("Data!C"&amp;$K$4,FALSE),MATCH(E50,Data!$A:$A,0)),$W$17)),"-")</f>
        <v>261</v>
      </c>
      <c r="N50" s="21">
        <f ca="1">IF(AND(F50&gt;=$C$6,F50&lt;=$C$7),IF(""=IFERROR(INDEX(INDIRECT("Data!C"&amp;$K$4,FALSE),MATCH(F50,Data!$A:$A,0)),$W$17),$W$16,IFERROR(INDEX(INDIRECT("Data!C"&amp;$K$4,FALSE),MATCH(F50,Data!$A:$A,0)),$W$17)),"-")</f>
        <v>229</v>
      </c>
      <c r="O50" s="21">
        <f ca="1">IF(AND(G50&gt;=$C$6,G50&lt;=$C$7),IF(""=IFERROR(INDEX(INDIRECT("Data!C"&amp;$K$4,FALSE),MATCH(G50,Data!$A:$A,0)),$W$17),$W$16,IFERROR(INDEX(INDIRECT("Data!C"&amp;$K$4,FALSE),MATCH(G50,Data!$A:$A,0)),$W$17)),"-")</f>
        <v>163</v>
      </c>
      <c r="P50" s="21">
        <f ca="1">IF(AND(H50&gt;=$C$6,H50&lt;=$C$7),IF(""=IFERROR(INDEX(INDIRECT("Data!C"&amp;$K$4,FALSE),MATCH(H50,Data!$A:$A,0)),$W$17),$W$16,IFERROR(INDEX(INDIRECT("Data!C"&amp;$K$4,FALSE),MATCH(H50,Data!$A:$A,0)),$W$17)),"-")</f>
        <v>179</v>
      </c>
      <c r="Q50" s="21">
        <f ca="1">IF(AND(I50&gt;=$C$6,I50&lt;=$C$7),IF(""=IFERROR(INDEX(INDIRECT("Data!C"&amp;$K$4,FALSE),MATCH(I50,Data!$A:$A,0)),$W$17),$W$16,IFERROR(INDEX(INDIRECT("Data!C"&amp;$K$4,FALSE),MATCH(I50,Data!$A:$A,0)),$W$17)),"-")</f>
        <v>47</v>
      </c>
      <c r="R50" s="7"/>
      <c r="S50" s="36">
        <f t="shared" ca="1" si="40"/>
        <v>173.85714285714286</v>
      </c>
      <c r="T50" s="18">
        <f t="shared" ca="1" si="7"/>
        <v>173.85714285714286</v>
      </c>
    </row>
    <row r="51" spans="1:20" ht="12" customHeight="1" x14ac:dyDescent="0.2">
      <c r="A51" s="24" t="str">
        <f t="array" ref="A51">IFERROR(IF(MATCH(8,DAY(C51:I51),0),I51,""),"")</f>
        <v/>
      </c>
      <c r="C51" s="17">
        <f t="shared" si="8"/>
        <v>41532</v>
      </c>
      <c r="D51" s="17">
        <f t="shared" ref="D51:I51" si="45">C51+1</f>
        <v>41533</v>
      </c>
      <c r="E51" s="17">
        <f t="shared" si="45"/>
        <v>41534</v>
      </c>
      <c r="F51" s="17">
        <f t="shared" si="45"/>
        <v>41535</v>
      </c>
      <c r="G51" s="17">
        <f t="shared" si="45"/>
        <v>41536</v>
      </c>
      <c r="H51" s="17">
        <f t="shared" si="45"/>
        <v>41537</v>
      </c>
      <c r="I51" s="17">
        <f t="shared" si="45"/>
        <v>41538</v>
      </c>
      <c r="K51" s="21">
        <f ca="1">IF(AND(C51&gt;=$C$6,C51&lt;=$C$7),IF(""=IFERROR(INDEX(INDIRECT("Data!C"&amp;$K$4,FALSE),MATCH(C51,Data!$A:$A,0)),$W$17),$W$16,IFERROR(INDEX(INDIRECT("Data!C"&amp;$K$4,FALSE),MATCH(C51,Data!$A:$A,0)),$W$17)),"-")</f>
        <v>18</v>
      </c>
      <c r="L51" s="21">
        <f ca="1">IF(AND(D51&gt;=$C$6,D51&lt;=$C$7),IF(""=IFERROR(INDEX(INDIRECT("Data!C"&amp;$K$4,FALSE),MATCH(D51,Data!$A:$A,0)),$W$17),$W$16,IFERROR(INDEX(INDIRECT("Data!C"&amp;$K$4,FALSE),MATCH(D51,Data!$A:$A,0)),$W$17)),"-")</f>
        <v>214</v>
      </c>
      <c r="M51" s="21">
        <f ca="1">IF(AND(E51&gt;=$C$6,E51&lt;=$C$7),IF(""=IFERROR(INDEX(INDIRECT("Data!C"&amp;$K$4,FALSE),MATCH(E51,Data!$A:$A,0)),$W$17),$W$16,IFERROR(INDEX(INDIRECT("Data!C"&amp;$K$4,FALSE),MATCH(E51,Data!$A:$A,0)),$W$17)),"-")</f>
        <v>181</v>
      </c>
      <c r="N51" s="21">
        <f ca="1">IF(AND(F51&gt;=$C$6,F51&lt;=$C$7),IF(""=IFERROR(INDEX(INDIRECT("Data!C"&amp;$K$4,FALSE),MATCH(F51,Data!$A:$A,0)),$W$17),$W$16,IFERROR(INDEX(INDIRECT("Data!C"&amp;$K$4,FALSE),MATCH(F51,Data!$A:$A,0)),$W$17)),"-")</f>
        <v>259</v>
      </c>
      <c r="O51" s="21">
        <f ca="1">IF(AND(G51&gt;=$C$6,G51&lt;=$C$7),IF(""=IFERROR(INDEX(INDIRECT("Data!C"&amp;$K$4,FALSE),MATCH(G51,Data!$A:$A,0)),$W$17),$W$16,IFERROR(INDEX(INDIRECT("Data!C"&amp;$K$4,FALSE),MATCH(G51,Data!$A:$A,0)),$W$17)),"-")</f>
        <v>133</v>
      </c>
      <c r="P51" s="21">
        <f ca="1">IF(AND(H51&gt;=$C$6,H51&lt;=$C$7),IF(""=IFERROR(INDEX(INDIRECT("Data!C"&amp;$K$4,FALSE),MATCH(H51,Data!$A:$A,0)),$W$17),$W$16,IFERROR(INDEX(INDIRECT("Data!C"&amp;$K$4,FALSE),MATCH(H51,Data!$A:$A,0)),$W$17)),"-")</f>
        <v>119</v>
      </c>
      <c r="Q51" s="21">
        <f ca="1">IF(AND(I51&gt;=$C$6,I51&lt;=$C$7),IF(""=IFERROR(INDEX(INDIRECT("Data!C"&amp;$K$4,FALSE),MATCH(I51,Data!$A:$A,0)),$W$17),$W$16,IFERROR(INDEX(INDIRECT("Data!C"&amp;$K$4,FALSE),MATCH(I51,Data!$A:$A,0)),$W$17)),"-")</f>
        <v>57</v>
      </c>
      <c r="R51" s="7"/>
      <c r="S51" s="36">
        <f t="shared" ca="1" si="40"/>
        <v>140.14285714285714</v>
      </c>
      <c r="T51" s="18">
        <f t="shared" ca="1" si="7"/>
        <v>140.14285714285714</v>
      </c>
    </row>
    <row r="52" spans="1:20" ht="12" customHeight="1" x14ac:dyDescent="0.2">
      <c r="A52" s="24" t="str">
        <f t="array" ref="A52">IFERROR(IF(MATCH(8,DAY(C52:I52),0),I52,""),"")</f>
        <v/>
      </c>
      <c r="C52" s="17">
        <f t="shared" si="8"/>
        <v>41539</v>
      </c>
      <c r="D52" s="17">
        <f t="shared" ref="D52:I52" si="46">C52+1</f>
        <v>41540</v>
      </c>
      <c r="E52" s="17">
        <f t="shared" si="46"/>
        <v>41541</v>
      </c>
      <c r="F52" s="17">
        <f t="shared" si="46"/>
        <v>41542</v>
      </c>
      <c r="G52" s="17">
        <f t="shared" si="46"/>
        <v>41543</v>
      </c>
      <c r="H52" s="17">
        <f t="shared" si="46"/>
        <v>41544</v>
      </c>
      <c r="I52" s="17">
        <f t="shared" si="46"/>
        <v>41545</v>
      </c>
      <c r="K52" s="21">
        <f ca="1">IF(AND(C52&gt;=$C$6,C52&lt;=$C$7),IF(""=IFERROR(INDEX(INDIRECT("Data!C"&amp;$K$4,FALSE),MATCH(C52,Data!$A:$A,0)),$W$17),$W$16,IFERROR(INDEX(INDIRECT("Data!C"&amp;$K$4,FALSE),MATCH(C52,Data!$A:$A,0)),$W$17)),"-")</f>
        <v>15</v>
      </c>
      <c r="L52" s="21">
        <f ca="1">IF(AND(D52&gt;=$C$6,D52&lt;=$C$7),IF(""=IFERROR(INDEX(INDIRECT("Data!C"&amp;$K$4,FALSE),MATCH(D52,Data!$A:$A,0)),$W$17),$W$16,IFERROR(INDEX(INDIRECT("Data!C"&amp;$K$4,FALSE),MATCH(D52,Data!$A:$A,0)),$W$17)),"-")</f>
        <v>160</v>
      </c>
      <c r="M52" s="21">
        <f ca="1">IF(AND(E52&gt;=$C$6,E52&lt;=$C$7),IF(""=IFERROR(INDEX(INDIRECT("Data!C"&amp;$K$4,FALSE),MATCH(E52,Data!$A:$A,0)),$W$17),$W$16,IFERROR(INDEX(INDIRECT("Data!C"&amp;$K$4,FALSE),MATCH(E52,Data!$A:$A,0)),$W$17)),"-")</f>
        <v>137</v>
      </c>
      <c r="N52" s="21">
        <f ca="1">IF(AND(F52&gt;=$C$6,F52&lt;=$C$7),IF(""=IFERROR(INDEX(INDIRECT("Data!C"&amp;$K$4,FALSE),MATCH(F52,Data!$A:$A,0)),$W$17),$W$16,IFERROR(INDEX(INDIRECT("Data!C"&amp;$K$4,FALSE),MATCH(F52,Data!$A:$A,0)),$W$17)),"-")</f>
        <v>127</v>
      </c>
      <c r="O52" s="21">
        <f ca="1">IF(AND(G52&gt;=$C$6,G52&lt;=$C$7),IF(""=IFERROR(INDEX(INDIRECT("Data!C"&amp;$K$4,FALSE),MATCH(G52,Data!$A:$A,0)),$W$17),$W$16,IFERROR(INDEX(INDIRECT("Data!C"&amp;$K$4,FALSE),MATCH(G52,Data!$A:$A,0)),$W$17)),"-")</f>
        <v>133</v>
      </c>
      <c r="P52" s="21">
        <f ca="1">IF(AND(H52&gt;=$C$6,H52&lt;=$C$7),IF(""=IFERROR(INDEX(INDIRECT("Data!C"&amp;$K$4,FALSE),MATCH(H52,Data!$A:$A,0)),$W$17),$W$16,IFERROR(INDEX(INDIRECT("Data!C"&amp;$K$4,FALSE),MATCH(H52,Data!$A:$A,0)),$W$17)),"-")</f>
        <v>97</v>
      </c>
      <c r="Q52" s="21">
        <f ca="1">IF(AND(I52&gt;=$C$6,I52&lt;=$C$7),IF(""=IFERROR(INDEX(INDIRECT("Data!C"&amp;$K$4,FALSE),MATCH(I52,Data!$A:$A,0)),$W$17),$W$16,IFERROR(INDEX(INDIRECT("Data!C"&amp;$K$4,FALSE),MATCH(I52,Data!$A:$A,0)),$W$17)),"-")</f>
        <v>55</v>
      </c>
      <c r="R52" s="7"/>
      <c r="S52" s="36">
        <f t="shared" ca="1" si="40"/>
        <v>103.42857142857143</v>
      </c>
      <c r="T52" s="18">
        <f t="shared" ca="1" si="7"/>
        <v>103.42857142857143</v>
      </c>
    </row>
    <row r="53" spans="1:20" ht="12" customHeight="1" x14ac:dyDescent="0.2">
      <c r="A53" s="24" t="str">
        <f t="array" ref="A53">IFERROR(IF(MATCH(8,DAY(C53:I53),0),I53,""),"")</f>
        <v/>
      </c>
      <c r="C53" s="17">
        <f t="shared" si="8"/>
        <v>41546</v>
      </c>
      <c r="D53" s="17">
        <f t="shared" ref="D53:I53" si="47">C53+1</f>
        <v>41547</v>
      </c>
      <c r="E53" s="17">
        <f t="shared" si="47"/>
        <v>41548</v>
      </c>
      <c r="F53" s="17">
        <f t="shared" si="47"/>
        <v>41549</v>
      </c>
      <c r="G53" s="17">
        <f t="shared" si="47"/>
        <v>41550</v>
      </c>
      <c r="H53" s="17">
        <f t="shared" si="47"/>
        <v>41551</v>
      </c>
      <c r="I53" s="17">
        <f t="shared" si="47"/>
        <v>41552</v>
      </c>
      <c r="K53" s="21">
        <f ca="1">IF(AND(C53&gt;=$C$6,C53&lt;=$C$7),IF(""=IFERROR(INDEX(INDIRECT("Data!C"&amp;$K$4,FALSE),MATCH(C53,Data!$A:$A,0)),$W$17),$W$16,IFERROR(INDEX(INDIRECT("Data!C"&amp;$K$4,FALSE),MATCH(C53,Data!$A:$A,0)),$W$17)),"-")</f>
        <v>18</v>
      </c>
      <c r="L53" s="21">
        <f ca="1">IF(AND(D53&gt;=$C$6,D53&lt;=$C$7),IF(""=IFERROR(INDEX(INDIRECT("Data!C"&amp;$K$4,FALSE),MATCH(D53,Data!$A:$A,0)),$W$17),$W$16,IFERROR(INDEX(INDIRECT("Data!C"&amp;$K$4,FALSE),MATCH(D53,Data!$A:$A,0)),$W$17)),"-")</f>
        <v>165</v>
      </c>
      <c r="M53" s="21">
        <f ca="1">IF(AND(E53&gt;=$C$6,E53&lt;=$C$7),IF(""=IFERROR(INDEX(INDIRECT("Data!C"&amp;$K$4,FALSE),MATCH(E53,Data!$A:$A,0)),$W$17),$W$16,IFERROR(INDEX(INDIRECT("Data!C"&amp;$K$4,FALSE),MATCH(E53,Data!$A:$A,0)),$W$17)),"-")</f>
        <v>212</v>
      </c>
      <c r="N53" s="21">
        <f ca="1">IF(AND(F53&gt;=$C$6,F53&lt;=$C$7),IF(""=IFERROR(INDEX(INDIRECT("Data!C"&amp;$K$4,FALSE),MATCH(F53,Data!$A:$A,0)),$W$17),$W$16,IFERROR(INDEX(INDIRECT("Data!C"&amp;$K$4,FALSE),MATCH(F53,Data!$A:$A,0)),$W$17)),"-")</f>
        <v>106</v>
      </c>
      <c r="O53" s="21">
        <f ca="1">IF(AND(G53&gt;=$C$6,G53&lt;=$C$7),IF(""=IFERROR(INDEX(INDIRECT("Data!C"&amp;$K$4,FALSE),MATCH(G53,Data!$A:$A,0)),$W$17),$W$16,IFERROR(INDEX(INDIRECT("Data!C"&amp;$K$4,FALSE),MATCH(G53,Data!$A:$A,0)),$W$17)),"-")</f>
        <v>120</v>
      </c>
      <c r="P53" s="21">
        <f ca="1">IF(AND(H53&gt;=$C$6,H53&lt;=$C$7),IF(""=IFERROR(INDEX(INDIRECT("Data!C"&amp;$K$4,FALSE),MATCH(H53,Data!$A:$A,0)),$W$17),$W$16,IFERROR(INDEX(INDIRECT("Data!C"&amp;$K$4,FALSE),MATCH(H53,Data!$A:$A,0)),$W$17)),"-")</f>
        <v>84</v>
      </c>
      <c r="Q53" s="21">
        <f ca="1">IF(AND(I53&gt;=$C$6,I53&lt;=$C$7),IF(""=IFERROR(INDEX(INDIRECT("Data!C"&amp;$K$4,FALSE),MATCH(I53,Data!$A:$A,0)),$W$17),$W$16,IFERROR(INDEX(INDIRECT("Data!C"&amp;$K$4,FALSE),MATCH(I53,Data!$A:$A,0)),$W$17)),"-")</f>
        <v>41</v>
      </c>
      <c r="R53" s="7"/>
      <c r="S53" s="36">
        <f t="shared" ca="1" si="40"/>
        <v>106.57142857142857</v>
      </c>
      <c r="T53" s="18">
        <f t="shared" ca="1" si="7"/>
        <v>106.57142857142857</v>
      </c>
    </row>
    <row r="54" spans="1:20" ht="12" customHeight="1" x14ac:dyDescent="0.2">
      <c r="A54" s="24">
        <f t="array" ref="A54">IFERROR(IF(MATCH(8,DAY(C54:I54),0),I54,""),"")</f>
        <v>41559</v>
      </c>
      <c r="C54" s="17">
        <f t="shared" si="8"/>
        <v>41553</v>
      </c>
      <c r="D54" s="17">
        <f t="shared" ref="D54:I54" si="48">C54+1</f>
        <v>41554</v>
      </c>
      <c r="E54" s="17">
        <f t="shared" si="48"/>
        <v>41555</v>
      </c>
      <c r="F54" s="17">
        <f t="shared" si="48"/>
        <v>41556</v>
      </c>
      <c r="G54" s="17">
        <f t="shared" si="48"/>
        <v>41557</v>
      </c>
      <c r="H54" s="17">
        <f t="shared" si="48"/>
        <v>41558</v>
      </c>
      <c r="I54" s="17">
        <f t="shared" si="48"/>
        <v>41559</v>
      </c>
      <c r="K54" s="21">
        <f ca="1">IF(AND(C54&gt;=$C$6,C54&lt;=$C$7),IF(""=IFERROR(INDEX(INDIRECT("Data!C"&amp;$K$4,FALSE),MATCH(C54,Data!$A:$A,0)),$W$17),$W$16,IFERROR(INDEX(INDIRECT("Data!C"&amp;$K$4,FALSE),MATCH(C54,Data!$A:$A,0)),$W$17)),"-")</f>
        <v>10</v>
      </c>
      <c r="L54" s="21">
        <f ca="1">IF(AND(D54&gt;=$C$6,D54&lt;=$C$7),IF(""=IFERROR(INDEX(INDIRECT("Data!C"&amp;$K$4,FALSE),MATCH(D54,Data!$A:$A,0)),$W$17),$W$16,IFERROR(INDEX(INDIRECT("Data!C"&amp;$K$4,FALSE),MATCH(D54,Data!$A:$A,0)),$W$17)),"-")</f>
        <v>182</v>
      </c>
      <c r="M54" s="21">
        <f ca="1">IF(AND(E54&gt;=$C$6,E54&lt;=$C$7),IF(""=IFERROR(INDEX(INDIRECT("Data!C"&amp;$K$4,FALSE),MATCH(E54,Data!$A:$A,0)),$W$17),$W$16,IFERROR(INDEX(INDIRECT("Data!C"&amp;$K$4,FALSE),MATCH(E54,Data!$A:$A,0)),$W$17)),"-")</f>
        <v>108</v>
      </c>
      <c r="N54" s="21">
        <f ca="1">IF(AND(F54&gt;=$C$6,F54&lt;=$C$7),IF(""=IFERROR(INDEX(INDIRECT("Data!C"&amp;$K$4,FALSE),MATCH(F54,Data!$A:$A,0)),$W$17),$W$16,IFERROR(INDEX(INDIRECT("Data!C"&amp;$K$4,FALSE),MATCH(F54,Data!$A:$A,0)),$W$17)),"-")</f>
        <v>88</v>
      </c>
      <c r="O54" s="21">
        <f ca="1">IF(AND(G54&gt;=$C$6,G54&lt;=$C$7),IF(""=IFERROR(INDEX(INDIRECT("Data!C"&amp;$K$4,FALSE),MATCH(G54,Data!$A:$A,0)),$W$17),$W$16,IFERROR(INDEX(INDIRECT("Data!C"&amp;$K$4,FALSE),MATCH(G54,Data!$A:$A,0)),$W$17)),"-")</f>
        <v>163</v>
      </c>
      <c r="P54" s="21">
        <f ca="1">IF(AND(H54&gt;=$C$6,H54&lt;=$C$7),IF(""=IFERROR(INDEX(INDIRECT("Data!C"&amp;$K$4,FALSE),MATCH(H54,Data!$A:$A,0)),$W$17),$W$16,IFERROR(INDEX(INDIRECT("Data!C"&amp;$K$4,FALSE),MATCH(H54,Data!$A:$A,0)),$W$17)),"-")</f>
        <v>123</v>
      </c>
      <c r="Q54" s="21">
        <f ca="1">IF(AND(I54&gt;=$C$6,I54&lt;=$C$7),IF(""=IFERROR(INDEX(INDIRECT("Data!C"&amp;$K$4,FALSE),MATCH(I54,Data!$A:$A,0)),$W$17),$W$16,IFERROR(INDEX(INDIRECT("Data!C"&amp;$K$4,FALSE),MATCH(I54,Data!$A:$A,0)),$W$17)),"-")</f>
        <v>52</v>
      </c>
      <c r="R54" s="7"/>
      <c r="S54" s="36">
        <f t="shared" ca="1" si="40"/>
        <v>103.71428571428571</v>
      </c>
      <c r="T54" s="18">
        <f t="shared" ca="1" si="7"/>
        <v>103.71428571428571</v>
      </c>
    </row>
    <row r="55" spans="1:20" ht="12" customHeight="1" x14ac:dyDescent="0.2">
      <c r="A55" s="24" t="str">
        <f t="array" ref="A55">IFERROR(IF(MATCH(8,DAY(C55:I55),0),I55,""),"")</f>
        <v/>
      </c>
      <c r="C55" s="17">
        <f t="shared" si="8"/>
        <v>41560</v>
      </c>
      <c r="D55" s="17">
        <f t="shared" ref="D55:I55" si="49">C55+1</f>
        <v>41561</v>
      </c>
      <c r="E55" s="17">
        <f t="shared" si="49"/>
        <v>41562</v>
      </c>
      <c r="F55" s="17">
        <f t="shared" si="49"/>
        <v>41563</v>
      </c>
      <c r="G55" s="17">
        <f t="shared" si="49"/>
        <v>41564</v>
      </c>
      <c r="H55" s="17">
        <f t="shared" si="49"/>
        <v>41565</v>
      </c>
      <c r="I55" s="17">
        <f t="shared" si="49"/>
        <v>41566</v>
      </c>
      <c r="K55" s="21">
        <f ca="1">IF(AND(C55&gt;=$C$6,C55&lt;=$C$7),IF(""=IFERROR(INDEX(INDIRECT("Data!C"&amp;$K$4,FALSE),MATCH(C55,Data!$A:$A,0)),$W$17),$W$16,IFERROR(INDEX(INDIRECT("Data!C"&amp;$K$4,FALSE),MATCH(C55,Data!$A:$A,0)),$W$17)),"-")</f>
        <v>24</v>
      </c>
      <c r="L55" s="21">
        <f ca="1">IF(AND(D55&gt;=$C$6,D55&lt;=$C$7),IF(""=IFERROR(INDEX(INDIRECT("Data!C"&amp;$K$4,FALSE),MATCH(D55,Data!$A:$A,0)),$W$17),$W$16,IFERROR(INDEX(INDIRECT("Data!C"&amp;$K$4,FALSE),MATCH(D55,Data!$A:$A,0)),$W$17)),"-")</f>
        <v>319</v>
      </c>
      <c r="M55" s="21">
        <f ca="1">IF(AND(E55&gt;=$C$6,E55&lt;=$C$7),IF(""=IFERROR(INDEX(INDIRECT("Data!C"&amp;$K$4,FALSE),MATCH(E55,Data!$A:$A,0)),$W$17),$W$16,IFERROR(INDEX(INDIRECT("Data!C"&amp;$K$4,FALSE),MATCH(E55,Data!$A:$A,0)),$W$17)),"-")</f>
        <v>171</v>
      </c>
      <c r="N55" s="21">
        <f ca="1">IF(AND(F55&gt;=$C$6,F55&lt;=$C$7),IF(""=IFERROR(INDEX(INDIRECT("Data!C"&amp;$K$4,FALSE),MATCH(F55,Data!$A:$A,0)),$W$17),$W$16,IFERROR(INDEX(INDIRECT("Data!C"&amp;$K$4,FALSE),MATCH(F55,Data!$A:$A,0)),$W$17)),"-")</f>
        <v>174</v>
      </c>
      <c r="O55" s="21">
        <f ca="1">IF(AND(G55&gt;=$C$6,G55&lt;=$C$7),IF(""=IFERROR(INDEX(INDIRECT("Data!C"&amp;$K$4,FALSE),MATCH(G55,Data!$A:$A,0)),$W$17),$W$16,IFERROR(INDEX(INDIRECT("Data!C"&amp;$K$4,FALSE),MATCH(G55,Data!$A:$A,0)),$W$17)),"-")</f>
        <v>139</v>
      </c>
      <c r="P55" s="21">
        <f ca="1">IF(AND(H55&gt;=$C$6,H55&lt;=$C$7),IF(""=IFERROR(INDEX(INDIRECT("Data!C"&amp;$K$4,FALSE),MATCH(H55,Data!$A:$A,0)),$W$17),$W$16,IFERROR(INDEX(INDIRECT("Data!C"&amp;$K$4,FALSE),MATCH(H55,Data!$A:$A,0)),$W$17)),"-")</f>
        <v>186</v>
      </c>
      <c r="Q55" s="21">
        <f ca="1">IF(AND(I55&gt;=$C$6,I55&lt;=$C$7),IF(""=IFERROR(INDEX(INDIRECT("Data!C"&amp;$K$4,FALSE),MATCH(I55,Data!$A:$A,0)),$W$17),$W$16,IFERROR(INDEX(INDIRECT("Data!C"&amp;$K$4,FALSE),MATCH(I55,Data!$A:$A,0)),$W$17)),"-")</f>
        <v>52</v>
      </c>
      <c r="R55" s="7"/>
      <c r="S55" s="36">
        <f t="shared" ca="1" si="40"/>
        <v>152.14285714285714</v>
      </c>
      <c r="T55" s="18">
        <f t="shared" ca="1" si="7"/>
        <v>152.14285714285714</v>
      </c>
    </row>
    <row r="56" spans="1:20" ht="12" customHeight="1" x14ac:dyDescent="0.2">
      <c r="A56" s="24" t="str">
        <f t="array" ref="A56">IFERROR(IF(MATCH(8,DAY(C56:I56),0),I56,""),"")</f>
        <v/>
      </c>
      <c r="C56" s="17">
        <f t="shared" si="8"/>
        <v>41567</v>
      </c>
      <c r="D56" s="17">
        <f t="shared" ref="D56:I56" si="50">C56+1</f>
        <v>41568</v>
      </c>
      <c r="E56" s="17">
        <f t="shared" si="50"/>
        <v>41569</v>
      </c>
      <c r="F56" s="17">
        <f t="shared" si="50"/>
        <v>41570</v>
      </c>
      <c r="G56" s="17">
        <f t="shared" si="50"/>
        <v>41571</v>
      </c>
      <c r="H56" s="17">
        <f t="shared" si="50"/>
        <v>41572</v>
      </c>
      <c r="I56" s="17">
        <f t="shared" si="50"/>
        <v>41573</v>
      </c>
      <c r="K56" s="21">
        <f ca="1">IF(AND(C56&gt;=$C$6,C56&lt;=$C$7),IF(""=IFERROR(INDEX(INDIRECT("Data!C"&amp;$K$4,FALSE),MATCH(C56,Data!$A:$A,0)),$W$17),$W$16,IFERROR(INDEX(INDIRECT("Data!C"&amp;$K$4,FALSE),MATCH(C56,Data!$A:$A,0)),$W$17)),"-")</f>
        <v>17</v>
      </c>
      <c r="L56" s="21">
        <f ca="1">IF(AND(D56&gt;=$C$6,D56&lt;=$C$7),IF(""=IFERROR(INDEX(INDIRECT("Data!C"&amp;$K$4,FALSE),MATCH(D56,Data!$A:$A,0)),$W$17),$W$16,IFERROR(INDEX(INDIRECT("Data!C"&amp;$K$4,FALSE),MATCH(D56,Data!$A:$A,0)),$W$17)),"-")</f>
        <v>280</v>
      </c>
      <c r="M56" s="21">
        <f ca="1">IF(AND(E56&gt;=$C$6,E56&lt;=$C$7),IF(""=IFERROR(INDEX(INDIRECT("Data!C"&amp;$K$4,FALSE),MATCH(E56,Data!$A:$A,0)),$W$17),$W$16,IFERROR(INDEX(INDIRECT("Data!C"&amp;$K$4,FALSE),MATCH(E56,Data!$A:$A,0)),$W$17)),"-")</f>
        <v>274</v>
      </c>
      <c r="N56" s="21">
        <f ca="1">IF(AND(F56&gt;=$C$6,F56&lt;=$C$7),IF(""=IFERROR(INDEX(INDIRECT("Data!C"&amp;$K$4,FALSE),MATCH(F56,Data!$A:$A,0)),$W$17),$W$16,IFERROR(INDEX(INDIRECT("Data!C"&amp;$K$4,FALSE),MATCH(F56,Data!$A:$A,0)),$W$17)),"-")</f>
        <v>241</v>
      </c>
      <c r="O56" s="21">
        <f ca="1">IF(AND(G56&gt;=$C$6,G56&lt;=$C$7),IF(""=IFERROR(INDEX(INDIRECT("Data!C"&amp;$K$4,FALSE),MATCH(G56,Data!$A:$A,0)),$W$17),$W$16,IFERROR(INDEX(INDIRECT("Data!C"&amp;$K$4,FALSE),MATCH(G56,Data!$A:$A,0)),$W$17)),"-")</f>
        <v>144</v>
      </c>
      <c r="P56" s="21">
        <f ca="1">IF(AND(H56&gt;=$C$6,H56&lt;=$C$7),IF(""=IFERROR(INDEX(INDIRECT("Data!C"&amp;$K$4,FALSE),MATCH(H56,Data!$A:$A,0)),$W$17),$W$16,IFERROR(INDEX(INDIRECT("Data!C"&amp;$K$4,FALSE),MATCH(H56,Data!$A:$A,0)),$W$17)),"-")</f>
        <v>213</v>
      </c>
      <c r="Q56" s="21">
        <f ca="1">IF(AND(I56&gt;=$C$6,I56&lt;=$C$7),IF(""=IFERROR(INDEX(INDIRECT("Data!C"&amp;$K$4,FALSE),MATCH(I56,Data!$A:$A,0)),$W$17),$W$16,IFERROR(INDEX(INDIRECT("Data!C"&amp;$K$4,FALSE),MATCH(I56,Data!$A:$A,0)),$W$17)),"-")</f>
        <v>76</v>
      </c>
      <c r="R56" s="7"/>
      <c r="S56" s="36">
        <f t="shared" ca="1" si="40"/>
        <v>177.85714285714286</v>
      </c>
      <c r="T56" s="18">
        <f t="shared" ca="1" si="7"/>
        <v>177.85714285714286</v>
      </c>
    </row>
    <row r="57" spans="1:20" ht="12" customHeight="1" x14ac:dyDescent="0.2">
      <c r="A57" s="24" t="str">
        <f t="array" ref="A57">IFERROR(IF(MATCH(8,DAY(C57:I57),0),I57,""),"")</f>
        <v/>
      </c>
      <c r="C57" s="17">
        <f t="shared" si="8"/>
        <v>41574</v>
      </c>
      <c r="D57" s="17">
        <f t="shared" ref="D57:I57" si="51">C57+1</f>
        <v>41575</v>
      </c>
      <c r="E57" s="17">
        <f t="shared" si="51"/>
        <v>41576</v>
      </c>
      <c r="F57" s="17">
        <f t="shared" si="51"/>
        <v>41577</v>
      </c>
      <c r="G57" s="17">
        <f t="shared" si="51"/>
        <v>41578</v>
      </c>
      <c r="H57" s="17">
        <f t="shared" si="51"/>
        <v>41579</v>
      </c>
      <c r="I57" s="17">
        <f t="shared" si="51"/>
        <v>41580</v>
      </c>
      <c r="K57" s="21">
        <f ca="1">IF(AND(C57&gt;=$C$6,C57&lt;=$C$7),IF(""=IFERROR(INDEX(INDIRECT("Data!C"&amp;$K$4,FALSE),MATCH(C57,Data!$A:$A,0)),$W$17),$W$16,IFERROR(INDEX(INDIRECT("Data!C"&amp;$K$4,FALSE),MATCH(C57,Data!$A:$A,0)),$W$17)),"-")</f>
        <v>33</v>
      </c>
      <c r="L57" s="21">
        <f ca="1">IF(AND(D57&gt;=$C$6,D57&lt;=$C$7),IF(""=IFERROR(INDEX(INDIRECT("Data!C"&amp;$K$4,FALSE),MATCH(D57,Data!$A:$A,0)),$W$17),$W$16,IFERROR(INDEX(INDIRECT("Data!C"&amp;$K$4,FALSE),MATCH(D57,Data!$A:$A,0)),$W$17)),"-")</f>
        <v>335</v>
      </c>
      <c r="M57" s="21">
        <f ca="1">IF(AND(E57&gt;=$C$6,E57&lt;=$C$7),IF(""=IFERROR(INDEX(INDIRECT("Data!C"&amp;$K$4,FALSE),MATCH(E57,Data!$A:$A,0)),$W$17),$W$16,IFERROR(INDEX(INDIRECT("Data!C"&amp;$K$4,FALSE),MATCH(E57,Data!$A:$A,0)),$W$17)),"-")</f>
        <v>268</v>
      </c>
      <c r="N57" s="21">
        <f ca="1">IF(AND(F57&gt;=$C$6,F57&lt;=$C$7),IF(""=IFERROR(INDEX(INDIRECT("Data!C"&amp;$K$4,FALSE),MATCH(F57,Data!$A:$A,0)),$W$17),$W$16,IFERROR(INDEX(INDIRECT("Data!C"&amp;$K$4,FALSE),MATCH(F57,Data!$A:$A,0)),$W$17)),"-")</f>
        <v>214</v>
      </c>
      <c r="O57" s="21">
        <f ca="1">IF(AND(G57&gt;=$C$6,G57&lt;=$C$7),IF(""=IFERROR(INDEX(INDIRECT("Data!C"&amp;$K$4,FALSE),MATCH(G57,Data!$A:$A,0)),$W$17),$W$16,IFERROR(INDEX(INDIRECT("Data!C"&amp;$K$4,FALSE),MATCH(G57,Data!$A:$A,0)),$W$17)),"-")</f>
        <v>178</v>
      </c>
      <c r="P57" s="21">
        <f ca="1">IF(AND(H57&gt;=$C$6,H57&lt;=$C$7),IF(""=IFERROR(INDEX(INDIRECT("Data!C"&amp;$K$4,FALSE),MATCH(H57,Data!$A:$A,0)),$W$17),$W$16,IFERROR(INDEX(INDIRECT("Data!C"&amp;$K$4,FALSE),MATCH(H57,Data!$A:$A,0)),$W$17)),"-")</f>
        <v>254</v>
      </c>
      <c r="Q57" s="21">
        <f ca="1">IF(AND(I57&gt;=$C$6,I57&lt;=$C$7),IF(""=IFERROR(INDEX(INDIRECT("Data!C"&amp;$K$4,FALSE),MATCH(I57,Data!$A:$A,0)),$W$17),$W$16,IFERROR(INDEX(INDIRECT("Data!C"&amp;$K$4,FALSE),MATCH(I57,Data!$A:$A,0)),$W$17)),"-")</f>
        <v>65</v>
      </c>
      <c r="R57" s="7"/>
      <c r="S57" s="36">
        <f t="shared" ca="1" si="40"/>
        <v>192.42857142857142</v>
      </c>
      <c r="T57" s="18">
        <f t="shared" ca="1" si="7"/>
        <v>192.42857142857142</v>
      </c>
    </row>
    <row r="58" spans="1:20" ht="12" customHeight="1" x14ac:dyDescent="0.2">
      <c r="A58" s="24">
        <f t="array" ref="A58">IFERROR(IF(MATCH(8,DAY(C58:I58),0),I58,""),"")</f>
        <v>41587</v>
      </c>
      <c r="C58" s="17">
        <f t="shared" si="8"/>
        <v>41581</v>
      </c>
      <c r="D58" s="17">
        <f t="shared" ref="D58:I58" si="52">C58+1</f>
        <v>41582</v>
      </c>
      <c r="E58" s="17">
        <f t="shared" si="52"/>
        <v>41583</v>
      </c>
      <c r="F58" s="17">
        <f t="shared" si="52"/>
        <v>41584</v>
      </c>
      <c r="G58" s="17">
        <f t="shared" si="52"/>
        <v>41585</v>
      </c>
      <c r="H58" s="17">
        <f t="shared" si="52"/>
        <v>41586</v>
      </c>
      <c r="I58" s="17">
        <f t="shared" si="52"/>
        <v>41587</v>
      </c>
      <c r="K58" s="21">
        <f ca="1">IF(AND(C58&gt;=$C$6,C58&lt;=$C$7),IF(""=IFERROR(INDEX(INDIRECT("Data!C"&amp;$K$4,FALSE),MATCH(C58,Data!$A:$A,0)),$W$17),$W$16,IFERROR(INDEX(INDIRECT("Data!C"&amp;$K$4,FALSE),MATCH(C58,Data!$A:$A,0)),$W$17)),"-")</f>
        <v>36</v>
      </c>
      <c r="L58" s="21">
        <f ca="1">IF(AND(D58&gt;=$C$6,D58&lt;=$C$7),IF(""=IFERROR(INDEX(INDIRECT("Data!C"&amp;$K$4,FALSE),MATCH(D58,Data!$A:$A,0)),$W$17),$W$16,IFERROR(INDEX(INDIRECT("Data!C"&amp;$K$4,FALSE),MATCH(D58,Data!$A:$A,0)),$W$17)),"-")</f>
        <v>416</v>
      </c>
      <c r="M58" s="21">
        <f ca="1">IF(AND(E58&gt;=$C$6,E58&lt;=$C$7),IF(""=IFERROR(INDEX(INDIRECT("Data!C"&amp;$K$4,FALSE),MATCH(E58,Data!$A:$A,0)),$W$17),$W$16,IFERROR(INDEX(INDIRECT("Data!C"&amp;$K$4,FALSE),MATCH(E58,Data!$A:$A,0)),$W$17)),"-")</f>
        <v>365</v>
      </c>
      <c r="N58" s="21">
        <f ca="1">IF(AND(F58&gt;=$C$6,F58&lt;=$C$7),IF(""=IFERROR(INDEX(INDIRECT("Data!C"&amp;$K$4,FALSE),MATCH(F58,Data!$A:$A,0)),$W$17),$W$16,IFERROR(INDEX(INDIRECT("Data!C"&amp;$K$4,FALSE),MATCH(F58,Data!$A:$A,0)),$W$17)),"-")</f>
        <v>265</v>
      </c>
      <c r="O58" s="21">
        <f ca="1">IF(AND(G58&gt;=$C$6,G58&lt;=$C$7),IF(""=IFERROR(INDEX(INDIRECT("Data!C"&amp;$K$4,FALSE),MATCH(G58,Data!$A:$A,0)),$W$17),$W$16,IFERROR(INDEX(INDIRECT("Data!C"&amp;$K$4,FALSE),MATCH(G58,Data!$A:$A,0)),$W$17)),"-")</f>
        <v>270</v>
      </c>
      <c r="P58" s="21">
        <f ca="1">IF(AND(H58&gt;=$C$6,H58&lt;=$C$7),IF(""=IFERROR(INDEX(INDIRECT("Data!C"&amp;$K$4,FALSE),MATCH(H58,Data!$A:$A,0)),$W$17),$W$16,IFERROR(INDEX(INDIRECT("Data!C"&amp;$K$4,FALSE),MATCH(H58,Data!$A:$A,0)),$W$17)),"-")</f>
        <v>208</v>
      </c>
      <c r="Q58" s="21">
        <f ca="1">IF(AND(I58&gt;=$C$6,I58&lt;=$C$7),IF(""=IFERROR(INDEX(INDIRECT("Data!C"&amp;$K$4,FALSE),MATCH(I58,Data!$A:$A,0)),$W$17),$W$16,IFERROR(INDEX(INDIRECT("Data!C"&amp;$K$4,FALSE),MATCH(I58,Data!$A:$A,0)),$W$17)),"-")</f>
        <v>87</v>
      </c>
      <c r="R58" s="7"/>
      <c r="S58" s="36">
        <f t="shared" ca="1" si="40"/>
        <v>235.28571428571428</v>
      </c>
      <c r="T58" s="18">
        <f t="shared" ca="1" si="7"/>
        <v>235.28571428571428</v>
      </c>
    </row>
    <row r="59" spans="1:20" ht="12" customHeight="1" x14ac:dyDescent="0.2">
      <c r="A59" s="24" t="str">
        <f t="array" ref="A59">IFERROR(IF(MATCH(8,DAY(C59:I59),0),I59,""),"")</f>
        <v/>
      </c>
      <c r="C59" s="17">
        <f t="shared" si="8"/>
        <v>41588</v>
      </c>
      <c r="D59" s="17">
        <f t="shared" ref="D59:I59" si="53">C59+1</f>
        <v>41589</v>
      </c>
      <c r="E59" s="17">
        <f t="shared" si="53"/>
        <v>41590</v>
      </c>
      <c r="F59" s="17">
        <f t="shared" si="53"/>
        <v>41591</v>
      </c>
      <c r="G59" s="17">
        <f t="shared" si="53"/>
        <v>41592</v>
      </c>
      <c r="H59" s="17">
        <f t="shared" si="53"/>
        <v>41593</v>
      </c>
      <c r="I59" s="17">
        <f t="shared" si="53"/>
        <v>41594</v>
      </c>
      <c r="K59" s="21">
        <f ca="1">IF(AND(C59&gt;=$C$6,C59&lt;=$C$7),IF(""=IFERROR(INDEX(INDIRECT("Data!C"&amp;$K$4,FALSE),MATCH(C59,Data!$A:$A,0)),$W$17),$W$16,IFERROR(INDEX(INDIRECT("Data!C"&amp;$K$4,FALSE),MATCH(C59,Data!$A:$A,0)),$W$17)),"-")</f>
        <v>31</v>
      </c>
      <c r="L59" s="21">
        <f ca="1">IF(AND(D59&gt;=$C$6,D59&lt;=$C$7),IF(""=IFERROR(INDEX(INDIRECT("Data!C"&amp;$K$4,FALSE),MATCH(D59,Data!$A:$A,0)),$W$17),$W$16,IFERROR(INDEX(INDIRECT("Data!C"&amp;$K$4,FALSE),MATCH(D59,Data!$A:$A,0)),$W$17)),"-")</f>
        <v>371</v>
      </c>
      <c r="M59" s="21">
        <f ca="1">IF(AND(E59&gt;=$C$6,E59&lt;=$C$7),IF(""=IFERROR(INDEX(INDIRECT("Data!C"&amp;$K$4,FALSE),MATCH(E59,Data!$A:$A,0)),$W$17),$W$16,IFERROR(INDEX(INDIRECT("Data!C"&amp;$K$4,FALSE),MATCH(E59,Data!$A:$A,0)),$W$17)),"-")</f>
        <v>330</v>
      </c>
      <c r="N59" s="21">
        <f ca="1">IF(AND(F59&gt;=$C$6,F59&lt;=$C$7),IF(""=IFERROR(INDEX(INDIRECT("Data!C"&amp;$K$4,FALSE),MATCH(F59,Data!$A:$A,0)),$W$17),$W$16,IFERROR(INDEX(INDIRECT("Data!C"&amp;$K$4,FALSE),MATCH(F59,Data!$A:$A,0)),$W$17)),"-")</f>
        <v>273</v>
      </c>
      <c r="O59" s="21">
        <f ca="1">IF(AND(G59&gt;=$C$6,G59&lt;=$C$7),IF(""=IFERROR(INDEX(INDIRECT("Data!C"&amp;$K$4,FALSE),MATCH(G59,Data!$A:$A,0)),$W$17),$W$16,IFERROR(INDEX(INDIRECT("Data!C"&amp;$K$4,FALSE),MATCH(G59,Data!$A:$A,0)),$W$17)),"-")</f>
        <v>298</v>
      </c>
      <c r="P59" s="21">
        <f ca="1">IF(AND(H59&gt;=$C$6,H59&lt;=$C$7),IF(""=IFERROR(INDEX(INDIRECT("Data!C"&amp;$K$4,FALSE),MATCH(H59,Data!$A:$A,0)),$W$17),$W$16,IFERROR(INDEX(INDIRECT("Data!C"&amp;$K$4,FALSE),MATCH(H59,Data!$A:$A,0)),$W$17)),"-")</f>
        <v>189</v>
      </c>
      <c r="Q59" s="21">
        <f ca="1">IF(AND(I59&gt;=$C$6,I59&lt;=$C$7),IF(""=IFERROR(INDEX(INDIRECT("Data!C"&amp;$K$4,FALSE),MATCH(I59,Data!$A:$A,0)),$W$17),$W$16,IFERROR(INDEX(INDIRECT("Data!C"&amp;$K$4,FALSE),MATCH(I59,Data!$A:$A,0)),$W$17)),"-")</f>
        <v>93</v>
      </c>
      <c r="R59" s="7"/>
      <c r="S59" s="36">
        <f t="shared" ca="1" si="40"/>
        <v>226.42857142857142</v>
      </c>
      <c r="T59" s="18">
        <f t="shared" ca="1" si="7"/>
        <v>226.42857142857142</v>
      </c>
    </row>
    <row r="60" spans="1:20" ht="12" customHeight="1" x14ac:dyDescent="0.2">
      <c r="A60" s="24" t="str">
        <f t="array" ref="A60">IFERROR(IF(MATCH(8,DAY(C60:I60),0),I60,""),"")</f>
        <v/>
      </c>
      <c r="C60" s="17">
        <f t="shared" si="8"/>
        <v>41595</v>
      </c>
      <c r="D60" s="17">
        <f t="shared" ref="D60:I60" si="54">C60+1</f>
        <v>41596</v>
      </c>
      <c r="E60" s="17">
        <f t="shared" si="54"/>
        <v>41597</v>
      </c>
      <c r="F60" s="17">
        <f t="shared" si="54"/>
        <v>41598</v>
      </c>
      <c r="G60" s="17">
        <f t="shared" si="54"/>
        <v>41599</v>
      </c>
      <c r="H60" s="17">
        <f t="shared" si="54"/>
        <v>41600</v>
      </c>
      <c r="I60" s="17">
        <f t="shared" si="54"/>
        <v>41601</v>
      </c>
      <c r="K60" s="21">
        <f ca="1">IF(AND(C60&gt;=$C$6,C60&lt;=$C$7),IF(""=IFERROR(INDEX(INDIRECT("Data!C"&amp;$K$4,FALSE),MATCH(C60,Data!$A:$A,0)),$W$17),$W$16,IFERROR(INDEX(INDIRECT("Data!C"&amp;$K$4,FALSE),MATCH(C60,Data!$A:$A,0)),$W$17)),"-")</f>
        <v>47</v>
      </c>
      <c r="L60" s="21">
        <f ca="1">IF(AND(D60&gt;=$C$6,D60&lt;=$C$7),IF(""=IFERROR(INDEX(INDIRECT("Data!C"&amp;$K$4,FALSE),MATCH(D60,Data!$A:$A,0)),$W$17),$W$16,IFERROR(INDEX(INDIRECT("Data!C"&amp;$K$4,FALSE),MATCH(D60,Data!$A:$A,0)),$W$17)),"-")</f>
        <v>349</v>
      </c>
      <c r="M60" s="21">
        <f ca="1">IF(AND(E60&gt;=$C$6,E60&lt;=$C$7),IF(""=IFERROR(INDEX(INDIRECT("Data!C"&amp;$K$4,FALSE),MATCH(E60,Data!$A:$A,0)),$W$17),$W$16,IFERROR(INDEX(INDIRECT("Data!C"&amp;$K$4,FALSE),MATCH(E60,Data!$A:$A,0)),$W$17)),"-")</f>
        <v>283</v>
      </c>
      <c r="N60" s="21">
        <f ca="1">IF(AND(F60&gt;=$C$6,F60&lt;=$C$7),IF(""=IFERROR(INDEX(INDIRECT("Data!C"&amp;$K$4,FALSE),MATCH(F60,Data!$A:$A,0)),$W$17),$W$16,IFERROR(INDEX(INDIRECT("Data!C"&amp;$K$4,FALSE),MATCH(F60,Data!$A:$A,0)),$W$17)),"-")</f>
        <v>309</v>
      </c>
      <c r="O60" s="21">
        <f ca="1">IF(AND(G60&gt;=$C$6,G60&lt;=$C$7),IF(""=IFERROR(INDEX(INDIRECT("Data!C"&amp;$K$4,FALSE),MATCH(G60,Data!$A:$A,0)),$W$17),$W$16,IFERROR(INDEX(INDIRECT("Data!C"&amp;$K$4,FALSE),MATCH(G60,Data!$A:$A,0)),$W$17)),"-")</f>
        <v>212</v>
      </c>
      <c r="P60" s="21">
        <f ca="1">IF(AND(H60&gt;=$C$6,H60&lt;=$C$7),IF(""=IFERROR(INDEX(INDIRECT("Data!C"&amp;$K$4,FALSE),MATCH(H60,Data!$A:$A,0)),$W$17),$W$16,IFERROR(INDEX(INDIRECT("Data!C"&amp;$K$4,FALSE),MATCH(H60,Data!$A:$A,0)),$W$17)),"-")</f>
        <v>223</v>
      </c>
      <c r="Q60" s="21">
        <f ca="1">IF(AND(I60&gt;=$C$6,I60&lt;=$C$7),IF(""=IFERROR(INDEX(INDIRECT("Data!C"&amp;$K$4,FALSE),MATCH(I60,Data!$A:$A,0)),$W$17),$W$16,IFERROR(INDEX(INDIRECT("Data!C"&amp;$K$4,FALSE),MATCH(I60,Data!$A:$A,0)),$W$17)),"-")</f>
        <v>62</v>
      </c>
      <c r="R60" s="7"/>
      <c r="S60" s="36">
        <f t="shared" ca="1" si="40"/>
        <v>212.14285714285714</v>
      </c>
      <c r="T60" s="18">
        <f t="shared" ca="1" si="7"/>
        <v>212.14285714285714</v>
      </c>
    </row>
    <row r="61" spans="1:20" ht="12" customHeight="1" x14ac:dyDescent="0.2">
      <c r="A61" s="24" t="str">
        <f t="array" ref="A61">IFERROR(IF(MATCH(8,DAY(C61:I61),0),I61,""),"")</f>
        <v/>
      </c>
      <c r="C61" s="17">
        <f t="shared" si="8"/>
        <v>41602</v>
      </c>
      <c r="D61" s="17">
        <f t="shared" ref="D61:I61" si="55">C61+1</f>
        <v>41603</v>
      </c>
      <c r="E61" s="17">
        <f t="shared" si="55"/>
        <v>41604</v>
      </c>
      <c r="F61" s="17">
        <f t="shared" si="55"/>
        <v>41605</v>
      </c>
      <c r="G61" s="17">
        <f t="shared" si="55"/>
        <v>41606</v>
      </c>
      <c r="H61" s="17">
        <f t="shared" si="55"/>
        <v>41607</v>
      </c>
      <c r="I61" s="17">
        <f t="shared" si="55"/>
        <v>41608</v>
      </c>
      <c r="K61" s="21">
        <f ca="1">IF(AND(C61&gt;=$C$6,C61&lt;=$C$7),IF(""=IFERROR(INDEX(INDIRECT("Data!C"&amp;$K$4,FALSE),MATCH(C61,Data!$A:$A,0)),$W$17),$W$16,IFERROR(INDEX(INDIRECT("Data!C"&amp;$K$4,FALSE),MATCH(C61,Data!$A:$A,0)),$W$17)),"-")</f>
        <v>37</v>
      </c>
      <c r="L61" s="21">
        <f ca="1">IF(AND(D61&gt;=$C$6,D61&lt;=$C$7),IF(""=IFERROR(INDEX(INDIRECT("Data!C"&amp;$K$4,FALSE),MATCH(D61,Data!$A:$A,0)),$W$17),$W$16,IFERROR(INDEX(INDIRECT("Data!C"&amp;$K$4,FALSE),MATCH(D61,Data!$A:$A,0)),$W$17)),"-")</f>
        <v>415</v>
      </c>
      <c r="M61" s="21">
        <f ca="1">IF(AND(E61&gt;=$C$6,E61&lt;=$C$7),IF(""=IFERROR(INDEX(INDIRECT("Data!C"&amp;$K$4,FALSE),MATCH(E61,Data!$A:$A,0)),$W$17),$W$16,IFERROR(INDEX(INDIRECT("Data!C"&amp;$K$4,FALSE),MATCH(E61,Data!$A:$A,0)),$W$17)),"-")</f>
        <v>381</v>
      </c>
      <c r="N61" s="21">
        <f ca="1">IF(AND(F61&gt;=$C$6,F61&lt;=$C$7),IF(""=IFERROR(INDEX(INDIRECT("Data!C"&amp;$K$4,FALSE),MATCH(F61,Data!$A:$A,0)),$W$17),$W$16,IFERROR(INDEX(INDIRECT("Data!C"&amp;$K$4,FALSE),MATCH(F61,Data!$A:$A,0)),$W$17)),"-")</f>
        <v>251</v>
      </c>
      <c r="O61" s="21">
        <f ca="1">IF(AND(G61&gt;=$C$6,G61&lt;=$C$7),IF(""=IFERROR(INDEX(INDIRECT("Data!C"&amp;$K$4,FALSE),MATCH(G61,Data!$A:$A,0)),$W$17),$W$16,IFERROR(INDEX(INDIRECT("Data!C"&amp;$K$4,FALSE),MATCH(G61,Data!$A:$A,0)),$W$17)),"-")</f>
        <v>245</v>
      </c>
      <c r="P61" s="21">
        <f ca="1">IF(AND(H61&gt;=$C$6,H61&lt;=$C$7),IF(""=IFERROR(INDEX(INDIRECT("Data!C"&amp;$K$4,FALSE),MATCH(H61,Data!$A:$A,0)),$W$17),$W$16,IFERROR(INDEX(INDIRECT("Data!C"&amp;$K$4,FALSE),MATCH(H61,Data!$A:$A,0)),$W$17)),"-")</f>
        <v>165</v>
      </c>
      <c r="Q61" s="21">
        <f ca="1">IF(AND(I61&gt;=$C$6,I61&lt;=$C$7),IF(""=IFERROR(INDEX(INDIRECT("Data!C"&amp;$K$4,FALSE),MATCH(I61,Data!$A:$A,0)),$W$17),$W$16,IFERROR(INDEX(INDIRECT("Data!C"&amp;$K$4,FALSE),MATCH(I61,Data!$A:$A,0)),$W$17)),"-")</f>
        <v>86</v>
      </c>
      <c r="R61" s="7"/>
      <c r="S61" s="36">
        <f t="shared" ca="1" si="40"/>
        <v>225.71428571428572</v>
      </c>
      <c r="T61" s="18">
        <f t="shared" ca="1" si="7"/>
        <v>225.71428571428572</v>
      </c>
    </row>
    <row r="62" spans="1:20" ht="12" customHeight="1" x14ac:dyDescent="0.2">
      <c r="A62" s="24" t="str">
        <f t="array" ref="A62">IFERROR(IF(MATCH(8,DAY(C62:I62),0),I62,""),"")</f>
        <v/>
      </c>
      <c r="C62" s="17">
        <f t="shared" si="8"/>
        <v>41609</v>
      </c>
      <c r="D62" s="17">
        <f t="shared" ref="D62:I62" si="56">C62+1</f>
        <v>41610</v>
      </c>
      <c r="E62" s="17">
        <f t="shared" si="56"/>
        <v>41611</v>
      </c>
      <c r="F62" s="17">
        <f t="shared" si="56"/>
        <v>41612</v>
      </c>
      <c r="G62" s="17">
        <f t="shared" si="56"/>
        <v>41613</v>
      </c>
      <c r="H62" s="17">
        <f t="shared" si="56"/>
        <v>41614</v>
      </c>
      <c r="I62" s="17">
        <f t="shared" si="56"/>
        <v>41615</v>
      </c>
      <c r="K62" s="21">
        <f ca="1">IF(AND(C62&gt;=$C$6,C62&lt;=$C$7),IF(""=IFERROR(INDEX(INDIRECT("Data!C"&amp;$K$4,FALSE),MATCH(C62,Data!$A:$A,0)),$W$17),$W$16,IFERROR(INDEX(INDIRECT("Data!C"&amp;$K$4,FALSE),MATCH(C62,Data!$A:$A,0)),$W$17)),"-")</f>
        <v>30</v>
      </c>
      <c r="L62" s="21">
        <f ca="1">IF(AND(D62&gt;=$C$6,D62&lt;=$C$7),IF(""=IFERROR(INDEX(INDIRECT("Data!C"&amp;$K$4,FALSE),MATCH(D62,Data!$A:$A,0)),$W$17),$W$16,IFERROR(INDEX(INDIRECT("Data!C"&amp;$K$4,FALSE),MATCH(D62,Data!$A:$A,0)),$W$17)),"-")</f>
        <v>265</v>
      </c>
      <c r="M62" s="21">
        <f ca="1">IF(AND(E62&gt;=$C$6,E62&lt;=$C$7),IF(""=IFERROR(INDEX(INDIRECT("Data!C"&amp;$K$4,FALSE),MATCH(E62,Data!$A:$A,0)),$W$17),$W$16,IFERROR(INDEX(INDIRECT("Data!C"&amp;$K$4,FALSE),MATCH(E62,Data!$A:$A,0)),$W$17)),"-")</f>
        <v>278</v>
      </c>
      <c r="N62" s="21">
        <f ca="1">IF(AND(F62&gt;=$C$6,F62&lt;=$C$7),IF(""=IFERROR(INDEX(INDIRECT("Data!C"&amp;$K$4,FALSE),MATCH(F62,Data!$A:$A,0)),$W$17),$W$16,IFERROR(INDEX(INDIRECT("Data!C"&amp;$K$4,FALSE),MATCH(F62,Data!$A:$A,0)),$W$17)),"-")</f>
        <v>239</v>
      </c>
      <c r="O62" s="21">
        <f ca="1">IF(AND(G62&gt;=$C$6,G62&lt;=$C$7),IF(""=IFERROR(INDEX(INDIRECT("Data!C"&amp;$K$4,FALSE),MATCH(G62,Data!$A:$A,0)),$W$17),$W$16,IFERROR(INDEX(INDIRECT("Data!C"&amp;$K$4,FALSE),MATCH(G62,Data!$A:$A,0)),$W$17)),"-")</f>
        <v>279</v>
      </c>
      <c r="P62" s="21">
        <f ca="1">IF(AND(H62&gt;=$C$6,H62&lt;=$C$7),IF(""=IFERROR(INDEX(INDIRECT("Data!C"&amp;$K$4,FALSE),MATCH(H62,Data!$A:$A,0)),$W$17),$W$16,IFERROR(INDEX(INDIRECT("Data!C"&amp;$K$4,FALSE),MATCH(H62,Data!$A:$A,0)),$W$17)),"-")</f>
        <v>190</v>
      </c>
      <c r="Q62" s="21">
        <f ca="1">IF(AND(I62&gt;=$C$6,I62&lt;=$C$7),IF(""=IFERROR(INDEX(INDIRECT("Data!C"&amp;$K$4,FALSE),MATCH(I62,Data!$A:$A,0)),$W$17),$W$16,IFERROR(INDEX(INDIRECT("Data!C"&amp;$K$4,FALSE),MATCH(I62,Data!$A:$A,0)),$W$17)),"-")</f>
        <v>52</v>
      </c>
      <c r="R62" s="7"/>
      <c r="S62" s="36">
        <f t="shared" ca="1" si="40"/>
        <v>190.42857142857142</v>
      </c>
      <c r="T62" s="18">
        <f t="shared" ca="1" si="7"/>
        <v>190.42857142857142</v>
      </c>
    </row>
    <row r="63" spans="1:20" ht="12" customHeight="1" x14ac:dyDescent="0.2">
      <c r="A63" s="24">
        <f t="array" ref="A63">IFERROR(IF(MATCH(8,DAY(C63:I63),0),I63,""),"")</f>
        <v>41622</v>
      </c>
      <c r="C63" s="17">
        <f t="shared" si="8"/>
        <v>41616</v>
      </c>
      <c r="D63" s="17">
        <f t="shared" ref="D63:I63" si="57">C63+1</f>
        <v>41617</v>
      </c>
      <c r="E63" s="17">
        <f t="shared" si="57"/>
        <v>41618</v>
      </c>
      <c r="F63" s="17">
        <f t="shared" si="57"/>
        <v>41619</v>
      </c>
      <c r="G63" s="17">
        <f t="shared" si="57"/>
        <v>41620</v>
      </c>
      <c r="H63" s="17">
        <f t="shared" si="57"/>
        <v>41621</v>
      </c>
      <c r="I63" s="17">
        <f t="shared" si="57"/>
        <v>41622</v>
      </c>
      <c r="K63" s="21">
        <f ca="1">IF(AND(C63&gt;=$C$6,C63&lt;=$C$7),IF(""=IFERROR(INDEX(INDIRECT("Data!C"&amp;$K$4,FALSE),MATCH(C63,Data!$A:$A,0)),$W$17),$W$16,IFERROR(INDEX(INDIRECT("Data!C"&amp;$K$4,FALSE),MATCH(C63,Data!$A:$A,0)),$W$17)),"-")</f>
        <v>28</v>
      </c>
      <c r="L63" s="21">
        <f ca="1">IF(AND(D63&gt;=$C$6,D63&lt;=$C$7),IF(""=IFERROR(INDEX(INDIRECT("Data!C"&amp;$K$4,FALSE),MATCH(D63,Data!$A:$A,0)),$W$17),$W$16,IFERROR(INDEX(INDIRECT("Data!C"&amp;$K$4,FALSE),MATCH(D63,Data!$A:$A,0)),$W$17)),"-")</f>
        <v>292</v>
      </c>
      <c r="M63" s="21">
        <f ca="1">IF(AND(E63&gt;=$C$6,E63&lt;=$C$7),IF(""=IFERROR(INDEX(INDIRECT("Data!C"&amp;$K$4,FALSE),MATCH(E63,Data!$A:$A,0)),$W$17),$W$16,IFERROR(INDEX(INDIRECT("Data!C"&amp;$K$4,FALSE),MATCH(E63,Data!$A:$A,0)),$W$17)),"-")</f>
        <v>334</v>
      </c>
      <c r="N63" s="21">
        <f ca="1">IF(AND(F63&gt;=$C$6,F63&lt;=$C$7),IF(""=IFERROR(INDEX(INDIRECT("Data!C"&amp;$K$4,FALSE),MATCH(F63,Data!$A:$A,0)),$W$17),$W$16,IFERROR(INDEX(INDIRECT("Data!C"&amp;$K$4,FALSE),MATCH(F63,Data!$A:$A,0)),$W$17)),"-")</f>
        <v>240</v>
      </c>
      <c r="O63" s="21">
        <f ca="1">IF(AND(G63&gt;=$C$6,G63&lt;=$C$7),IF(""=IFERROR(INDEX(INDIRECT("Data!C"&amp;$K$4,FALSE),MATCH(G63,Data!$A:$A,0)),$W$17),$W$16,IFERROR(INDEX(INDIRECT("Data!C"&amp;$K$4,FALSE),MATCH(G63,Data!$A:$A,0)),$W$17)),"-")</f>
        <v>161</v>
      </c>
      <c r="P63" s="21">
        <f ca="1">IF(AND(H63&gt;=$C$6,H63&lt;=$C$7),IF(""=IFERROR(INDEX(INDIRECT("Data!C"&amp;$K$4,FALSE),MATCH(H63,Data!$A:$A,0)),$W$17),$W$16,IFERROR(INDEX(INDIRECT("Data!C"&amp;$K$4,FALSE),MATCH(H63,Data!$A:$A,0)),$W$17)),"-")</f>
        <v>220</v>
      </c>
      <c r="Q63" s="21">
        <f ca="1">IF(AND(I63&gt;=$C$6,I63&lt;=$C$7),IF(""=IFERROR(INDEX(INDIRECT("Data!C"&amp;$K$4,FALSE),MATCH(I63,Data!$A:$A,0)),$W$17),$W$16,IFERROR(INDEX(INDIRECT("Data!C"&amp;$K$4,FALSE),MATCH(I63,Data!$A:$A,0)),$W$17)),"-")</f>
        <v>66</v>
      </c>
      <c r="R63" s="7"/>
      <c r="S63" s="36">
        <f t="shared" ca="1" si="40"/>
        <v>191.57142857142858</v>
      </c>
      <c r="T63" s="18">
        <f t="shared" ca="1" si="7"/>
        <v>191.57142857142858</v>
      </c>
    </row>
    <row r="64" spans="1:20" ht="12" customHeight="1" x14ac:dyDescent="0.2">
      <c r="A64" s="24" t="str">
        <f t="array" ref="A64">IFERROR(IF(MATCH(8,DAY(C64:I64),0),I64,""),"")</f>
        <v/>
      </c>
      <c r="C64" s="17">
        <f t="shared" si="8"/>
        <v>41623</v>
      </c>
      <c r="D64" s="17">
        <f t="shared" ref="D64:I64" si="58">C64+1</f>
        <v>41624</v>
      </c>
      <c r="E64" s="17">
        <f t="shared" si="58"/>
        <v>41625</v>
      </c>
      <c r="F64" s="17">
        <f t="shared" si="58"/>
        <v>41626</v>
      </c>
      <c r="G64" s="17">
        <f t="shared" si="58"/>
        <v>41627</v>
      </c>
      <c r="H64" s="17">
        <f t="shared" si="58"/>
        <v>41628</v>
      </c>
      <c r="I64" s="17">
        <f t="shared" si="58"/>
        <v>41629</v>
      </c>
      <c r="K64" s="21">
        <f ca="1">IF(AND(C64&gt;=$C$6,C64&lt;=$C$7),IF(""=IFERROR(INDEX(INDIRECT("Data!C"&amp;$K$4,FALSE),MATCH(C64,Data!$A:$A,0)),$W$17),$W$16,IFERROR(INDEX(INDIRECT("Data!C"&amp;$K$4,FALSE),MATCH(C64,Data!$A:$A,0)),$W$17)),"-")</f>
        <v>29</v>
      </c>
      <c r="L64" s="21">
        <f ca="1">IF(AND(D64&gt;=$C$6,D64&lt;=$C$7),IF(""=IFERROR(INDEX(INDIRECT("Data!C"&amp;$K$4,FALSE),MATCH(D64,Data!$A:$A,0)),$W$17),$W$16,IFERROR(INDEX(INDIRECT("Data!C"&amp;$K$4,FALSE),MATCH(D64,Data!$A:$A,0)),$W$17)),"-")</f>
        <v>352</v>
      </c>
      <c r="M64" s="21">
        <f ca="1">IF(AND(E64&gt;=$C$6,E64&lt;=$C$7),IF(""=IFERROR(INDEX(INDIRECT("Data!C"&amp;$K$4,FALSE),MATCH(E64,Data!$A:$A,0)),$W$17),$W$16,IFERROR(INDEX(INDIRECT("Data!C"&amp;$K$4,FALSE),MATCH(E64,Data!$A:$A,0)),$W$17)),"-")</f>
        <v>144</v>
      </c>
      <c r="N64" s="21">
        <f ca="1">IF(AND(F64&gt;=$C$6,F64&lt;=$C$7),IF(""=IFERROR(INDEX(INDIRECT("Data!C"&amp;$K$4,FALSE),MATCH(F64,Data!$A:$A,0)),$W$17),$W$16,IFERROR(INDEX(INDIRECT("Data!C"&amp;$K$4,FALSE),MATCH(F64,Data!$A:$A,0)),$W$17)),"-")</f>
        <v>254</v>
      </c>
      <c r="O64" s="21">
        <f ca="1">IF(AND(G64&gt;=$C$6,G64&lt;=$C$7),IF(""=IFERROR(INDEX(INDIRECT("Data!C"&amp;$K$4,FALSE),MATCH(G64,Data!$A:$A,0)),$W$17),$W$16,IFERROR(INDEX(INDIRECT("Data!C"&amp;$K$4,FALSE),MATCH(G64,Data!$A:$A,0)),$W$17)),"-")</f>
        <v>125</v>
      </c>
      <c r="P64" s="21">
        <f ca="1">IF(AND(H64&gt;=$C$6,H64&lt;=$C$7),IF(""=IFERROR(INDEX(INDIRECT("Data!C"&amp;$K$4,FALSE),MATCH(H64,Data!$A:$A,0)),$W$17),$W$16,IFERROR(INDEX(INDIRECT("Data!C"&amp;$K$4,FALSE),MATCH(H64,Data!$A:$A,0)),$W$17)),"-")</f>
        <v>158</v>
      </c>
      <c r="Q64" s="21">
        <f ca="1">IF(AND(I64&gt;=$C$6,I64&lt;=$C$7),IF(""=IFERROR(INDEX(INDIRECT("Data!C"&amp;$K$4,FALSE),MATCH(I64,Data!$A:$A,0)),$W$17),$W$16,IFERROR(INDEX(INDIRECT("Data!C"&amp;$K$4,FALSE),MATCH(I64,Data!$A:$A,0)),$W$17)),"-")</f>
        <v>39</v>
      </c>
      <c r="R64" s="7"/>
      <c r="S64" s="36">
        <f t="shared" ca="1" si="40"/>
        <v>157.28571428571428</v>
      </c>
      <c r="T64" s="18">
        <f t="shared" ca="1" si="7"/>
        <v>157.28571428571428</v>
      </c>
    </row>
    <row r="65" spans="1:20" ht="12" customHeight="1" x14ac:dyDescent="0.2">
      <c r="A65" s="24" t="str">
        <f t="array" ref="A65">IFERROR(IF(MATCH(8,DAY(C65:I65),0),I65,""),"")</f>
        <v/>
      </c>
      <c r="C65" s="17">
        <f t="shared" si="8"/>
        <v>41630</v>
      </c>
      <c r="D65" s="17">
        <f t="shared" ref="D65:D66" si="59">C65+1</f>
        <v>41631</v>
      </c>
      <c r="E65" s="17">
        <f t="shared" ref="E65:E66" si="60">D65+1</f>
        <v>41632</v>
      </c>
      <c r="F65" s="17">
        <f t="shared" ref="F65:F66" si="61">E65+1</f>
        <v>41633</v>
      </c>
      <c r="G65" s="17">
        <f t="shared" ref="G65:G66" si="62">F65+1</f>
        <v>41634</v>
      </c>
      <c r="H65" s="17">
        <f t="shared" ref="H65:H66" si="63">G65+1</f>
        <v>41635</v>
      </c>
      <c r="I65" s="17">
        <f t="shared" ref="I65:I66" si="64">H65+1</f>
        <v>41636</v>
      </c>
      <c r="K65" s="21">
        <f ca="1">IF(AND(C65&gt;=$C$6,C65&lt;=$C$7),IF(""=IFERROR(INDEX(INDIRECT("Data!C"&amp;$K$4,FALSE),MATCH(C65,Data!$A:$A,0)),$W$17),$W$16,IFERROR(INDEX(INDIRECT("Data!C"&amp;$K$4,FALSE),MATCH(C65,Data!$A:$A,0)),$W$17)),"-")</f>
        <v>13</v>
      </c>
      <c r="L65" s="21">
        <f ca="1">IF(AND(D65&gt;=$C$6,D65&lt;=$C$7),IF(""=IFERROR(INDEX(INDIRECT("Data!C"&amp;$K$4,FALSE),MATCH(D65,Data!$A:$A,0)),$W$17),$W$16,IFERROR(INDEX(INDIRECT("Data!C"&amp;$K$4,FALSE),MATCH(D65,Data!$A:$A,0)),$W$17)),"-")</f>
        <v>239</v>
      </c>
      <c r="M65" s="21">
        <f ca="1">IF(AND(E65&gt;=$C$6,E65&lt;=$C$7),IF(""=IFERROR(INDEX(INDIRECT("Data!C"&amp;$K$4,FALSE),MATCH(E65,Data!$A:$A,0)),$W$17),$W$16,IFERROR(INDEX(INDIRECT("Data!C"&amp;$K$4,FALSE),MATCH(E65,Data!$A:$A,0)),$W$17)),"-")</f>
        <v>125</v>
      </c>
      <c r="N65" s="21">
        <f ca="1">IF(AND(F65&gt;=$C$6,F65&lt;=$C$7),IF(""=IFERROR(INDEX(INDIRECT("Data!C"&amp;$K$4,FALSE),MATCH(F65,Data!$A:$A,0)),$W$17),$W$16,IFERROR(INDEX(INDIRECT("Data!C"&amp;$K$4,FALSE),MATCH(F65,Data!$A:$A,0)),$W$17)),"-")</f>
        <v>116</v>
      </c>
      <c r="O65" s="21">
        <f ca="1">IF(AND(G65&gt;=$C$6,G65&lt;=$C$7),IF(""=IFERROR(INDEX(INDIRECT("Data!C"&amp;$K$4,FALSE),MATCH(G65,Data!$A:$A,0)),$W$17),$W$16,IFERROR(INDEX(INDIRECT("Data!C"&amp;$K$4,FALSE),MATCH(G65,Data!$A:$A,0)),$W$17)),"-")</f>
        <v>169</v>
      </c>
      <c r="P65" s="21">
        <f ca="1">IF(AND(H65&gt;=$C$6,H65&lt;=$C$7),IF(""=IFERROR(INDEX(INDIRECT("Data!C"&amp;$K$4,FALSE),MATCH(H65,Data!$A:$A,0)),$W$17),$W$16,IFERROR(INDEX(INDIRECT("Data!C"&amp;$K$4,FALSE),MATCH(H65,Data!$A:$A,0)),$W$17)),"-")</f>
        <v>144</v>
      </c>
      <c r="Q65" s="21">
        <f ca="1">IF(AND(I65&gt;=$C$6,I65&lt;=$C$7),IF(""=IFERROR(INDEX(INDIRECT("Data!C"&amp;$K$4,FALSE),MATCH(I65,Data!$A:$A,0)),$W$17),$W$16,IFERROR(INDEX(INDIRECT("Data!C"&amp;$K$4,FALSE),MATCH(I65,Data!$A:$A,0)),$W$17)),"-")</f>
        <v>43</v>
      </c>
      <c r="R65" s="7"/>
      <c r="S65" s="36">
        <f t="shared" ca="1" si="40"/>
        <v>121.28571428571429</v>
      </c>
      <c r="T65" s="18">
        <f t="shared" ca="1" si="7"/>
        <v>121.28571428571429</v>
      </c>
    </row>
    <row r="66" spans="1:20" ht="12" customHeight="1" x14ac:dyDescent="0.2">
      <c r="A66" s="24" t="str">
        <f t="array" ref="A66">IFERROR(IF(MATCH(8,DAY(C66:I66),0),I66,""),"")</f>
        <v/>
      </c>
      <c r="C66" s="17">
        <f t="shared" si="8"/>
        <v>41637</v>
      </c>
      <c r="D66" s="17">
        <f t="shared" si="59"/>
        <v>41638</v>
      </c>
      <c r="E66" s="17">
        <f t="shared" si="60"/>
        <v>41639</v>
      </c>
      <c r="F66" s="17">
        <f t="shared" si="61"/>
        <v>41640</v>
      </c>
      <c r="G66" s="17">
        <f t="shared" si="62"/>
        <v>41641</v>
      </c>
      <c r="H66" s="17">
        <f t="shared" si="63"/>
        <v>41642</v>
      </c>
      <c r="I66" s="17">
        <f t="shared" si="64"/>
        <v>41643</v>
      </c>
      <c r="K66" s="21">
        <f ca="1">IF(AND(C66&gt;=$C$6,C66&lt;=$C$7),IF(""=IFERROR(INDEX(INDIRECT("Data!C"&amp;$K$4,FALSE),MATCH(C66,Data!$A:$A,0)),$W$17),$W$16,IFERROR(INDEX(INDIRECT("Data!C"&amp;$K$4,FALSE),MATCH(C66,Data!$A:$A,0)),$W$17)),"-")</f>
        <v>27</v>
      </c>
      <c r="L66" s="21">
        <f ca="1">IF(AND(D66&gt;=$C$6,D66&lt;=$C$7),IF(""=IFERROR(INDEX(INDIRECT("Data!C"&amp;$K$4,FALSE),MATCH(D66,Data!$A:$A,0)),$W$17),$W$16,IFERROR(INDEX(INDIRECT("Data!C"&amp;$K$4,FALSE),MATCH(D66,Data!$A:$A,0)),$W$17)),"-")</f>
        <v>249</v>
      </c>
      <c r="M66" s="21">
        <f ca="1">IF(AND(E66&gt;=$C$6,E66&lt;=$C$7),IF(""=IFERROR(INDEX(INDIRECT("Data!C"&amp;$K$4,FALSE),MATCH(E66,Data!$A:$A,0)),$W$17),$W$16,IFERROR(INDEX(INDIRECT("Data!C"&amp;$K$4,FALSE),MATCH(E66,Data!$A:$A,0)),$W$17)),"-")</f>
        <v>269</v>
      </c>
      <c r="N66" s="21">
        <f ca="1">IF(AND(F66&gt;=$C$6,F66&lt;=$C$7),IF(""=IFERROR(INDEX(INDIRECT("Data!C"&amp;$K$4,FALSE),MATCH(F66,Data!$A:$A,0)),$W$17),$W$16,IFERROR(INDEX(INDIRECT("Data!C"&amp;$K$4,FALSE),MATCH(F66,Data!$A:$A,0)),$W$17)),"-")</f>
        <v>154</v>
      </c>
      <c r="O66" s="21">
        <f ca="1">IF(AND(G66&gt;=$C$6,G66&lt;=$C$7),IF(""=IFERROR(INDEX(INDIRECT("Data!C"&amp;$K$4,FALSE),MATCH(G66,Data!$A:$A,0)),$W$17),$W$16,IFERROR(INDEX(INDIRECT("Data!C"&amp;$K$4,FALSE),MATCH(G66,Data!$A:$A,0)),$W$17)),"-")</f>
        <v>123</v>
      </c>
      <c r="P66" s="21">
        <f ca="1">IF(AND(H66&gt;=$C$6,H66&lt;=$C$7),IF(""=IFERROR(INDEX(INDIRECT("Data!C"&amp;$K$4,FALSE),MATCH(H66,Data!$A:$A,0)),$W$17),$W$16,IFERROR(INDEX(INDIRECT("Data!C"&amp;$K$4,FALSE),MATCH(H66,Data!$A:$A,0)),$W$17)),"-")</f>
        <v>88</v>
      </c>
      <c r="Q66" s="21">
        <f ca="1">IF(AND(I66&gt;=$C$6,I66&lt;=$C$7),IF(""=IFERROR(INDEX(INDIRECT("Data!C"&amp;$K$4,FALSE),MATCH(I66,Data!$A:$A,0)),$W$17),$W$16,IFERROR(INDEX(INDIRECT("Data!C"&amp;$K$4,FALSE),MATCH(I66,Data!$A:$A,0)),$W$17)),"-")</f>
        <v>20</v>
      </c>
      <c r="R66" s="7"/>
      <c r="S66" s="36">
        <f t="shared" ca="1" si="40"/>
        <v>132.85714285714286</v>
      </c>
      <c r="T66" s="18">
        <f t="shared" ca="1" si="7"/>
        <v>132.85714285714286</v>
      </c>
    </row>
    <row r="69" spans="1:20" ht="14.25" x14ac:dyDescent="0.2">
      <c r="K69" s="57" t="s">
        <v>52</v>
      </c>
      <c r="L69" s="57"/>
    </row>
    <row r="70" spans="1:20" x14ac:dyDescent="0.2">
      <c r="K70" s="79" t="s">
        <v>1</v>
      </c>
      <c r="L70" s="79" t="str">
        <f>C4</f>
        <v>Sample</v>
      </c>
    </row>
    <row r="71" spans="1:20" x14ac:dyDescent="0.2">
      <c r="K71" s="56">
        <f>C6</f>
        <v>41275</v>
      </c>
      <c r="L71" s="41">
        <f ca="1">IFERROR(INDEX(INDIRECT("Data!C"&amp;'1-Year'!$K$4,FALSE),MATCH(K71,Data!$A:$A,0)),NA())</f>
        <v>126</v>
      </c>
    </row>
    <row r="72" spans="1:20" x14ac:dyDescent="0.2">
      <c r="K72" s="56">
        <f>IF(K71+1&lt;=$C$7,K71+1,NA())</f>
        <v>41276</v>
      </c>
      <c r="L72" s="41">
        <f ca="1">IFERROR(INDEX(INDIRECT("Data!C"&amp;'1-Year'!$K$4,FALSE),MATCH(K72,Data!$A:$A,0)),NA())</f>
        <v>141</v>
      </c>
    </row>
    <row r="73" spans="1:20" x14ac:dyDescent="0.2">
      <c r="K73" s="56">
        <f t="shared" ref="K73:K135" si="65">IF(K72+1&lt;=$C$7,K72+1,NA())</f>
        <v>41277</v>
      </c>
      <c r="L73" s="41">
        <f ca="1">IFERROR(INDEX(INDIRECT("Data!C"&amp;'1-Year'!$K$4,FALSE),MATCH(K73,Data!$A:$A,0)),NA())</f>
        <v>86</v>
      </c>
    </row>
    <row r="74" spans="1:20" x14ac:dyDescent="0.2">
      <c r="K74" s="56">
        <f t="shared" si="65"/>
        <v>41278</v>
      </c>
      <c r="L74" s="41">
        <f ca="1">IFERROR(INDEX(INDIRECT("Data!C"&amp;'1-Year'!$K$4,FALSE),MATCH(K74,Data!$A:$A,0)),NA())</f>
        <v>109</v>
      </c>
    </row>
    <row r="75" spans="1:20" x14ac:dyDescent="0.2">
      <c r="K75" s="56">
        <f t="shared" si="65"/>
        <v>41279</v>
      </c>
      <c r="L75" s="41">
        <f ca="1">IFERROR(INDEX(INDIRECT("Data!C"&amp;'1-Year'!$K$4,FALSE),MATCH(K75,Data!$A:$A,0)),NA())</f>
        <v>45</v>
      </c>
    </row>
    <row r="76" spans="1:20" x14ac:dyDescent="0.2">
      <c r="K76" s="56">
        <f t="shared" si="65"/>
        <v>41280</v>
      </c>
      <c r="L76" s="41">
        <f ca="1">IFERROR(INDEX(INDIRECT("Data!C"&amp;'1-Year'!$K$4,FALSE),MATCH(K76,Data!$A:$A,0)),NA())</f>
        <v>11</v>
      </c>
    </row>
    <row r="77" spans="1:20" x14ac:dyDescent="0.2">
      <c r="K77" s="56">
        <f t="shared" si="65"/>
        <v>41281</v>
      </c>
      <c r="L77" s="41">
        <f ca="1">IFERROR(INDEX(INDIRECT("Data!C"&amp;'1-Year'!$K$4,FALSE),MATCH(K77,Data!$A:$A,0)),NA())</f>
        <v>143</v>
      </c>
    </row>
    <row r="78" spans="1:20" x14ac:dyDescent="0.2">
      <c r="K78" s="56">
        <f t="shared" si="65"/>
        <v>41282</v>
      </c>
      <c r="L78" s="41">
        <f ca="1">IFERROR(INDEX(INDIRECT("Data!C"&amp;'1-Year'!$K$4,FALSE),MATCH(K78,Data!$A:$A,0)),NA())</f>
        <v>182</v>
      </c>
    </row>
    <row r="79" spans="1:20" x14ac:dyDescent="0.2">
      <c r="K79" s="56">
        <f t="shared" si="65"/>
        <v>41283</v>
      </c>
      <c r="L79" s="41">
        <f ca="1">IFERROR(INDEX(INDIRECT("Data!C"&amp;'1-Year'!$K$4,FALSE),MATCH(K79,Data!$A:$A,0)),NA())</f>
        <v>202</v>
      </c>
    </row>
    <row r="80" spans="1:20" x14ac:dyDescent="0.2">
      <c r="K80" s="56">
        <f t="shared" si="65"/>
        <v>41284</v>
      </c>
      <c r="L80" s="41">
        <f ca="1">IFERROR(INDEX(INDIRECT("Data!C"&amp;'1-Year'!$K$4,FALSE),MATCH(K80,Data!$A:$A,0)),NA())</f>
        <v>78</v>
      </c>
    </row>
    <row r="81" spans="11:12" x14ac:dyDescent="0.2">
      <c r="K81" s="56">
        <f t="shared" si="65"/>
        <v>41285</v>
      </c>
      <c r="L81" s="41">
        <f ca="1">IFERROR(INDEX(INDIRECT("Data!C"&amp;'1-Year'!$K$4,FALSE),MATCH(K81,Data!$A:$A,0)),NA())</f>
        <v>157</v>
      </c>
    </row>
    <row r="82" spans="11:12" x14ac:dyDescent="0.2">
      <c r="K82" s="56">
        <f t="shared" si="65"/>
        <v>41286</v>
      </c>
      <c r="L82" s="41">
        <f ca="1">IFERROR(INDEX(INDIRECT("Data!C"&amp;'1-Year'!$K$4,FALSE),MATCH(K82,Data!$A:$A,0)),NA())</f>
        <v>52</v>
      </c>
    </row>
    <row r="83" spans="11:12" x14ac:dyDescent="0.2">
      <c r="K83" s="56">
        <f t="shared" si="65"/>
        <v>41287</v>
      </c>
      <c r="L83" s="41">
        <f ca="1">IFERROR(INDEX(INDIRECT("Data!C"&amp;'1-Year'!$K$4,FALSE),MATCH(K83,Data!$A:$A,0)),NA())</f>
        <v>12</v>
      </c>
    </row>
    <row r="84" spans="11:12" x14ac:dyDescent="0.2">
      <c r="K84" s="56">
        <f t="shared" si="65"/>
        <v>41288</v>
      </c>
      <c r="L84" s="41">
        <f ca="1">IFERROR(INDEX(INDIRECT("Data!C"&amp;'1-Year'!$K$4,FALSE),MATCH(K84,Data!$A:$A,0)),NA())</f>
        <v>158</v>
      </c>
    </row>
    <row r="85" spans="11:12" x14ac:dyDescent="0.2">
      <c r="K85" s="56">
        <f t="shared" si="65"/>
        <v>41289</v>
      </c>
      <c r="L85" s="41">
        <f ca="1">IFERROR(INDEX(INDIRECT("Data!C"&amp;'1-Year'!$K$4,FALSE),MATCH(K85,Data!$A:$A,0)),NA())</f>
        <v>124</v>
      </c>
    </row>
    <row r="86" spans="11:12" x14ac:dyDescent="0.2">
      <c r="K86" s="56">
        <f t="shared" si="65"/>
        <v>41290</v>
      </c>
      <c r="L86" s="41">
        <f ca="1">IFERROR(INDEX(INDIRECT("Data!C"&amp;'1-Year'!$K$4,FALSE),MATCH(K86,Data!$A:$A,0)),NA())</f>
        <v>181</v>
      </c>
    </row>
    <row r="87" spans="11:12" x14ac:dyDescent="0.2">
      <c r="K87" s="56">
        <f t="shared" si="65"/>
        <v>41291</v>
      </c>
      <c r="L87" s="41">
        <f ca="1">IFERROR(INDEX(INDIRECT("Data!C"&amp;'1-Year'!$K$4,FALSE),MATCH(K87,Data!$A:$A,0)),NA())</f>
        <v>99</v>
      </c>
    </row>
    <row r="88" spans="11:12" x14ac:dyDescent="0.2">
      <c r="K88" s="56">
        <f t="shared" si="65"/>
        <v>41292</v>
      </c>
      <c r="L88" s="41">
        <f ca="1">IFERROR(INDEX(INDIRECT("Data!C"&amp;'1-Year'!$K$4,FALSE),MATCH(K88,Data!$A:$A,0)),NA())</f>
        <v>191</v>
      </c>
    </row>
    <row r="89" spans="11:12" x14ac:dyDescent="0.2">
      <c r="K89" s="56">
        <f t="shared" si="65"/>
        <v>41293</v>
      </c>
      <c r="L89" s="41">
        <f ca="1">IFERROR(INDEX(INDIRECT("Data!C"&amp;'1-Year'!$K$4,FALSE),MATCH(K89,Data!$A:$A,0)),NA())</f>
        <v>54</v>
      </c>
    </row>
    <row r="90" spans="11:12" x14ac:dyDescent="0.2">
      <c r="K90" s="56">
        <f t="shared" si="65"/>
        <v>41294</v>
      </c>
      <c r="L90" s="41">
        <f ca="1">IFERROR(INDEX(INDIRECT("Data!C"&amp;'1-Year'!$K$4,FALSE),MATCH(K90,Data!$A:$A,0)),NA())</f>
        <v>22</v>
      </c>
    </row>
    <row r="91" spans="11:12" x14ac:dyDescent="0.2">
      <c r="K91" s="56">
        <f t="shared" si="65"/>
        <v>41295</v>
      </c>
      <c r="L91" s="41">
        <f ca="1">IFERROR(INDEX(INDIRECT("Data!C"&amp;'1-Year'!$K$4,FALSE),MATCH(K91,Data!$A:$A,0)),NA())</f>
        <v>208</v>
      </c>
    </row>
    <row r="92" spans="11:12" x14ac:dyDescent="0.2">
      <c r="K92" s="56">
        <f t="shared" si="65"/>
        <v>41296</v>
      </c>
      <c r="L92" s="41">
        <f ca="1">IFERROR(INDEX(INDIRECT("Data!C"&amp;'1-Year'!$K$4,FALSE),MATCH(K92,Data!$A:$A,0)),NA())</f>
        <v>132</v>
      </c>
    </row>
    <row r="93" spans="11:12" x14ac:dyDescent="0.2">
      <c r="K93" s="56">
        <f t="shared" si="65"/>
        <v>41297</v>
      </c>
      <c r="L93" s="41">
        <f ca="1">IFERROR(INDEX(INDIRECT("Data!C"&amp;'1-Year'!$K$4,FALSE),MATCH(K93,Data!$A:$A,0)),NA())</f>
        <v>279</v>
      </c>
    </row>
    <row r="94" spans="11:12" x14ac:dyDescent="0.2">
      <c r="K94" s="56">
        <f t="shared" si="65"/>
        <v>41298</v>
      </c>
      <c r="L94" s="41">
        <f ca="1">IFERROR(INDEX(INDIRECT("Data!C"&amp;'1-Year'!$K$4,FALSE),MATCH(K94,Data!$A:$A,0)),NA())</f>
        <v>143</v>
      </c>
    </row>
    <row r="95" spans="11:12" x14ac:dyDescent="0.2">
      <c r="K95" s="56">
        <f t="shared" si="65"/>
        <v>41299</v>
      </c>
      <c r="L95" s="41">
        <f ca="1">IFERROR(INDEX(INDIRECT("Data!C"&amp;'1-Year'!$K$4,FALSE),MATCH(K95,Data!$A:$A,0)),NA())</f>
        <v>115</v>
      </c>
    </row>
    <row r="96" spans="11:12" x14ac:dyDescent="0.2">
      <c r="K96" s="56">
        <f t="shared" si="65"/>
        <v>41300</v>
      </c>
      <c r="L96" s="41">
        <f ca="1">IFERROR(INDEX(INDIRECT("Data!C"&amp;'1-Year'!$K$4,FALSE),MATCH(K96,Data!$A:$A,0)),NA())</f>
        <v>72</v>
      </c>
    </row>
    <row r="97" spans="11:12" x14ac:dyDescent="0.2">
      <c r="K97" s="56">
        <f t="shared" si="65"/>
        <v>41301</v>
      </c>
      <c r="L97" s="41">
        <f ca="1">IFERROR(INDEX(INDIRECT("Data!C"&amp;'1-Year'!$K$4,FALSE),MATCH(K97,Data!$A:$A,0)),NA())</f>
        <v>19</v>
      </c>
    </row>
    <row r="98" spans="11:12" x14ac:dyDescent="0.2">
      <c r="K98" s="56">
        <f t="shared" si="65"/>
        <v>41302</v>
      </c>
      <c r="L98" s="41">
        <f ca="1">IFERROR(INDEX(INDIRECT("Data!C"&amp;'1-Year'!$K$4,FALSE),MATCH(K98,Data!$A:$A,0)),NA())</f>
        <v>271</v>
      </c>
    </row>
    <row r="99" spans="11:12" x14ac:dyDescent="0.2">
      <c r="K99" s="56">
        <f t="shared" si="65"/>
        <v>41303</v>
      </c>
      <c r="L99" s="41">
        <f ca="1">IFERROR(INDEX(INDIRECT("Data!C"&amp;'1-Year'!$K$4,FALSE),MATCH(K99,Data!$A:$A,0)),NA())</f>
        <v>259</v>
      </c>
    </row>
    <row r="100" spans="11:12" x14ac:dyDescent="0.2">
      <c r="K100" s="56">
        <f t="shared" si="65"/>
        <v>41304</v>
      </c>
      <c r="L100" s="41">
        <f ca="1">IFERROR(INDEX(INDIRECT("Data!C"&amp;'1-Year'!$K$4,FALSE),MATCH(K100,Data!$A:$A,0)),NA())</f>
        <v>200</v>
      </c>
    </row>
    <row r="101" spans="11:12" x14ac:dyDescent="0.2">
      <c r="K101" s="56">
        <f t="shared" si="65"/>
        <v>41305</v>
      </c>
      <c r="L101" s="41">
        <f ca="1">IFERROR(INDEX(INDIRECT("Data!C"&amp;'1-Year'!$K$4,FALSE),MATCH(K101,Data!$A:$A,0)),NA())</f>
        <v>169</v>
      </c>
    </row>
    <row r="102" spans="11:12" x14ac:dyDescent="0.2">
      <c r="K102" s="56">
        <f t="shared" si="65"/>
        <v>41306</v>
      </c>
      <c r="L102" s="41">
        <f ca="1">IFERROR(INDEX(INDIRECT("Data!C"&amp;'1-Year'!$K$4,FALSE),MATCH(K102,Data!$A:$A,0)),NA())</f>
        <v>134</v>
      </c>
    </row>
    <row r="103" spans="11:12" x14ac:dyDescent="0.2">
      <c r="K103" s="56">
        <f t="shared" si="65"/>
        <v>41307</v>
      </c>
      <c r="L103" s="41">
        <f ca="1">IFERROR(INDEX(INDIRECT("Data!C"&amp;'1-Year'!$K$4,FALSE),MATCH(K103,Data!$A:$A,0)),NA())</f>
        <v>54</v>
      </c>
    </row>
    <row r="104" spans="11:12" x14ac:dyDescent="0.2">
      <c r="K104" s="56">
        <f t="shared" si="65"/>
        <v>41308</v>
      </c>
      <c r="L104" s="41">
        <f ca="1">IFERROR(INDEX(INDIRECT("Data!C"&amp;'1-Year'!$K$4,FALSE),MATCH(K104,Data!$A:$A,0)),NA())</f>
        <v>40</v>
      </c>
    </row>
    <row r="105" spans="11:12" x14ac:dyDescent="0.2">
      <c r="K105" s="56">
        <f t="shared" si="65"/>
        <v>41309</v>
      </c>
      <c r="L105" s="41">
        <f ca="1">IFERROR(INDEX(INDIRECT("Data!C"&amp;'1-Year'!$K$4,FALSE),MATCH(K105,Data!$A:$A,0)),NA())</f>
        <v>428</v>
      </c>
    </row>
    <row r="106" spans="11:12" x14ac:dyDescent="0.2">
      <c r="K106" s="56">
        <f t="shared" si="65"/>
        <v>41310</v>
      </c>
      <c r="L106" s="41">
        <f ca="1">IFERROR(INDEX(INDIRECT("Data!C"&amp;'1-Year'!$K$4,FALSE),MATCH(K106,Data!$A:$A,0)),NA())</f>
        <v>393</v>
      </c>
    </row>
    <row r="107" spans="11:12" x14ac:dyDescent="0.2">
      <c r="K107" s="56">
        <f t="shared" si="65"/>
        <v>41311</v>
      </c>
      <c r="L107" s="41">
        <f ca="1">IFERROR(INDEX(INDIRECT("Data!C"&amp;'1-Year'!$K$4,FALSE),MATCH(K107,Data!$A:$A,0)),NA())</f>
        <v>237</v>
      </c>
    </row>
    <row r="108" spans="11:12" x14ac:dyDescent="0.2">
      <c r="K108" s="56">
        <f t="shared" si="65"/>
        <v>41312</v>
      </c>
      <c r="L108" s="41">
        <f ca="1">IFERROR(INDEX(INDIRECT("Data!C"&amp;'1-Year'!$K$4,FALSE),MATCH(K108,Data!$A:$A,0)),NA())</f>
        <v>288</v>
      </c>
    </row>
    <row r="109" spans="11:12" x14ac:dyDescent="0.2">
      <c r="K109" s="56">
        <f t="shared" si="65"/>
        <v>41313</v>
      </c>
      <c r="L109" s="41">
        <f ca="1">IFERROR(INDEX(INDIRECT("Data!C"&amp;'1-Year'!$K$4,FALSE),MATCH(K109,Data!$A:$A,0)),NA())</f>
        <v>209</v>
      </c>
    </row>
    <row r="110" spans="11:12" x14ac:dyDescent="0.2">
      <c r="K110" s="56">
        <f t="shared" si="65"/>
        <v>41314</v>
      </c>
      <c r="L110" s="41">
        <f ca="1">IFERROR(INDEX(INDIRECT("Data!C"&amp;'1-Year'!$K$4,FALSE),MATCH(K110,Data!$A:$A,0)),NA())</f>
        <v>61</v>
      </c>
    </row>
    <row r="111" spans="11:12" x14ac:dyDescent="0.2">
      <c r="K111" s="56">
        <f t="shared" si="65"/>
        <v>41315</v>
      </c>
      <c r="L111" s="41">
        <f ca="1">IFERROR(INDEX(INDIRECT("Data!C"&amp;'1-Year'!$K$4,FALSE),MATCH(K111,Data!$A:$A,0)),NA())</f>
        <v>30</v>
      </c>
    </row>
    <row r="112" spans="11:12" x14ac:dyDescent="0.2">
      <c r="K112" s="56">
        <f t="shared" si="65"/>
        <v>41316</v>
      </c>
      <c r="L112" s="41">
        <f ca="1">IFERROR(INDEX(INDIRECT("Data!C"&amp;'1-Year'!$K$4,FALSE),MATCH(K112,Data!$A:$A,0)),NA())</f>
        <v>392</v>
      </c>
    </row>
    <row r="113" spans="11:12" x14ac:dyDescent="0.2">
      <c r="K113" s="56">
        <f t="shared" si="65"/>
        <v>41317</v>
      </c>
      <c r="L113" s="41">
        <f ca="1">IFERROR(INDEX(INDIRECT("Data!C"&amp;'1-Year'!$K$4,FALSE),MATCH(K113,Data!$A:$A,0)),NA())</f>
        <v>316</v>
      </c>
    </row>
    <row r="114" spans="11:12" x14ac:dyDescent="0.2">
      <c r="K114" s="56">
        <f t="shared" si="65"/>
        <v>41318</v>
      </c>
      <c r="L114" s="41">
        <f ca="1">IFERROR(INDEX(INDIRECT("Data!C"&amp;'1-Year'!$K$4,FALSE),MATCH(K114,Data!$A:$A,0)),NA())</f>
        <v>325</v>
      </c>
    </row>
    <row r="115" spans="11:12" x14ac:dyDescent="0.2">
      <c r="K115" s="56">
        <f t="shared" si="65"/>
        <v>41319</v>
      </c>
      <c r="L115" s="41">
        <f ca="1">IFERROR(INDEX(INDIRECT("Data!C"&amp;'1-Year'!$K$4,FALSE),MATCH(K115,Data!$A:$A,0)),NA())</f>
        <v>265</v>
      </c>
    </row>
    <row r="116" spans="11:12" x14ac:dyDescent="0.2">
      <c r="K116" s="56">
        <f t="shared" si="65"/>
        <v>41320</v>
      </c>
      <c r="L116" s="41">
        <f ca="1">IFERROR(INDEX(INDIRECT("Data!C"&amp;'1-Year'!$K$4,FALSE),MATCH(K116,Data!$A:$A,0)),NA())</f>
        <v>191</v>
      </c>
    </row>
    <row r="117" spans="11:12" x14ac:dyDescent="0.2">
      <c r="K117" s="56">
        <f t="shared" si="65"/>
        <v>41321</v>
      </c>
      <c r="L117" s="41">
        <f ca="1">IFERROR(INDEX(INDIRECT("Data!C"&amp;'1-Year'!$K$4,FALSE),MATCH(K117,Data!$A:$A,0)),NA())</f>
        <v>74</v>
      </c>
    </row>
    <row r="118" spans="11:12" x14ac:dyDescent="0.2">
      <c r="K118" s="56">
        <f t="shared" si="65"/>
        <v>41322</v>
      </c>
      <c r="L118" s="41">
        <f ca="1">IFERROR(INDEX(INDIRECT("Data!C"&amp;'1-Year'!$K$4,FALSE),MATCH(K118,Data!$A:$A,0)),NA())</f>
        <v>37</v>
      </c>
    </row>
    <row r="119" spans="11:12" x14ac:dyDescent="0.2">
      <c r="K119" s="56">
        <f t="shared" si="65"/>
        <v>41323</v>
      </c>
      <c r="L119" s="41">
        <f ca="1">IFERROR(INDEX(INDIRECT("Data!C"&amp;'1-Year'!$K$4,FALSE),MATCH(K119,Data!$A:$A,0)),NA())</f>
        <v>314</v>
      </c>
    </row>
    <row r="120" spans="11:12" x14ac:dyDescent="0.2">
      <c r="K120" s="56">
        <f t="shared" si="65"/>
        <v>41324</v>
      </c>
      <c r="L120" s="41">
        <f ca="1">IFERROR(INDEX(INDIRECT("Data!C"&amp;'1-Year'!$K$4,FALSE),MATCH(K120,Data!$A:$A,0)),NA())</f>
        <v>306</v>
      </c>
    </row>
    <row r="121" spans="11:12" x14ac:dyDescent="0.2">
      <c r="K121" s="56">
        <f t="shared" si="65"/>
        <v>41325</v>
      </c>
      <c r="L121" s="41">
        <f ca="1">IFERROR(INDEX(INDIRECT("Data!C"&amp;'1-Year'!$K$4,FALSE),MATCH(K121,Data!$A:$A,0)),NA())</f>
        <v>361</v>
      </c>
    </row>
    <row r="122" spans="11:12" x14ac:dyDescent="0.2">
      <c r="K122" s="56">
        <f t="shared" si="65"/>
        <v>41326</v>
      </c>
      <c r="L122" s="41">
        <f ca="1">IFERROR(INDEX(INDIRECT("Data!C"&amp;'1-Year'!$K$4,FALSE),MATCH(K122,Data!$A:$A,0)),NA())</f>
        <v>237</v>
      </c>
    </row>
    <row r="123" spans="11:12" x14ac:dyDescent="0.2">
      <c r="K123" s="56">
        <f t="shared" si="65"/>
        <v>41327</v>
      </c>
      <c r="L123" s="41">
        <f ca="1">IFERROR(INDEX(INDIRECT("Data!C"&amp;'1-Year'!$K$4,FALSE),MATCH(K123,Data!$A:$A,0)),NA())</f>
        <v>185</v>
      </c>
    </row>
    <row r="124" spans="11:12" x14ac:dyDescent="0.2">
      <c r="K124" s="56">
        <f t="shared" si="65"/>
        <v>41328</v>
      </c>
      <c r="L124" s="41">
        <f ca="1">IFERROR(INDEX(INDIRECT("Data!C"&amp;'1-Year'!$K$4,FALSE),MATCH(K124,Data!$A:$A,0)),NA())</f>
        <v>90</v>
      </c>
    </row>
    <row r="125" spans="11:12" x14ac:dyDescent="0.2">
      <c r="K125" s="56">
        <f t="shared" si="65"/>
        <v>41329</v>
      </c>
      <c r="L125" s="41">
        <f ca="1">IFERROR(INDEX(INDIRECT("Data!C"&amp;'1-Year'!$K$4,FALSE),MATCH(K125,Data!$A:$A,0)),NA())</f>
        <v>36</v>
      </c>
    </row>
    <row r="126" spans="11:12" x14ac:dyDescent="0.2">
      <c r="K126" s="56">
        <f t="shared" si="65"/>
        <v>41330</v>
      </c>
      <c r="L126" s="41">
        <f ca="1">IFERROR(INDEX(INDIRECT("Data!C"&amp;'1-Year'!$K$4,FALSE),MATCH(K126,Data!$A:$A,0)),NA())</f>
        <v>319</v>
      </c>
    </row>
    <row r="127" spans="11:12" x14ac:dyDescent="0.2">
      <c r="K127" s="56">
        <f t="shared" si="65"/>
        <v>41331</v>
      </c>
      <c r="L127" s="41">
        <f ca="1">IFERROR(INDEX(INDIRECT("Data!C"&amp;'1-Year'!$K$4,FALSE),MATCH(K127,Data!$A:$A,0)),NA())</f>
        <v>292</v>
      </c>
    </row>
    <row r="128" spans="11:12" x14ac:dyDescent="0.2">
      <c r="K128" s="56">
        <f t="shared" si="65"/>
        <v>41332</v>
      </c>
      <c r="L128" s="41">
        <f ca="1">IFERROR(INDEX(INDIRECT("Data!C"&amp;'1-Year'!$K$4,FALSE),MATCH(K128,Data!$A:$A,0)),NA())</f>
        <v>374</v>
      </c>
    </row>
    <row r="129" spans="11:12" x14ac:dyDescent="0.2">
      <c r="K129" s="56">
        <f t="shared" si="65"/>
        <v>41333</v>
      </c>
      <c r="L129" s="41">
        <f ca="1">IFERROR(INDEX(INDIRECT("Data!C"&amp;'1-Year'!$K$4,FALSE),MATCH(K129,Data!$A:$A,0)),NA())</f>
        <v>309</v>
      </c>
    </row>
    <row r="130" spans="11:12" x14ac:dyDescent="0.2">
      <c r="K130" s="56">
        <f t="shared" si="65"/>
        <v>41334</v>
      </c>
      <c r="L130" s="41">
        <f ca="1">IFERROR(INDEX(INDIRECT("Data!C"&amp;'1-Year'!$K$4,FALSE),MATCH(K130,Data!$A:$A,0)),NA())</f>
        <v>187</v>
      </c>
    </row>
    <row r="131" spans="11:12" x14ac:dyDescent="0.2">
      <c r="K131" s="56">
        <f t="shared" si="65"/>
        <v>41335</v>
      </c>
      <c r="L131" s="41">
        <f ca="1">IFERROR(INDEX(INDIRECT("Data!C"&amp;'1-Year'!$K$4,FALSE),MATCH(K131,Data!$A:$A,0)),NA())</f>
        <v>62</v>
      </c>
    </row>
    <row r="132" spans="11:12" x14ac:dyDescent="0.2">
      <c r="K132" s="56">
        <f t="shared" si="65"/>
        <v>41336</v>
      </c>
      <c r="L132" s="41">
        <f ca="1">IFERROR(INDEX(INDIRECT("Data!C"&amp;'1-Year'!$K$4,FALSE),MATCH(K132,Data!$A:$A,0)),NA())</f>
        <v>33</v>
      </c>
    </row>
    <row r="133" spans="11:12" x14ac:dyDescent="0.2">
      <c r="K133" s="56">
        <f t="shared" si="65"/>
        <v>41337</v>
      </c>
      <c r="L133" s="41">
        <f ca="1">IFERROR(INDEX(INDIRECT("Data!C"&amp;'1-Year'!$K$4,FALSE),MATCH(K133,Data!$A:$A,0)),NA())</f>
        <v>427</v>
      </c>
    </row>
    <row r="134" spans="11:12" x14ac:dyDescent="0.2">
      <c r="K134" s="56">
        <f t="shared" si="65"/>
        <v>41338</v>
      </c>
      <c r="L134" s="41">
        <f ca="1">IFERROR(INDEX(INDIRECT("Data!C"&amp;'1-Year'!$K$4,FALSE),MATCH(K134,Data!$A:$A,0)),NA())</f>
        <v>380</v>
      </c>
    </row>
    <row r="135" spans="11:12" x14ac:dyDescent="0.2">
      <c r="K135" s="56">
        <f t="shared" si="65"/>
        <v>41339</v>
      </c>
      <c r="L135" s="41">
        <f ca="1">IFERROR(INDEX(INDIRECT("Data!C"&amp;'1-Year'!$K$4,FALSE),MATCH(K135,Data!$A:$A,0)),NA())</f>
        <v>264</v>
      </c>
    </row>
    <row r="136" spans="11:12" x14ac:dyDescent="0.2">
      <c r="K136" s="56">
        <f t="shared" ref="K136:K199" si="66">IF(K135+1&lt;=$C$7,K135+1,NA())</f>
        <v>41340</v>
      </c>
      <c r="L136" s="41">
        <f ca="1">IFERROR(INDEX(INDIRECT("Data!C"&amp;'1-Year'!$K$4,FALSE),MATCH(K136,Data!$A:$A,0)),NA())</f>
        <v>227</v>
      </c>
    </row>
    <row r="137" spans="11:12" x14ac:dyDescent="0.2">
      <c r="K137" s="56">
        <f t="shared" si="66"/>
        <v>41341</v>
      </c>
      <c r="L137" s="41">
        <f ca="1">IFERROR(INDEX(INDIRECT("Data!C"&amp;'1-Year'!$K$4,FALSE),MATCH(K137,Data!$A:$A,0)),NA())</f>
        <v>257</v>
      </c>
    </row>
    <row r="138" spans="11:12" x14ac:dyDescent="0.2">
      <c r="K138" s="56">
        <f t="shared" si="66"/>
        <v>41342</v>
      </c>
      <c r="L138" s="41">
        <f ca="1">IFERROR(INDEX(INDIRECT("Data!C"&amp;'1-Year'!$K$4,FALSE),MATCH(K138,Data!$A:$A,0)),NA())</f>
        <v>61</v>
      </c>
    </row>
    <row r="139" spans="11:12" x14ac:dyDescent="0.2">
      <c r="K139" s="56">
        <f t="shared" si="66"/>
        <v>41343</v>
      </c>
      <c r="L139" s="41">
        <f ca="1">IFERROR(INDEX(INDIRECT("Data!C"&amp;'1-Year'!$K$4,FALSE),MATCH(K139,Data!$A:$A,0)),NA())</f>
        <v>37</v>
      </c>
    </row>
    <row r="140" spans="11:12" x14ac:dyDescent="0.2">
      <c r="K140" s="56">
        <f t="shared" si="66"/>
        <v>41344</v>
      </c>
      <c r="L140" s="41">
        <f ca="1">IFERROR(INDEX(INDIRECT("Data!C"&amp;'1-Year'!$K$4,FALSE),MATCH(K140,Data!$A:$A,0)),NA())</f>
        <v>310</v>
      </c>
    </row>
    <row r="141" spans="11:12" x14ac:dyDescent="0.2">
      <c r="K141" s="56">
        <f t="shared" si="66"/>
        <v>41345</v>
      </c>
      <c r="L141" s="41">
        <f ca="1">IFERROR(INDEX(INDIRECT("Data!C"&amp;'1-Year'!$K$4,FALSE),MATCH(K141,Data!$A:$A,0)),NA())</f>
        <v>253</v>
      </c>
    </row>
    <row r="142" spans="11:12" x14ac:dyDescent="0.2">
      <c r="K142" s="56">
        <f t="shared" si="66"/>
        <v>41346</v>
      </c>
      <c r="L142" s="41">
        <f ca="1">IFERROR(INDEX(INDIRECT("Data!C"&amp;'1-Year'!$K$4,FALSE),MATCH(K142,Data!$A:$A,0)),NA())</f>
        <v>188</v>
      </c>
    </row>
    <row r="143" spans="11:12" x14ac:dyDescent="0.2">
      <c r="K143" s="56">
        <f t="shared" si="66"/>
        <v>41347</v>
      </c>
      <c r="L143" s="41">
        <f ca="1">IFERROR(INDEX(INDIRECT("Data!C"&amp;'1-Year'!$K$4,FALSE),MATCH(K143,Data!$A:$A,0)),NA())</f>
        <v>215</v>
      </c>
    </row>
    <row r="144" spans="11:12" x14ac:dyDescent="0.2">
      <c r="K144" s="56">
        <f t="shared" si="66"/>
        <v>41348</v>
      </c>
      <c r="L144" s="41">
        <f ca="1">IFERROR(INDEX(INDIRECT("Data!C"&amp;'1-Year'!$K$4,FALSE),MATCH(K144,Data!$A:$A,0)),NA())</f>
        <v>204</v>
      </c>
    </row>
    <row r="145" spans="11:12" x14ac:dyDescent="0.2">
      <c r="K145" s="56">
        <f t="shared" si="66"/>
        <v>41349</v>
      </c>
      <c r="L145" s="41">
        <f ca="1">IFERROR(INDEX(INDIRECT("Data!C"&amp;'1-Year'!$K$4,FALSE),MATCH(K145,Data!$A:$A,0)),NA())</f>
        <v>44</v>
      </c>
    </row>
    <row r="146" spans="11:12" x14ac:dyDescent="0.2">
      <c r="K146" s="56">
        <f t="shared" si="66"/>
        <v>41350</v>
      </c>
      <c r="L146" s="41">
        <f ca="1">IFERROR(INDEX(INDIRECT("Data!C"&amp;'1-Year'!$K$4,FALSE),MATCH(K146,Data!$A:$A,0)),NA())</f>
        <v>24</v>
      </c>
    </row>
    <row r="147" spans="11:12" x14ac:dyDescent="0.2">
      <c r="K147" s="56">
        <f t="shared" si="66"/>
        <v>41351</v>
      </c>
      <c r="L147" s="41">
        <f ca="1">IFERROR(INDEX(INDIRECT("Data!C"&amp;'1-Year'!$K$4,FALSE),MATCH(K147,Data!$A:$A,0)),NA())</f>
        <v>326</v>
      </c>
    </row>
    <row r="148" spans="11:12" x14ac:dyDescent="0.2">
      <c r="K148" s="56">
        <f t="shared" si="66"/>
        <v>41352</v>
      </c>
      <c r="L148" s="41">
        <f ca="1">IFERROR(INDEX(INDIRECT("Data!C"&amp;'1-Year'!$K$4,FALSE),MATCH(K148,Data!$A:$A,0)),NA())</f>
        <v>243</v>
      </c>
    </row>
    <row r="149" spans="11:12" x14ac:dyDescent="0.2">
      <c r="K149" s="56">
        <f t="shared" si="66"/>
        <v>41353</v>
      </c>
      <c r="L149" s="41">
        <f ca="1">IFERROR(INDEX(INDIRECT("Data!C"&amp;'1-Year'!$K$4,FALSE),MATCH(K149,Data!$A:$A,0)),NA())</f>
        <v>146</v>
      </c>
    </row>
    <row r="150" spans="11:12" x14ac:dyDescent="0.2">
      <c r="K150" s="56">
        <f t="shared" si="66"/>
        <v>41354</v>
      </c>
      <c r="L150" s="41">
        <f ca="1">IFERROR(INDEX(INDIRECT("Data!C"&amp;'1-Year'!$K$4,FALSE),MATCH(K150,Data!$A:$A,0)),NA())</f>
        <v>151</v>
      </c>
    </row>
    <row r="151" spans="11:12" x14ac:dyDescent="0.2">
      <c r="K151" s="56">
        <f t="shared" si="66"/>
        <v>41355</v>
      </c>
      <c r="L151" s="41">
        <f ca="1">IFERROR(INDEX(INDIRECT("Data!C"&amp;'1-Year'!$K$4,FALSE),MATCH(K151,Data!$A:$A,0)),NA())</f>
        <v>211</v>
      </c>
    </row>
    <row r="152" spans="11:12" x14ac:dyDescent="0.2">
      <c r="K152" s="56">
        <f t="shared" si="66"/>
        <v>41356</v>
      </c>
      <c r="L152" s="41">
        <f ca="1">IFERROR(INDEX(INDIRECT("Data!C"&amp;'1-Year'!$K$4,FALSE),MATCH(K152,Data!$A:$A,0)),NA())</f>
        <v>55</v>
      </c>
    </row>
    <row r="153" spans="11:12" x14ac:dyDescent="0.2">
      <c r="K153" s="56">
        <f t="shared" si="66"/>
        <v>41357</v>
      </c>
      <c r="L153" s="41">
        <f ca="1">IFERROR(INDEX(INDIRECT("Data!C"&amp;'1-Year'!$K$4,FALSE),MATCH(K153,Data!$A:$A,0)),NA())</f>
        <v>22</v>
      </c>
    </row>
    <row r="154" spans="11:12" x14ac:dyDescent="0.2">
      <c r="K154" s="56">
        <f t="shared" si="66"/>
        <v>41358</v>
      </c>
      <c r="L154" s="41">
        <f ca="1">IFERROR(INDEX(INDIRECT("Data!C"&amp;'1-Year'!$K$4,FALSE),MATCH(K154,Data!$A:$A,0)),NA())</f>
        <v>287</v>
      </c>
    </row>
    <row r="155" spans="11:12" x14ac:dyDescent="0.2">
      <c r="K155" s="56">
        <f t="shared" si="66"/>
        <v>41359</v>
      </c>
      <c r="L155" s="41">
        <f ca="1">IFERROR(INDEX(INDIRECT("Data!C"&amp;'1-Year'!$K$4,FALSE),MATCH(K155,Data!$A:$A,0)),NA())</f>
        <v>156</v>
      </c>
    </row>
    <row r="156" spans="11:12" x14ac:dyDescent="0.2">
      <c r="K156" s="56">
        <f t="shared" si="66"/>
        <v>41360</v>
      </c>
      <c r="L156" s="41">
        <f ca="1">IFERROR(INDEX(INDIRECT("Data!C"&amp;'1-Year'!$K$4,FALSE),MATCH(K156,Data!$A:$A,0)),NA())</f>
        <v>138</v>
      </c>
    </row>
    <row r="157" spans="11:12" x14ac:dyDescent="0.2">
      <c r="K157" s="56">
        <f t="shared" si="66"/>
        <v>41361</v>
      </c>
      <c r="L157" s="41">
        <f ca="1">IFERROR(INDEX(INDIRECT("Data!C"&amp;'1-Year'!$K$4,FALSE),MATCH(K157,Data!$A:$A,0)),NA())</f>
        <v>126</v>
      </c>
    </row>
    <row r="158" spans="11:12" x14ac:dyDescent="0.2">
      <c r="K158" s="56">
        <f t="shared" si="66"/>
        <v>41362</v>
      </c>
      <c r="L158" s="41">
        <f ca="1">IFERROR(INDEX(INDIRECT("Data!C"&amp;'1-Year'!$K$4,FALSE),MATCH(K158,Data!$A:$A,0)),NA())</f>
        <v>84</v>
      </c>
    </row>
    <row r="159" spans="11:12" x14ac:dyDescent="0.2">
      <c r="K159" s="56">
        <f t="shared" si="66"/>
        <v>41363</v>
      </c>
      <c r="L159" s="41">
        <f ca="1">IFERROR(INDEX(INDIRECT("Data!C"&amp;'1-Year'!$K$4,FALSE),MATCH(K159,Data!$A:$A,0)),NA())</f>
        <v>24</v>
      </c>
    </row>
    <row r="160" spans="11:12" x14ac:dyDescent="0.2">
      <c r="K160" s="56">
        <f t="shared" si="66"/>
        <v>41364</v>
      </c>
      <c r="L160" s="41">
        <f ca="1">IFERROR(INDEX(INDIRECT("Data!C"&amp;'1-Year'!$K$4,FALSE),MATCH(K160,Data!$A:$A,0)),NA())</f>
        <v>15</v>
      </c>
    </row>
    <row r="161" spans="11:12" x14ac:dyDescent="0.2">
      <c r="K161" s="56">
        <f t="shared" si="66"/>
        <v>41365</v>
      </c>
      <c r="L161" s="41">
        <f ca="1">IFERROR(INDEX(INDIRECT("Data!C"&amp;'1-Year'!$K$4,FALSE),MATCH(K161,Data!$A:$A,0)),NA())</f>
        <v>174</v>
      </c>
    </row>
    <row r="162" spans="11:12" x14ac:dyDescent="0.2">
      <c r="K162" s="56">
        <f t="shared" si="66"/>
        <v>41366</v>
      </c>
      <c r="L162" s="41">
        <f ca="1">IFERROR(INDEX(INDIRECT("Data!C"&amp;'1-Year'!$K$4,FALSE),MATCH(K162,Data!$A:$A,0)),NA())</f>
        <v>186</v>
      </c>
    </row>
    <row r="163" spans="11:12" x14ac:dyDescent="0.2">
      <c r="K163" s="56">
        <f t="shared" si="66"/>
        <v>41367</v>
      </c>
      <c r="L163" s="41">
        <f ca="1">IFERROR(INDEX(INDIRECT("Data!C"&amp;'1-Year'!$K$4,FALSE),MATCH(K163,Data!$A:$A,0)),NA())</f>
        <v>154</v>
      </c>
    </row>
    <row r="164" spans="11:12" x14ac:dyDescent="0.2">
      <c r="K164" s="56">
        <f t="shared" si="66"/>
        <v>41368</v>
      </c>
      <c r="L164" s="41">
        <f ca="1">IFERROR(INDEX(INDIRECT("Data!C"&amp;'1-Year'!$K$4,FALSE),MATCH(K164,Data!$A:$A,0)),NA())</f>
        <v>144</v>
      </c>
    </row>
    <row r="165" spans="11:12" x14ac:dyDescent="0.2">
      <c r="K165" s="56">
        <f t="shared" si="66"/>
        <v>41369</v>
      </c>
      <c r="L165" s="41">
        <f ca="1">IFERROR(INDEX(INDIRECT("Data!C"&amp;'1-Year'!$K$4,FALSE),MATCH(K165,Data!$A:$A,0)),NA())</f>
        <v>133</v>
      </c>
    </row>
    <row r="166" spans="11:12" x14ac:dyDescent="0.2">
      <c r="K166" s="56">
        <f t="shared" si="66"/>
        <v>41370</v>
      </c>
      <c r="L166" s="41">
        <f ca="1">IFERROR(INDEX(INDIRECT("Data!C"&amp;'1-Year'!$K$4,FALSE),MATCH(K166,Data!$A:$A,0)),NA())</f>
        <v>34</v>
      </c>
    </row>
    <row r="167" spans="11:12" x14ac:dyDescent="0.2">
      <c r="K167" s="56">
        <f t="shared" si="66"/>
        <v>41371</v>
      </c>
      <c r="L167" s="41">
        <f ca="1">IFERROR(INDEX(INDIRECT("Data!C"&amp;'1-Year'!$K$4,FALSE),MATCH(K167,Data!$A:$A,0)),NA())</f>
        <v>26</v>
      </c>
    </row>
    <row r="168" spans="11:12" x14ac:dyDescent="0.2">
      <c r="K168" s="56">
        <f t="shared" si="66"/>
        <v>41372</v>
      </c>
      <c r="L168" s="41">
        <f ca="1">IFERROR(INDEX(INDIRECT("Data!C"&amp;'1-Year'!$K$4,FALSE),MATCH(K168,Data!$A:$A,0)),NA())</f>
        <v>136</v>
      </c>
    </row>
    <row r="169" spans="11:12" x14ac:dyDescent="0.2">
      <c r="K169" s="56">
        <f t="shared" si="66"/>
        <v>41373</v>
      </c>
      <c r="L169" s="41">
        <f ca="1">IFERROR(INDEX(INDIRECT("Data!C"&amp;'1-Year'!$K$4,FALSE),MATCH(K169,Data!$A:$A,0)),NA())</f>
        <v>184</v>
      </c>
    </row>
    <row r="170" spans="11:12" x14ac:dyDescent="0.2">
      <c r="K170" s="56">
        <f t="shared" si="66"/>
        <v>41374</v>
      </c>
      <c r="L170" s="41">
        <f ca="1">IFERROR(INDEX(INDIRECT("Data!C"&amp;'1-Year'!$K$4,FALSE),MATCH(K170,Data!$A:$A,0)),NA())</f>
        <v>167</v>
      </c>
    </row>
    <row r="171" spans="11:12" x14ac:dyDescent="0.2">
      <c r="K171" s="56">
        <f t="shared" si="66"/>
        <v>41375</v>
      </c>
      <c r="L171" s="41">
        <f ca="1">IFERROR(INDEX(INDIRECT("Data!C"&amp;'1-Year'!$K$4,FALSE),MATCH(K171,Data!$A:$A,0)),NA())</f>
        <v>174</v>
      </c>
    </row>
    <row r="172" spans="11:12" x14ac:dyDescent="0.2">
      <c r="K172" s="56">
        <f t="shared" si="66"/>
        <v>41376</v>
      </c>
      <c r="L172" s="41">
        <f ca="1">IFERROR(INDEX(INDIRECT("Data!C"&amp;'1-Year'!$K$4,FALSE),MATCH(K172,Data!$A:$A,0)),NA())</f>
        <v>145</v>
      </c>
    </row>
    <row r="173" spans="11:12" x14ac:dyDescent="0.2">
      <c r="K173" s="56">
        <f t="shared" si="66"/>
        <v>41377</v>
      </c>
      <c r="L173" s="41">
        <f ca="1">IFERROR(INDEX(INDIRECT("Data!C"&amp;'1-Year'!$K$4,FALSE),MATCH(K173,Data!$A:$A,0)),NA())</f>
        <v>52</v>
      </c>
    </row>
    <row r="174" spans="11:12" x14ac:dyDescent="0.2">
      <c r="K174" s="56">
        <f t="shared" si="66"/>
        <v>41378</v>
      </c>
      <c r="L174" s="41">
        <f ca="1">IFERROR(INDEX(INDIRECT("Data!C"&amp;'1-Year'!$K$4,FALSE),MATCH(K174,Data!$A:$A,0)),NA())</f>
        <v>25</v>
      </c>
    </row>
    <row r="175" spans="11:12" x14ac:dyDescent="0.2">
      <c r="K175" s="56">
        <f t="shared" si="66"/>
        <v>41379</v>
      </c>
      <c r="L175" s="41">
        <f ca="1">IFERROR(INDEX(INDIRECT("Data!C"&amp;'1-Year'!$K$4,FALSE),MATCH(K175,Data!$A:$A,0)),NA())</f>
        <v>228</v>
      </c>
    </row>
    <row r="176" spans="11:12" x14ac:dyDescent="0.2">
      <c r="K176" s="56">
        <f t="shared" si="66"/>
        <v>41380</v>
      </c>
      <c r="L176" s="41">
        <f ca="1">IFERROR(INDEX(INDIRECT("Data!C"&amp;'1-Year'!$K$4,FALSE),MATCH(K176,Data!$A:$A,0)),NA())</f>
        <v>189</v>
      </c>
    </row>
    <row r="177" spans="11:12" x14ac:dyDescent="0.2">
      <c r="K177" s="56">
        <f t="shared" si="66"/>
        <v>41381</v>
      </c>
      <c r="L177" s="41">
        <f ca="1">IFERROR(INDEX(INDIRECT("Data!C"&amp;'1-Year'!$K$4,FALSE),MATCH(K177,Data!$A:$A,0)),NA())</f>
        <v>237</v>
      </c>
    </row>
    <row r="178" spans="11:12" x14ac:dyDescent="0.2">
      <c r="K178" s="56">
        <f t="shared" si="66"/>
        <v>41382</v>
      </c>
      <c r="L178" s="41">
        <f ca="1">IFERROR(INDEX(INDIRECT("Data!C"&amp;'1-Year'!$K$4,FALSE),MATCH(K178,Data!$A:$A,0)),NA())</f>
        <v>223</v>
      </c>
    </row>
    <row r="179" spans="11:12" x14ac:dyDescent="0.2">
      <c r="K179" s="56">
        <f t="shared" si="66"/>
        <v>41383</v>
      </c>
      <c r="L179" s="41">
        <f ca="1">IFERROR(INDEX(INDIRECT("Data!C"&amp;'1-Year'!$K$4,FALSE),MATCH(K179,Data!$A:$A,0)),NA())</f>
        <v>116</v>
      </c>
    </row>
    <row r="180" spans="11:12" x14ac:dyDescent="0.2">
      <c r="K180" s="56">
        <f t="shared" si="66"/>
        <v>41384</v>
      </c>
      <c r="L180" s="41">
        <f ca="1">IFERROR(INDEX(INDIRECT("Data!C"&amp;'1-Year'!$K$4,FALSE),MATCH(K180,Data!$A:$A,0)),NA())</f>
        <v>61</v>
      </c>
    </row>
    <row r="181" spans="11:12" x14ac:dyDescent="0.2">
      <c r="K181" s="56">
        <f t="shared" si="66"/>
        <v>41385</v>
      </c>
      <c r="L181" s="41">
        <f ca="1">IFERROR(INDEX(INDIRECT("Data!C"&amp;'1-Year'!$K$4,FALSE),MATCH(K181,Data!$A:$A,0)),NA())</f>
        <v>31</v>
      </c>
    </row>
    <row r="182" spans="11:12" x14ac:dyDescent="0.2">
      <c r="K182" s="56">
        <f t="shared" si="66"/>
        <v>41386</v>
      </c>
      <c r="L182" s="41">
        <f ca="1">IFERROR(INDEX(INDIRECT("Data!C"&amp;'1-Year'!$K$4,FALSE),MATCH(K182,Data!$A:$A,0)),NA())</f>
        <v>334</v>
      </c>
    </row>
    <row r="183" spans="11:12" x14ac:dyDescent="0.2">
      <c r="K183" s="56">
        <f t="shared" si="66"/>
        <v>41387</v>
      </c>
      <c r="L183" s="41">
        <f ca="1">IFERROR(INDEX(INDIRECT("Data!C"&amp;'1-Year'!$K$4,FALSE),MATCH(K183,Data!$A:$A,0)),NA())</f>
        <v>171</v>
      </c>
    </row>
    <row r="184" spans="11:12" x14ac:dyDescent="0.2">
      <c r="K184" s="56">
        <f t="shared" si="66"/>
        <v>41388</v>
      </c>
      <c r="L184" s="41">
        <f ca="1">IFERROR(INDEX(INDIRECT("Data!C"&amp;'1-Year'!$K$4,FALSE),MATCH(K184,Data!$A:$A,0)),NA())</f>
        <v>159</v>
      </c>
    </row>
    <row r="185" spans="11:12" x14ac:dyDescent="0.2">
      <c r="K185" s="56">
        <f t="shared" si="66"/>
        <v>41389</v>
      </c>
      <c r="L185" s="41">
        <f ca="1">IFERROR(INDEX(INDIRECT("Data!C"&amp;'1-Year'!$K$4,FALSE),MATCH(K185,Data!$A:$A,0)),NA())</f>
        <v>215</v>
      </c>
    </row>
    <row r="186" spans="11:12" x14ac:dyDescent="0.2">
      <c r="K186" s="56">
        <f t="shared" si="66"/>
        <v>41390</v>
      </c>
      <c r="L186" s="41">
        <f ca="1">IFERROR(INDEX(INDIRECT("Data!C"&amp;'1-Year'!$K$4,FALSE),MATCH(K186,Data!$A:$A,0)),NA())</f>
        <v>158</v>
      </c>
    </row>
    <row r="187" spans="11:12" x14ac:dyDescent="0.2">
      <c r="K187" s="56">
        <f t="shared" si="66"/>
        <v>41391</v>
      </c>
      <c r="L187" s="41">
        <f ca="1">IFERROR(INDEX(INDIRECT("Data!C"&amp;'1-Year'!$K$4,FALSE),MATCH(K187,Data!$A:$A,0)),NA())</f>
        <v>46</v>
      </c>
    </row>
    <row r="188" spans="11:12" x14ac:dyDescent="0.2">
      <c r="K188" s="56">
        <f t="shared" si="66"/>
        <v>41392</v>
      </c>
      <c r="L188" s="41">
        <f ca="1">IFERROR(INDEX(INDIRECT("Data!C"&amp;'1-Year'!$K$4,FALSE),MATCH(K188,Data!$A:$A,0)),NA())</f>
        <v>22</v>
      </c>
    </row>
    <row r="189" spans="11:12" x14ac:dyDescent="0.2">
      <c r="K189" s="56">
        <f t="shared" si="66"/>
        <v>41393</v>
      </c>
      <c r="L189" s="41">
        <f ca="1">IFERROR(INDEX(INDIRECT("Data!C"&amp;'1-Year'!$K$4,FALSE),MATCH(K189,Data!$A:$A,0)),NA())</f>
        <v>257</v>
      </c>
    </row>
    <row r="190" spans="11:12" x14ac:dyDescent="0.2">
      <c r="K190" s="56">
        <f t="shared" si="66"/>
        <v>41394</v>
      </c>
      <c r="L190" s="41">
        <f ca="1">IFERROR(INDEX(INDIRECT("Data!C"&amp;'1-Year'!$K$4,FALSE),MATCH(K190,Data!$A:$A,0)),NA())</f>
        <v>297</v>
      </c>
    </row>
    <row r="191" spans="11:12" x14ac:dyDescent="0.2">
      <c r="K191" s="56">
        <f t="shared" si="66"/>
        <v>41395</v>
      </c>
      <c r="L191" s="41">
        <f ca="1">IFERROR(INDEX(INDIRECT("Data!C"&amp;'1-Year'!$K$4,FALSE),MATCH(K191,Data!$A:$A,0)),NA())</f>
        <v>323</v>
      </c>
    </row>
    <row r="192" spans="11:12" x14ac:dyDescent="0.2">
      <c r="K192" s="56">
        <f t="shared" si="66"/>
        <v>41396</v>
      </c>
      <c r="L192" s="41">
        <f ca="1">IFERROR(INDEX(INDIRECT("Data!C"&amp;'1-Year'!$K$4,FALSE),MATCH(K192,Data!$A:$A,0)),NA())</f>
        <v>226</v>
      </c>
    </row>
    <row r="193" spans="11:12" x14ac:dyDescent="0.2">
      <c r="K193" s="56">
        <f t="shared" si="66"/>
        <v>41397</v>
      </c>
      <c r="L193" s="41">
        <f ca="1">IFERROR(INDEX(INDIRECT("Data!C"&amp;'1-Year'!$K$4,FALSE),MATCH(K193,Data!$A:$A,0)),NA())</f>
        <v>242</v>
      </c>
    </row>
    <row r="194" spans="11:12" x14ac:dyDescent="0.2">
      <c r="K194" s="56">
        <f t="shared" si="66"/>
        <v>41398</v>
      </c>
      <c r="L194" s="41">
        <f ca="1">IFERROR(INDEX(INDIRECT("Data!C"&amp;'1-Year'!$K$4,FALSE),MATCH(K194,Data!$A:$A,0)),NA())</f>
        <v>84</v>
      </c>
    </row>
    <row r="195" spans="11:12" x14ac:dyDescent="0.2">
      <c r="K195" s="56">
        <f t="shared" si="66"/>
        <v>41399</v>
      </c>
      <c r="L195" s="41">
        <f ca="1">IFERROR(INDEX(INDIRECT("Data!C"&amp;'1-Year'!$K$4,FALSE),MATCH(K195,Data!$A:$A,0)),NA())</f>
        <v>39</v>
      </c>
    </row>
    <row r="196" spans="11:12" x14ac:dyDescent="0.2">
      <c r="K196" s="56">
        <f t="shared" si="66"/>
        <v>41400</v>
      </c>
      <c r="L196" s="41">
        <f ca="1">IFERROR(INDEX(INDIRECT("Data!C"&amp;'1-Year'!$K$4,FALSE),MATCH(K196,Data!$A:$A,0)),NA())</f>
        <v>247</v>
      </c>
    </row>
    <row r="197" spans="11:12" x14ac:dyDescent="0.2">
      <c r="K197" s="56">
        <f t="shared" si="66"/>
        <v>41401</v>
      </c>
      <c r="L197" s="41">
        <f ca="1">IFERROR(INDEX(INDIRECT("Data!C"&amp;'1-Year'!$K$4,FALSE),MATCH(K197,Data!$A:$A,0)),NA())</f>
        <v>317</v>
      </c>
    </row>
    <row r="198" spans="11:12" x14ac:dyDescent="0.2">
      <c r="K198" s="56">
        <f t="shared" si="66"/>
        <v>41402</v>
      </c>
      <c r="L198" s="41">
        <f ca="1">IFERROR(INDEX(INDIRECT("Data!C"&amp;'1-Year'!$K$4,FALSE),MATCH(K198,Data!$A:$A,0)),NA())</f>
        <v>220</v>
      </c>
    </row>
    <row r="199" spans="11:12" x14ac:dyDescent="0.2">
      <c r="K199" s="56">
        <f t="shared" si="66"/>
        <v>41403</v>
      </c>
      <c r="L199" s="41">
        <f ca="1">IFERROR(INDEX(INDIRECT("Data!C"&amp;'1-Year'!$K$4,FALSE),MATCH(K199,Data!$A:$A,0)),NA())</f>
        <v>279</v>
      </c>
    </row>
    <row r="200" spans="11:12" x14ac:dyDescent="0.2">
      <c r="K200" s="56">
        <f t="shared" ref="K200:K263" si="67">IF(K199+1&lt;=$C$7,K199+1,NA())</f>
        <v>41404</v>
      </c>
      <c r="L200" s="41">
        <f ca="1">IFERROR(INDEX(INDIRECT("Data!C"&amp;'1-Year'!$K$4,FALSE),MATCH(K200,Data!$A:$A,0)),NA())</f>
        <v>200</v>
      </c>
    </row>
    <row r="201" spans="11:12" x14ac:dyDescent="0.2">
      <c r="K201" s="56">
        <f t="shared" si="67"/>
        <v>41405</v>
      </c>
      <c r="L201" s="41">
        <f ca="1">IFERROR(INDEX(INDIRECT("Data!C"&amp;'1-Year'!$K$4,FALSE),MATCH(K201,Data!$A:$A,0)),NA())</f>
        <v>83</v>
      </c>
    </row>
    <row r="202" spans="11:12" x14ac:dyDescent="0.2">
      <c r="K202" s="56">
        <f t="shared" si="67"/>
        <v>41406</v>
      </c>
      <c r="L202" s="41">
        <f ca="1">IFERROR(INDEX(INDIRECT("Data!C"&amp;'1-Year'!$K$4,FALSE),MATCH(K202,Data!$A:$A,0)),NA())</f>
        <v>37</v>
      </c>
    </row>
    <row r="203" spans="11:12" x14ac:dyDescent="0.2">
      <c r="K203" s="56">
        <f t="shared" si="67"/>
        <v>41407</v>
      </c>
      <c r="L203" s="41">
        <f ca="1">IFERROR(INDEX(INDIRECT("Data!C"&amp;'1-Year'!$K$4,FALSE),MATCH(K203,Data!$A:$A,0)),NA())</f>
        <v>373</v>
      </c>
    </row>
    <row r="204" spans="11:12" x14ac:dyDescent="0.2">
      <c r="K204" s="56">
        <f t="shared" si="67"/>
        <v>41408</v>
      </c>
      <c r="L204" s="41">
        <f ca="1">IFERROR(INDEX(INDIRECT("Data!C"&amp;'1-Year'!$K$4,FALSE),MATCH(K204,Data!$A:$A,0)),NA())</f>
        <v>343</v>
      </c>
    </row>
    <row r="205" spans="11:12" x14ac:dyDescent="0.2">
      <c r="K205" s="56">
        <f t="shared" si="67"/>
        <v>41409</v>
      </c>
      <c r="L205" s="41">
        <f ca="1">IFERROR(INDEX(INDIRECT("Data!C"&amp;'1-Year'!$K$4,FALSE),MATCH(K205,Data!$A:$A,0)),NA())</f>
        <v>242</v>
      </c>
    </row>
    <row r="206" spans="11:12" x14ac:dyDescent="0.2">
      <c r="K206" s="56">
        <f t="shared" si="67"/>
        <v>41410</v>
      </c>
      <c r="L206" s="41">
        <f ca="1">IFERROR(INDEX(INDIRECT("Data!C"&amp;'1-Year'!$K$4,FALSE),MATCH(K206,Data!$A:$A,0)),NA())</f>
        <v>272</v>
      </c>
    </row>
    <row r="207" spans="11:12" x14ac:dyDescent="0.2">
      <c r="K207" s="56">
        <f t="shared" si="67"/>
        <v>41411</v>
      </c>
      <c r="L207" s="41">
        <f ca="1">IFERROR(INDEX(INDIRECT("Data!C"&amp;'1-Year'!$K$4,FALSE),MATCH(K207,Data!$A:$A,0)),NA())</f>
        <v>289</v>
      </c>
    </row>
    <row r="208" spans="11:12" x14ac:dyDescent="0.2">
      <c r="K208" s="56">
        <f t="shared" si="67"/>
        <v>41412</v>
      </c>
      <c r="L208" s="41">
        <f ca="1">IFERROR(INDEX(INDIRECT("Data!C"&amp;'1-Year'!$K$4,FALSE),MATCH(K208,Data!$A:$A,0)),NA())</f>
        <v>97</v>
      </c>
    </row>
    <row r="209" spans="11:12" x14ac:dyDescent="0.2">
      <c r="K209" s="56">
        <f t="shared" si="67"/>
        <v>41413</v>
      </c>
      <c r="L209" s="41">
        <f ca="1">IFERROR(INDEX(INDIRECT("Data!C"&amp;'1-Year'!$K$4,FALSE),MATCH(K209,Data!$A:$A,0)),NA())</f>
        <v>48</v>
      </c>
    </row>
    <row r="210" spans="11:12" x14ac:dyDescent="0.2">
      <c r="K210" s="56">
        <f t="shared" si="67"/>
        <v>41414</v>
      </c>
      <c r="L210" s="41">
        <f ca="1">IFERROR(INDEX(INDIRECT("Data!C"&amp;'1-Year'!$K$4,FALSE),MATCH(K210,Data!$A:$A,0)),NA())</f>
        <v>415</v>
      </c>
    </row>
    <row r="211" spans="11:12" x14ac:dyDescent="0.2">
      <c r="K211" s="56">
        <f t="shared" si="67"/>
        <v>41415</v>
      </c>
      <c r="L211" s="41">
        <f ca="1">IFERROR(INDEX(INDIRECT("Data!C"&amp;'1-Year'!$K$4,FALSE),MATCH(K211,Data!$A:$A,0)),NA())</f>
        <v>448</v>
      </c>
    </row>
    <row r="212" spans="11:12" x14ac:dyDescent="0.2">
      <c r="K212" s="56">
        <f t="shared" si="67"/>
        <v>41416</v>
      </c>
      <c r="L212" s="41">
        <f ca="1">IFERROR(INDEX(INDIRECT("Data!C"&amp;'1-Year'!$K$4,FALSE),MATCH(K212,Data!$A:$A,0)),NA())</f>
        <v>268</v>
      </c>
    </row>
    <row r="213" spans="11:12" x14ac:dyDescent="0.2">
      <c r="K213" s="56">
        <f t="shared" si="67"/>
        <v>41417</v>
      </c>
      <c r="L213" s="41">
        <f ca="1">IFERROR(INDEX(INDIRECT("Data!C"&amp;'1-Year'!$K$4,FALSE),MATCH(K213,Data!$A:$A,0)),NA())</f>
        <v>307</v>
      </c>
    </row>
    <row r="214" spans="11:12" x14ac:dyDescent="0.2">
      <c r="K214" s="56">
        <f t="shared" si="67"/>
        <v>41418</v>
      </c>
      <c r="L214" s="41">
        <f ca="1">IFERROR(INDEX(INDIRECT("Data!C"&amp;'1-Year'!$K$4,FALSE),MATCH(K214,Data!$A:$A,0)),NA())</f>
        <v>231</v>
      </c>
    </row>
    <row r="215" spans="11:12" x14ac:dyDescent="0.2">
      <c r="K215" s="56">
        <f t="shared" si="67"/>
        <v>41419</v>
      </c>
      <c r="L215" s="41">
        <f ca="1">IFERROR(INDEX(INDIRECT("Data!C"&amp;'1-Year'!$K$4,FALSE),MATCH(K215,Data!$A:$A,0)),NA())</f>
        <v>66</v>
      </c>
    </row>
    <row r="216" spans="11:12" x14ac:dyDescent="0.2">
      <c r="K216" s="56">
        <f t="shared" si="67"/>
        <v>41420</v>
      </c>
      <c r="L216" s="41">
        <f ca="1">IFERROR(INDEX(INDIRECT("Data!C"&amp;'1-Year'!$K$4,FALSE),MATCH(K216,Data!$A:$A,0)),NA())</f>
        <v>31</v>
      </c>
    </row>
    <row r="217" spans="11:12" x14ac:dyDescent="0.2">
      <c r="K217" s="56">
        <f t="shared" si="67"/>
        <v>41421</v>
      </c>
      <c r="L217" s="41">
        <f ca="1">IFERROR(INDEX(INDIRECT("Data!C"&amp;'1-Year'!$K$4,FALSE),MATCH(K217,Data!$A:$A,0)),NA())</f>
        <v>392</v>
      </c>
    </row>
    <row r="218" spans="11:12" x14ac:dyDescent="0.2">
      <c r="K218" s="56">
        <f t="shared" si="67"/>
        <v>41422</v>
      </c>
      <c r="L218" s="41">
        <f ca="1">IFERROR(INDEX(INDIRECT("Data!C"&amp;'1-Year'!$K$4,FALSE),MATCH(K218,Data!$A:$A,0)),NA())</f>
        <v>298</v>
      </c>
    </row>
    <row r="219" spans="11:12" x14ac:dyDescent="0.2">
      <c r="K219" s="56">
        <f t="shared" si="67"/>
        <v>41423</v>
      </c>
      <c r="L219" s="41">
        <f ca="1">IFERROR(INDEX(INDIRECT("Data!C"&amp;'1-Year'!$K$4,FALSE),MATCH(K219,Data!$A:$A,0)),NA())</f>
        <v>232</v>
      </c>
    </row>
    <row r="220" spans="11:12" x14ac:dyDescent="0.2">
      <c r="K220" s="56">
        <f t="shared" si="67"/>
        <v>41424</v>
      </c>
      <c r="L220" s="41">
        <f ca="1">IFERROR(INDEX(INDIRECT("Data!C"&amp;'1-Year'!$K$4,FALSE),MATCH(K220,Data!$A:$A,0)),NA())</f>
        <v>295</v>
      </c>
    </row>
    <row r="221" spans="11:12" x14ac:dyDescent="0.2">
      <c r="K221" s="56">
        <f t="shared" si="67"/>
        <v>41425</v>
      </c>
      <c r="L221" s="41">
        <f ca="1">IFERROR(INDEX(INDIRECT("Data!C"&amp;'1-Year'!$K$4,FALSE),MATCH(K221,Data!$A:$A,0)),NA())</f>
        <v>265</v>
      </c>
    </row>
    <row r="222" spans="11:12" x14ac:dyDescent="0.2">
      <c r="K222" s="56">
        <f t="shared" si="67"/>
        <v>41426</v>
      </c>
      <c r="L222" s="41">
        <f ca="1">IFERROR(INDEX(INDIRECT("Data!C"&amp;'1-Year'!$K$4,FALSE),MATCH(K222,Data!$A:$A,0)),NA())</f>
        <v>66</v>
      </c>
    </row>
    <row r="223" spans="11:12" x14ac:dyDescent="0.2">
      <c r="K223" s="56">
        <f t="shared" si="67"/>
        <v>41427</v>
      </c>
      <c r="L223" s="41">
        <f ca="1">IFERROR(INDEX(INDIRECT("Data!C"&amp;'1-Year'!$K$4,FALSE),MATCH(K223,Data!$A:$A,0)),NA())</f>
        <v>28</v>
      </c>
    </row>
    <row r="224" spans="11:12" x14ac:dyDescent="0.2">
      <c r="K224" s="56">
        <f t="shared" si="67"/>
        <v>41428</v>
      </c>
      <c r="L224" s="41">
        <f ca="1">IFERROR(INDEX(INDIRECT("Data!C"&amp;'1-Year'!$K$4,FALSE),MATCH(K224,Data!$A:$A,0)),NA())</f>
        <v>310</v>
      </c>
    </row>
    <row r="225" spans="11:12" x14ac:dyDescent="0.2">
      <c r="K225" s="56">
        <f t="shared" si="67"/>
        <v>41429</v>
      </c>
      <c r="L225" s="41">
        <f ca="1">IFERROR(INDEX(INDIRECT("Data!C"&amp;'1-Year'!$K$4,FALSE),MATCH(K225,Data!$A:$A,0)),NA())</f>
        <v>308</v>
      </c>
    </row>
    <row r="226" spans="11:12" x14ac:dyDescent="0.2">
      <c r="K226" s="56">
        <f t="shared" si="67"/>
        <v>41430</v>
      </c>
      <c r="L226" s="41">
        <f ca="1">IFERROR(INDEX(INDIRECT("Data!C"&amp;'1-Year'!$K$4,FALSE),MATCH(K226,Data!$A:$A,0)),NA())</f>
        <v>285</v>
      </c>
    </row>
    <row r="227" spans="11:12" x14ac:dyDescent="0.2">
      <c r="K227" s="56">
        <f t="shared" si="67"/>
        <v>41431</v>
      </c>
      <c r="L227" s="41">
        <f ca="1">IFERROR(INDEX(INDIRECT("Data!C"&amp;'1-Year'!$K$4,FALSE),MATCH(K227,Data!$A:$A,0)),NA())</f>
        <v>188</v>
      </c>
    </row>
    <row r="228" spans="11:12" x14ac:dyDescent="0.2">
      <c r="K228" s="56">
        <f t="shared" si="67"/>
        <v>41432</v>
      </c>
      <c r="L228" s="41">
        <f ca="1">IFERROR(INDEX(INDIRECT("Data!C"&amp;'1-Year'!$K$4,FALSE),MATCH(K228,Data!$A:$A,0)),NA())</f>
        <v>245</v>
      </c>
    </row>
    <row r="229" spans="11:12" x14ac:dyDescent="0.2">
      <c r="K229" s="56">
        <f t="shared" si="67"/>
        <v>41433</v>
      </c>
      <c r="L229" s="41">
        <f ca="1">IFERROR(INDEX(INDIRECT("Data!C"&amp;'1-Year'!$K$4,FALSE),MATCH(K229,Data!$A:$A,0)),NA())</f>
        <v>69</v>
      </c>
    </row>
    <row r="230" spans="11:12" x14ac:dyDescent="0.2">
      <c r="K230" s="56">
        <f t="shared" si="67"/>
        <v>41434</v>
      </c>
      <c r="L230" s="41">
        <f ca="1">IFERROR(INDEX(INDIRECT("Data!C"&amp;'1-Year'!$K$4,FALSE),MATCH(K230,Data!$A:$A,0)),NA())</f>
        <v>41</v>
      </c>
    </row>
    <row r="231" spans="11:12" x14ac:dyDescent="0.2">
      <c r="K231" s="56">
        <f t="shared" si="67"/>
        <v>41435</v>
      </c>
      <c r="L231" s="41">
        <f ca="1">IFERROR(INDEX(INDIRECT("Data!C"&amp;'1-Year'!$K$4,FALSE),MATCH(K231,Data!$A:$A,0)),NA())</f>
        <v>227</v>
      </c>
    </row>
    <row r="232" spans="11:12" x14ac:dyDescent="0.2">
      <c r="K232" s="56">
        <f t="shared" si="67"/>
        <v>41436</v>
      </c>
      <c r="L232" s="41">
        <f ca="1">IFERROR(INDEX(INDIRECT("Data!C"&amp;'1-Year'!$K$4,FALSE),MATCH(K232,Data!$A:$A,0)),NA())</f>
        <v>216</v>
      </c>
    </row>
    <row r="233" spans="11:12" x14ac:dyDescent="0.2">
      <c r="K233" s="56">
        <f t="shared" si="67"/>
        <v>41437</v>
      </c>
      <c r="L233" s="41">
        <f ca="1">IFERROR(INDEX(INDIRECT("Data!C"&amp;'1-Year'!$K$4,FALSE),MATCH(K233,Data!$A:$A,0)),NA())</f>
        <v>171</v>
      </c>
    </row>
    <row r="234" spans="11:12" x14ac:dyDescent="0.2">
      <c r="K234" s="56">
        <f t="shared" si="67"/>
        <v>41438</v>
      </c>
      <c r="L234" s="41">
        <f ca="1">IFERROR(INDEX(INDIRECT("Data!C"&amp;'1-Year'!$K$4,FALSE),MATCH(K234,Data!$A:$A,0)),NA())</f>
        <v>153</v>
      </c>
    </row>
    <row r="235" spans="11:12" x14ac:dyDescent="0.2">
      <c r="K235" s="56">
        <f t="shared" si="67"/>
        <v>41439</v>
      </c>
      <c r="L235" s="41">
        <f ca="1">IFERROR(INDEX(INDIRECT("Data!C"&amp;'1-Year'!$K$4,FALSE),MATCH(K235,Data!$A:$A,0)),NA())</f>
        <v>236</v>
      </c>
    </row>
    <row r="236" spans="11:12" x14ac:dyDescent="0.2">
      <c r="K236" s="56">
        <f t="shared" si="67"/>
        <v>41440</v>
      </c>
      <c r="L236" s="41">
        <f ca="1">IFERROR(INDEX(INDIRECT("Data!C"&amp;'1-Year'!$K$4,FALSE),MATCH(K236,Data!$A:$A,0)),NA())</f>
        <v>59</v>
      </c>
    </row>
    <row r="237" spans="11:12" x14ac:dyDescent="0.2">
      <c r="K237" s="56">
        <f t="shared" si="67"/>
        <v>41441</v>
      </c>
      <c r="L237" s="41">
        <f ca="1">IFERROR(INDEX(INDIRECT("Data!C"&amp;'1-Year'!$K$4,FALSE),MATCH(K237,Data!$A:$A,0)),NA())</f>
        <v>32</v>
      </c>
    </row>
    <row r="238" spans="11:12" x14ac:dyDescent="0.2">
      <c r="K238" s="56">
        <f t="shared" si="67"/>
        <v>41442</v>
      </c>
      <c r="L238" s="41">
        <f ca="1">IFERROR(INDEX(INDIRECT("Data!C"&amp;'1-Year'!$K$4,FALSE),MATCH(K238,Data!$A:$A,0)),NA())</f>
        <v>378</v>
      </c>
    </row>
    <row r="239" spans="11:12" x14ac:dyDescent="0.2">
      <c r="K239" s="56">
        <f t="shared" si="67"/>
        <v>41443</v>
      </c>
      <c r="L239" s="41">
        <f ca="1">IFERROR(INDEX(INDIRECT("Data!C"&amp;'1-Year'!$K$4,FALSE),MATCH(K239,Data!$A:$A,0)),NA())</f>
        <v>246</v>
      </c>
    </row>
    <row r="240" spans="11:12" x14ac:dyDescent="0.2">
      <c r="K240" s="56">
        <f t="shared" si="67"/>
        <v>41444</v>
      </c>
      <c r="L240" s="41">
        <f ca="1">IFERROR(INDEX(INDIRECT("Data!C"&amp;'1-Year'!$K$4,FALSE),MATCH(K240,Data!$A:$A,0)),NA())</f>
        <v>171</v>
      </c>
    </row>
    <row r="241" spans="11:12" x14ac:dyDescent="0.2">
      <c r="K241" s="56">
        <f t="shared" si="67"/>
        <v>41445</v>
      </c>
      <c r="L241" s="41">
        <f ca="1">IFERROR(INDEX(INDIRECT("Data!C"&amp;'1-Year'!$K$4,FALSE),MATCH(K241,Data!$A:$A,0)),NA())</f>
        <v>151</v>
      </c>
    </row>
    <row r="242" spans="11:12" x14ac:dyDescent="0.2">
      <c r="K242" s="56">
        <f t="shared" si="67"/>
        <v>41446</v>
      </c>
      <c r="L242" s="41">
        <f ca="1">IFERROR(INDEX(INDIRECT("Data!C"&amp;'1-Year'!$K$4,FALSE),MATCH(K242,Data!$A:$A,0)),NA())</f>
        <v>108</v>
      </c>
    </row>
    <row r="243" spans="11:12" x14ac:dyDescent="0.2">
      <c r="K243" s="56">
        <f t="shared" si="67"/>
        <v>41447</v>
      </c>
      <c r="L243" s="41">
        <f ca="1">IFERROR(INDEX(INDIRECT("Data!C"&amp;'1-Year'!$K$4,FALSE),MATCH(K243,Data!$A:$A,0)),NA())</f>
        <v>39</v>
      </c>
    </row>
    <row r="244" spans="11:12" x14ac:dyDescent="0.2">
      <c r="K244" s="56">
        <f t="shared" si="67"/>
        <v>41448</v>
      </c>
      <c r="L244" s="41">
        <f ca="1">IFERROR(INDEX(INDIRECT("Data!C"&amp;'1-Year'!$K$4,FALSE),MATCH(K244,Data!$A:$A,0)),NA())</f>
        <v>33</v>
      </c>
    </row>
    <row r="245" spans="11:12" x14ac:dyDescent="0.2">
      <c r="K245" s="56">
        <f t="shared" si="67"/>
        <v>41449</v>
      </c>
      <c r="L245" s="41">
        <f ca="1">IFERROR(INDEX(INDIRECT("Data!C"&amp;'1-Year'!$K$4,FALSE),MATCH(K245,Data!$A:$A,0)),NA())</f>
        <v>275</v>
      </c>
    </row>
    <row r="246" spans="11:12" x14ac:dyDescent="0.2">
      <c r="K246" s="56">
        <f t="shared" si="67"/>
        <v>41450</v>
      </c>
      <c r="L246" s="41">
        <f ca="1">IFERROR(INDEX(INDIRECT("Data!C"&amp;'1-Year'!$K$4,FALSE),MATCH(K246,Data!$A:$A,0)),NA())</f>
        <v>203</v>
      </c>
    </row>
    <row r="247" spans="11:12" x14ac:dyDescent="0.2">
      <c r="K247" s="56">
        <f t="shared" si="67"/>
        <v>41451</v>
      </c>
      <c r="L247" s="41">
        <f ca="1">IFERROR(INDEX(INDIRECT("Data!C"&amp;'1-Year'!$K$4,FALSE),MATCH(K247,Data!$A:$A,0)),NA())</f>
        <v>154</v>
      </c>
    </row>
    <row r="248" spans="11:12" x14ac:dyDescent="0.2">
      <c r="K248" s="56">
        <f t="shared" si="67"/>
        <v>41452</v>
      </c>
      <c r="L248" s="41">
        <f ca="1">IFERROR(INDEX(INDIRECT("Data!C"&amp;'1-Year'!$K$4,FALSE),MATCH(K248,Data!$A:$A,0)),NA())</f>
        <v>219</v>
      </c>
    </row>
    <row r="249" spans="11:12" x14ac:dyDescent="0.2">
      <c r="K249" s="56">
        <f t="shared" si="67"/>
        <v>41453</v>
      </c>
      <c r="L249" s="41">
        <f ca="1">IFERROR(INDEX(INDIRECT("Data!C"&amp;'1-Year'!$K$4,FALSE),MATCH(K249,Data!$A:$A,0)),NA())</f>
        <v>148</v>
      </c>
    </row>
    <row r="250" spans="11:12" x14ac:dyDescent="0.2">
      <c r="K250" s="56">
        <f t="shared" si="67"/>
        <v>41454</v>
      </c>
      <c r="L250" s="41">
        <f ca="1">IFERROR(INDEX(INDIRECT("Data!C"&amp;'1-Year'!$K$4,FALSE),MATCH(K250,Data!$A:$A,0)),NA())</f>
        <v>38</v>
      </c>
    </row>
    <row r="251" spans="11:12" x14ac:dyDescent="0.2">
      <c r="K251" s="56">
        <f t="shared" si="67"/>
        <v>41455</v>
      </c>
      <c r="L251" s="41">
        <f ca="1">IFERROR(INDEX(INDIRECT("Data!C"&amp;'1-Year'!$K$4,FALSE),MATCH(K251,Data!$A:$A,0)),NA())</f>
        <v>15</v>
      </c>
    </row>
    <row r="252" spans="11:12" x14ac:dyDescent="0.2">
      <c r="K252" s="56">
        <f t="shared" si="67"/>
        <v>41456</v>
      </c>
      <c r="L252" s="41">
        <f ca="1">IFERROR(INDEX(INDIRECT("Data!C"&amp;'1-Year'!$K$4,FALSE),MATCH(K252,Data!$A:$A,0)),NA())</f>
        <v>197</v>
      </c>
    </row>
    <row r="253" spans="11:12" x14ac:dyDescent="0.2">
      <c r="K253" s="56">
        <f t="shared" si="67"/>
        <v>41457</v>
      </c>
      <c r="L253" s="41">
        <f ca="1">IFERROR(INDEX(INDIRECT("Data!C"&amp;'1-Year'!$K$4,FALSE),MATCH(K253,Data!$A:$A,0)),NA())</f>
        <v>251</v>
      </c>
    </row>
    <row r="254" spans="11:12" x14ac:dyDescent="0.2">
      <c r="K254" s="56">
        <f t="shared" si="67"/>
        <v>41458</v>
      </c>
      <c r="L254" s="41">
        <f ca="1">IFERROR(INDEX(INDIRECT("Data!C"&amp;'1-Year'!$K$4,FALSE),MATCH(K254,Data!$A:$A,0)),NA())</f>
        <v>176</v>
      </c>
    </row>
    <row r="255" spans="11:12" x14ac:dyDescent="0.2">
      <c r="K255" s="56">
        <f t="shared" si="67"/>
        <v>41459</v>
      </c>
      <c r="L255" s="41">
        <f ca="1">IFERROR(INDEX(INDIRECT("Data!C"&amp;'1-Year'!$K$4,FALSE),MATCH(K255,Data!$A:$A,0)),NA())</f>
        <v>152</v>
      </c>
    </row>
    <row r="256" spans="11:12" x14ac:dyDescent="0.2">
      <c r="K256" s="56">
        <f t="shared" si="67"/>
        <v>41460</v>
      </c>
      <c r="L256" s="41">
        <f ca="1">IFERROR(INDEX(INDIRECT("Data!C"&amp;'1-Year'!$K$4,FALSE),MATCH(K256,Data!$A:$A,0)),NA())</f>
        <v>140</v>
      </c>
    </row>
    <row r="257" spans="11:12" x14ac:dyDescent="0.2">
      <c r="K257" s="56">
        <f t="shared" si="67"/>
        <v>41461</v>
      </c>
      <c r="L257" s="41">
        <f ca="1">IFERROR(INDEX(INDIRECT("Data!C"&amp;'1-Year'!$K$4,FALSE),MATCH(K257,Data!$A:$A,0)),NA())</f>
        <v>30</v>
      </c>
    </row>
    <row r="258" spans="11:12" x14ac:dyDescent="0.2">
      <c r="K258" s="56">
        <f t="shared" si="67"/>
        <v>41462</v>
      </c>
      <c r="L258" s="41">
        <f ca="1">IFERROR(INDEX(INDIRECT("Data!C"&amp;'1-Year'!$K$4,FALSE),MATCH(K258,Data!$A:$A,0)),NA())</f>
        <v>20</v>
      </c>
    </row>
    <row r="259" spans="11:12" x14ac:dyDescent="0.2">
      <c r="K259" s="56">
        <f t="shared" si="67"/>
        <v>41463</v>
      </c>
      <c r="L259" s="41">
        <f ca="1">IFERROR(INDEX(INDIRECT("Data!C"&amp;'1-Year'!$K$4,FALSE),MATCH(K259,Data!$A:$A,0)),NA())</f>
        <v>277</v>
      </c>
    </row>
    <row r="260" spans="11:12" x14ac:dyDescent="0.2">
      <c r="K260" s="56">
        <f t="shared" si="67"/>
        <v>41464</v>
      </c>
      <c r="L260" s="41">
        <f ca="1">IFERROR(INDEX(INDIRECT("Data!C"&amp;'1-Year'!$K$4,FALSE),MATCH(K260,Data!$A:$A,0)),NA())</f>
        <v>186</v>
      </c>
    </row>
    <row r="261" spans="11:12" x14ac:dyDescent="0.2">
      <c r="K261" s="56">
        <f t="shared" si="67"/>
        <v>41465</v>
      </c>
      <c r="L261" s="41">
        <f ca="1">IFERROR(INDEX(INDIRECT("Data!C"&amp;'1-Year'!$K$4,FALSE),MATCH(K261,Data!$A:$A,0)),NA())</f>
        <v>105</v>
      </c>
    </row>
    <row r="262" spans="11:12" x14ac:dyDescent="0.2">
      <c r="K262" s="56">
        <f t="shared" si="67"/>
        <v>41466</v>
      </c>
      <c r="L262" s="41">
        <f ca="1">IFERROR(INDEX(INDIRECT("Data!C"&amp;'1-Year'!$K$4,FALSE),MATCH(K262,Data!$A:$A,0)),NA())</f>
        <v>73</v>
      </c>
    </row>
    <row r="263" spans="11:12" x14ac:dyDescent="0.2">
      <c r="K263" s="56">
        <f t="shared" si="67"/>
        <v>41467</v>
      </c>
      <c r="L263" s="41">
        <f ca="1">IFERROR(INDEX(INDIRECT("Data!C"&amp;'1-Year'!$K$4,FALSE),MATCH(K263,Data!$A:$A,0)),NA())</f>
        <v>90</v>
      </c>
    </row>
    <row r="264" spans="11:12" x14ac:dyDescent="0.2">
      <c r="K264" s="56">
        <f t="shared" ref="K264:K327" si="68">IF(K263+1&lt;=$C$7,K263+1,NA())</f>
        <v>41468</v>
      </c>
      <c r="L264" s="41">
        <f ca="1">IFERROR(INDEX(INDIRECT("Data!C"&amp;'1-Year'!$K$4,FALSE),MATCH(K264,Data!$A:$A,0)),NA())</f>
        <v>46</v>
      </c>
    </row>
    <row r="265" spans="11:12" x14ac:dyDescent="0.2">
      <c r="K265" s="56">
        <f t="shared" si="68"/>
        <v>41469</v>
      </c>
      <c r="L265" s="41">
        <f ca="1">IFERROR(INDEX(INDIRECT("Data!C"&amp;'1-Year'!$K$4,FALSE),MATCH(K265,Data!$A:$A,0)),NA())</f>
        <v>11</v>
      </c>
    </row>
    <row r="266" spans="11:12" x14ac:dyDescent="0.2">
      <c r="K266" s="56">
        <f t="shared" si="68"/>
        <v>41470</v>
      </c>
      <c r="L266" s="41">
        <f ca="1">IFERROR(INDEX(INDIRECT("Data!C"&amp;'1-Year'!$K$4,FALSE),MATCH(K266,Data!$A:$A,0)),NA())</f>
        <v>193</v>
      </c>
    </row>
    <row r="267" spans="11:12" x14ac:dyDescent="0.2">
      <c r="K267" s="56">
        <f t="shared" si="68"/>
        <v>41471</v>
      </c>
      <c r="L267" s="41">
        <f ca="1">IFERROR(INDEX(INDIRECT("Data!C"&amp;'1-Year'!$K$4,FALSE),MATCH(K267,Data!$A:$A,0)),NA())</f>
        <v>208</v>
      </c>
    </row>
    <row r="268" spans="11:12" x14ac:dyDescent="0.2">
      <c r="K268" s="56">
        <f t="shared" si="68"/>
        <v>41472</v>
      </c>
      <c r="L268" s="41">
        <f ca="1">IFERROR(INDEX(INDIRECT("Data!C"&amp;'1-Year'!$K$4,FALSE),MATCH(K268,Data!$A:$A,0)),NA())</f>
        <v>240</v>
      </c>
    </row>
    <row r="269" spans="11:12" x14ac:dyDescent="0.2">
      <c r="K269" s="56">
        <f t="shared" si="68"/>
        <v>41473</v>
      </c>
      <c r="L269" s="41">
        <f ca="1">IFERROR(INDEX(INDIRECT("Data!C"&amp;'1-Year'!$K$4,FALSE),MATCH(K269,Data!$A:$A,0)),NA())</f>
        <v>136</v>
      </c>
    </row>
    <row r="270" spans="11:12" x14ac:dyDescent="0.2">
      <c r="K270" s="56">
        <f t="shared" si="68"/>
        <v>41474</v>
      </c>
      <c r="L270" s="41">
        <f ca="1">IFERROR(INDEX(INDIRECT("Data!C"&amp;'1-Year'!$K$4,FALSE),MATCH(K270,Data!$A:$A,0)),NA())</f>
        <v>91</v>
      </c>
    </row>
    <row r="271" spans="11:12" x14ac:dyDescent="0.2">
      <c r="K271" s="56">
        <f t="shared" si="68"/>
        <v>41475</v>
      </c>
      <c r="L271" s="41">
        <f ca="1">IFERROR(INDEX(INDIRECT("Data!C"&amp;'1-Year'!$K$4,FALSE),MATCH(K271,Data!$A:$A,0)),NA())</f>
        <v>52</v>
      </c>
    </row>
    <row r="272" spans="11:12" x14ac:dyDescent="0.2">
      <c r="K272" s="56">
        <f t="shared" si="68"/>
        <v>41476</v>
      </c>
      <c r="L272" s="41">
        <f ca="1">IFERROR(INDEX(INDIRECT("Data!C"&amp;'1-Year'!$K$4,FALSE),MATCH(K272,Data!$A:$A,0)),NA())</f>
        <v>28</v>
      </c>
    </row>
    <row r="273" spans="11:12" x14ac:dyDescent="0.2">
      <c r="K273" s="56">
        <f t="shared" si="68"/>
        <v>41477</v>
      </c>
      <c r="L273" s="41">
        <f ca="1">IFERROR(INDEX(INDIRECT("Data!C"&amp;'1-Year'!$K$4,FALSE),MATCH(K273,Data!$A:$A,0)),NA())</f>
        <v>327</v>
      </c>
    </row>
    <row r="274" spans="11:12" x14ac:dyDescent="0.2">
      <c r="K274" s="56">
        <f t="shared" si="68"/>
        <v>41478</v>
      </c>
      <c r="L274" s="41">
        <f ca="1">IFERROR(INDEX(INDIRECT("Data!C"&amp;'1-Year'!$K$4,FALSE),MATCH(K274,Data!$A:$A,0)),NA())</f>
        <v>151</v>
      </c>
    </row>
    <row r="275" spans="11:12" x14ac:dyDescent="0.2">
      <c r="K275" s="56">
        <f t="shared" si="68"/>
        <v>41479</v>
      </c>
      <c r="L275" s="41">
        <f ca="1">IFERROR(INDEX(INDIRECT("Data!C"&amp;'1-Year'!$K$4,FALSE),MATCH(K275,Data!$A:$A,0)),NA())</f>
        <v>156</v>
      </c>
    </row>
    <row r="276" spans="11:12" x14ac:dyDescent="0.2">
      <c r="K276" s="56">
        <f t="shared" si="68"/>
        <v>41480</v>
      </c>
      <c r="L276" s="41">
        <f ca="1">IFERROR(INDEX(INDIRECT("Data!C"&amp;'1-Year'!$K$4,FALSE),MATCH(K276,Data!$A:$A,0)),NA())</f>
        <v>255</v>
      </c>
    </row>
    <row r="277" spans="11:12" x14ac:dyDescent="0.2">
      <c r="K277" s="56">
        <f t="shared" si="68"/>
        <v>41481</v>
      </c>
      <c r="L277" s="41">
        <f ca="1">IFERROR(INDEX(INDIRECT("Data!C"&amp;'1-Year'!$K$4,FALSE),MATCH(K277,Data!$A:$A,0)),NA())</f>
        <v>115</v>
      </c>
    </row>
    <row r="278" spans="11:12" x14ac:dyDescent="0.2">
      <c r="K278" s="56">
        <f t="shared" si="68"/>
        <v>41482</v>
      </c>
      <c r="L278" s="41">
        <f ca="1">IFERROR(INDEX(INDIRECT("Data!C"&amp;'1-Year'!$K$4,FALSE),MATCH(K278,Data!$A:$A,0)),NA())</f>
        <v>57</v>
      </c>
    </row>
    <row r="279" spans="11:12" x14ac:dyDescent="0.2">
      <c r="K279" s="56">
        <f t="shared" si="68"/>
        <v>41483</v>
      </c>
      <c r="L279" s="41">
        <f ca="1">IFERROR(INDEX(INDIRECT("Data!C"&amp;'1-Year'!$K$4,FALSE),MATCH(K279,Data!$A:$A,0)),NA())</f>
        <v>39</v>
      </c>
    </row>
    <row r="280" spans="11:12" x14ac:dyDescent="0.2">
      <c r="K280" s="56">
        <f t="shared" si="68"/>
        <v>41484</v>
      </c>
      <c r="L280" s="41">
        <f ca="1">IFERROR(INDEX(INDIRECT("Data!C"&amp;'1-Year'!$K$4,FALSE),MATCH(K280,Data!$A:$A,0)),NA())</f>
        <v>233</v>
      </c>
    </row>
    <row r="281" spans="11:12" x14ac:dyDescent="0.2">
      <c r="K281" s="56">
        <f t="shared" si="68"/>
        <v>41485</v>
      </c>
      <c r="L281" s="41">
        <f ca="1">IFERROR(INDEX(INDIRECT("Data!C"&amp;'1-Year'!$K$4,FALSE),MATCH(K281,Data!$A:$A,0)),NA())</f>
        <v>245</v>
      </c>
    </row>
    <row r="282" spans="11:12" x14ac:dyDescent="0.2">
      <c r="K282" s="56">
        <f t="shared" si="68"/>
        <v>41486</v>
      </c>
      <c r="L282" s="41">
        <f ca="1">IFERROR(INDEX(INDIRECT("Data!C"&amp;'1-Year'!$K$4,FALSE),MATCH(K282,Data!$A:$A,0)),NA())</f>
        <v>225</v>
      </c>
    </row>
    <row r="283" spans="11:12" x14ac:dyDescent="0.2">
      <c r="K283" s="56">
        <f t="shared" si="68"/>
        <v>41487</v>
      </c>
      <c r="L283" s="41">
        <f ca="1">IFERROR(INDEX(INDIRECT("Data!C"&amp;'1-Year'!$K$4,FALSE),MATCH(K283,Data!$A:$A,0)),NA())</f>
        <v>193</v>
      </c>
    </row>
    <row r="284" spans="11:12" x14ac:dyDescent="0.2">
      <c r="K284" s="56">
        <f t="shared" si="68"/>
        <v>41488</v>
      </c>
      <c r="L284" s="41">
        <f ca="1">IFERROR(INDEX(INDIRECT("Data!C"&amp;'1-Year'!$K$4,FALSE),MATCH(K284,Data!$A:$A,0)),NA())</f>
        <v>239</v>
      </c>
    </row>
    <row r="285" spans="11:12" x14ac:dyDescent="0.2">
      <c r="K285" s="56">
        <f t="shared" si="68"/>
        <v>41489</v>
      </c>
      <c r="L285" s="41">
        <f ca="1">IFERROR(INDEX(INDIRECT("Data!C"&amp;'1-Year'!$K$4,FALSE),MATCH(K285,Data!$A:$A,0)),NA())</f>
        <v>56</v>
      </c>
    </row>
    <row r="286" spans="11:12" x14ac:dyDescent="0.2">
      <c r="K286" s="56">
        <f t="shared" si="68"/>
        <v>41490</v>
      </c>
      <c r="L286" s="41">
        <f ca="1">IFERROR(INDEX(INDIRECT("Data!C"&amp;'1-Year'!$K$4,FALSE),MATCH(K286,Data!$A:$A,0)),NA())</f>
        <v>32</v>
      </c>
    </row>
    <row r="287" spans="11:12" x14ac:dyDescent="0.2">
      <c r="K287" s="56">
        <f t="shared" si="68"/>
        <v>41491</v>
      </c>
      <c r="L287" s="41">
        <f ca="1">IFERROR(INDEX(INDIRECT("Data!C"&amp;'1-Year'!$K$4,FALSE),MATCH(K287,Data!$A:$A,0)),NA())</f>
        <v>301</v>
      </c>
    </row>
    <row r="288" spans="11:12" x14ac:dyDescent="0.2">
      <c r="K288" s="56">
        <f t="shared" si="68"/>
        <v>41492</v>
      </c>
      <c r="L288" s="41">
        <f ca="1">IFERROR(INDEX(INDIRECT("Data!C"&amp;'1-Year'!$K$4,FALSE),MATCH(K288,Data!$A:$A,0)),NA())</f>
        <v>304</v>
      </c>
    </row>
    <row r="289" spans="11:12" x14ac:dyDescent="0.2">
      <c r="K289" s="56">
        <f t="shared" si="68"/>
        <v>41493</v>
      </c>
      <c r="L289" s="41">
        <f ca="1">IFERROR(INDEX(INDIRECT("Data!C"&amp;'1-Year'!$K$4,FALSE),MATCH(K289,Data!$A:$A,0)),NA())</f>
        <v>215</v>
      </c>
    </row>
    <row r="290" spans="11:12" x14ac:dyDescent="0.2">
      <c r="K290" s="56">
        <f t="shared" si="68"/>
        <v>41494</v>
      </c>
      <c r="L290" s="41">
        <f ca="1">IFERROR(INDEX(INDIRECT("Data!C"&amp;'1-Year'!$K$4,FALSE),MATCH(K290,Data!$A:$A,0)),NA())</f>
        <v>191</v>
      </c>
    </row>
    <row r="291" spans="11:12" x14ac:dyDescent="0.2">
      <c r="K291" s="56">
        <f t="shared" si="68"/>
        <v>41495</v>
      </c>
      <c r="L291" s="41">
        <f ca="1">IFERROR(INDEX(INDIRECT("Data!C"&amp;'1-Year'!$K$4,FALSE),MATCH(K291,Data!$A:$A,0)),NA())</f>
        <v>181</v>
      </c>
    </row>
    <row r="292" spans="11:12" x14ac:dyDescent="0.2">
      <c r="K292" s="56">
        <f t="shared" si="68"/>
        <v>41496</v>
      </c>
      <c r="L292" s="41">
        <f ca="1">IFERROR(INDEX(INDIRECT("Data!C"&amp;'1-Year'!$K$4,FALSE),MATCH(K292,Data!$A:$A,0)),NA())</f>
        <v>89</v>
      </c>
    </row>
    <row r="293" spans="11:12" x14ac:dyDescent="0.2">
      <c r="K293" s="56">
        <f t="shared" si="68"/>
        <v>41497</v>
      </c>
      <c r="L293" s="41">
        <f ca="1">IFERROR(INDEX(INDIRECT("Data!C"&amp;'1-Year'!$K$4,FALSE),MATCH(K293,Data!$A:$A,0)),NA())</f>
        <v>34</v>
      </c>
    </row>
    <row r="294" spans="11:12" x14ac:dyDescent="0.2">
      <c r="K294" s="56">
        <f t="shared" si="68"/>
        <v>41498</v>
      </c>
      <c r="L294" s="41">
        <f ca="1">IFERROR(INDEX(INDIRECT("Data!C"&amp;'1-Year'!$K$4,FALSE),MATCH(K294,Data!$A:$A,0)),NA())</f>
        <v>457</v>
      </c>
    </row>
    <row r="295" spans="11:12" x14ac:dyDescent="0.2">
      <c r="K295" s="56">
        <f t="shared" si="68"/>
        <v>41499</v>
      </c>
      <c r="L295" s="41">
        <f ca="1">IFERROR(INDEX(INDIRECT("Data!C"&amp;'1-Year'!$K$4,FALSE),MATCH(K295,Data!$A:$A,0)),NA())</f>
        <v>360</v>
      </c>
    </row>
    <row r="296" spans="11:12" x14ac:dyDescent="0.2">
      <c r="K296" s="56">
        <f t="shared" si="68"/>
        <v>41500</v>
      </c>
      <c r="L296" s="41">
        <f ca="1">IFERROR(INDEX(INDIRECT("Data!C"&amp;'1-Year'!$K$4,FALSE),MATCH(K296,Data!$A:$A,0)),NA())</f>
        <v>295</v>
      </c>
    </row>
    <row r="297" spans="11:12" x14ac:dyDescent="0.2">
      <c r="K297" s="56">
        <f t="shared" si="68"/>
        <v>41501</v>
      </c>
      <c r="L297" s="41">
        <f ca="1">IFERROR(INDEX(INDIRECT("Data!C"&amp;'1-Year'!$K$4,FALSE),MATCH(K297,Data!$A:$A,0)),NA())</f>
        <v>252</v>
      </c>
    </row>
    <row r="298" spans="11:12" x14ac:dyDescent="0.2">
      <c r="K298" s="56">
        <f t="shared" si="68"/>
        <v>41502</v>
      </c>
      <c r="L298" s="41">
        <f ca="1">IFERROR(INDEX(INDIRECT("Data!C"&amp;'1-Year'!$K$4,FALSE),MATCH(K298,Data!$A:$A,0)),NA())</f>
        <v>239</v>
      </c>
    </row>
    <row r="299" spans="11:12" x14ac:dyDescent="0.2">
      <c r="K299" s="56">
        <f t="shared" si="68"/>
        <v>41503</v>
      </c>
      <c r="L299" s="41">
        <f ca="1">IFERROR(INDEX(INDIRECT("Data!C"&amp;'1-Year'!$K$4,FALSE),MATCH(K299,Data!$A:$A,0)),NA())</f>
        <v>97</v>
      </c>
    </row>
    <row r="300" spans="11:12" x14ac:dyDescent="0.2">
      <c r="K300" s="56">
        <f t="shared" si="68"/>
        <v>41504</v>
      </c>
      <c r="L300" s="41">
        <f ca="1">IFERROR(INDEX(INDIRECT("Data!C"&amp;'1-Year'!$K$4,FALSE),MATCH(K300,Data!$A:$A,0)),NA())</f>
        <v>33</v>
      </c>
    </row>
    <row r="301" spans="11:12" x14ac:dyDescent="0.2">
      <c r="K301" s="56">
        <f t="shared" si="68"/>
        <v>41505</v>
      </c>
      <c r="L301" s="41">
        <f ca="1">IFERROR(INDEX(INDIRECT("Data!C"&amp;'1-Year'!$K$4,FALSE),MATCH(K301,Data!$A:$A,0)),NA())</f>
        <v>379</v>
      </c>
    </row>
    <row r="302" spans="11:12" x14ac:dyDescent="0.2">
      <c r="K302" s="56">
        <f t="shared" si="68"/>
        <v>41506</v>
      </c>
      <c r="L302" s="41">
        <f ca="1">IFERROR(INDEX(INDIRECT("Data!C"&amp;'1-Year'!$K$4,FALSE),MATCH(K302,Data!$A:$A,0)),NA())</f>
        <v>357</v>
      </c>
    </row>
    <row r="303" spans="11:12" x14ac:dyDescent="0.2">
      <c r="K303" s="56">
        <f t="shared" si="68"/>
        <v>41507</v>
      </c>
      <c r="L303" s="41">
        <f ca="1">IFERROR(INDEX(INDIRECT("Data!C"&amp;'1-Year'!$K$4,FALSE),MATCH(K303,Data!$A:$A,0)),NA())</f>
        <v>385</v>
      </c>
    </row>
    <row r="304" spans="11:12" x14ac:dyDescent="0.2">
      <c r="K304" s="56">
        <f t="shared" si="68"/>
        <v>41508</v>
      </c>
      <c r="L304" s="41">
        <f ca="1">IFERROR(INDEX(INDIRECT("Data!C"&amp;'1-Year'!$K$4,FALSE),MATCH(K304,Data!$A:$A,0)),NA())</f>
        <v>348</v>
      </c>
    </row>
    <row r="305" spans="11:12" x14ac:dyDescent="0.2">
      <c r="K305" s="56">
        <f t="shared" si="68"/>
        <v>41509</v>
      </c>
      <c r="L305" s="41">
        <f ca="1">IFERROR(INDEX(INDIRECT("Data!C"&amp;'1-Year'!$K$4,FALSE),MATCH(K305,Data!$A:$A,0)),NA())</f>
        <v>282</v>
      </c>
    </row>
    <row r="306" spans="11:12" x14ac:dyDescent="0.2">
      <c r="K306" s="56">
        <f t="shared" si="68"/>
        <v>41510</v>
      </c>
      <c r="L306" s="41">
        <f ca="1">IFERROR(INDEX(INDIRECT("Data!C"&amp;'1-Year'!$K$4,FALSE),MATCH(K306,Data!$A:$A,0)),NA())</f>
        <v>81</v>
      </c>
    </row>
    <row r="307" spans="11:12" x14ac:dyDescent="0.2">
      <c r="K307" s="56">
        <f t="shared" si="68"/>
        <v>41511</v>
      </c>
      <c r="L307" s="41">
        <f ca="1">IFERROR(INDEX(INDIRECT("Data!C"&amp;'1-Year'!$K$4,FALSE),MATCH(K307,Data!$A:$A,0)),NA())</f>
        <v>29</v>
      </c>
    </row>
    <row r="308" spans="11:12" x14ac:dyDescent="0.2">
      <c r="K308" s="56">
        <f t="shared" si="68"/>
        <v>41512</v>
      </c>
      <c r="L308" s="41">
        <f ca="1">IFERROR(INDEX(INDIRECT("Data!C"&amp;'1-Year'!$K$4,FALSE),MATCH(K308,Data!$A:$A,0)),NA())</f>
        <v>405</v>
      </c>
    </row>
    <row r="309" spans="11:12" x14ac:dyDescent="0.2">
      <c r="K309" s="56">
        <f t="shared" si="68"/>
        <v>41513</v>
      </c>
      <c r="L309" s="41">
        <f ca="1">IFERROR(INDEX(INDIRECT("Data!C"&amp;'1-Year'!$K$4,FALSE),MATCH(K309,Data!$A:$A,0)),NA())</f>
        <v>387</v>
      </c>
    </row>
    <row r="310" spans="11:12" x14ac:dyDescent="0.2">
      <c r="K310" s="56">
        <f t="shared" si="68"/>
        <v>41514</v>
      </c>
      <c r="L310" s="41">
        <f ca="1">IFERROR(INDEX(INDIRECT("Data!C"&amp;'1-Year'!$K$4,FALSE),MATCH(K310,Data!$A:$A,0)),NA())</f>
        <v>308</v>
      </c>
    </row>
    <row r="311" spans="11:12" x14ac:dyDescent="0.2">
      <c r="K311" s="56">
        <f t="shared" si="68"/>
        <v>41515</v>
      </c>
      <c r="L311" s="41">
        <f ca="1">IFERROR(INDEX(INDIRECT("Data!C"&amp;'1-Year'!$K$4,FALSE),MATCH(K311,Data!$A:$A,0)),NA())</f>
        <v>281</v>
      </c>
    </row>
    <row r="312" spans="11:12" x14ac:dyDescent="0.2">
      <c r="K312" s="56">
        <f t="shared" si="68"/>
        <v>41516</v>
      </c>
      <c r="L312" s="41">
        <f ca="1">IFERROR(INDEX(INDIRECT("Data!C"&amp;'1-Year'!$K$4,FALSE),MATCH(K312,Data!$A:$A,0)),NA())</f>
        <v>181</v>
      </c>
    </row>
    <row r="313" spans="11:12" x14ac:dyDescent="0.2">
      <c r="K313" s="56">
        <f t="shared" si="68"/>
        <v>41517</v>
      </c>
      <c r="L313" s="41">
        <f ca="1">IFERROR(INDEX(INDIRECT("Data!C"&amp;'1-Year'!$K$4,FALSE),MATCH(K313,Data!$A:$A,0)),NA())</f>
        <v>63</v>
      </c>
    </row>
    <row r="314" spans="11:12" x14ac:dyDescent="0.2">
      <c r="K314" s="56">
        <f t="shared" si="68"/>
        <v>41518</v>
      </c>
      <c r="L314" s="41">
        <f ca="1">IFERROR(INDEX(INDIRECT("Data!C"&amp;'1-Year'!$K$4,FALSE),MATCH(K314,Data!$A:$A,0)),NA())</f>
        <v>46</v>
      </c>
    </row>
    <row r="315" spans="11:12" x14ac:dyDescent="0.2">
      <c r="K315" s="56">
        <f t="shared" si="68"/>
        <v>41519</v>
      </c>
      <c r="L315" s="41">
        <f ca="1">IFERROR(INDEX(INDIRECT("Data!C"&amp;'1-Year'!$K$4,FALSE),MATCH(K315,Data!$A:$A,0)),NA())</f>
        <v>280</v>
      </c>
    </row>
    <row r="316" spans="11:12" x14ac:dyDescent="0.2">
      <c r="K316" s="56">
        <f t="shared" si="68"/>
        <v>41520</v>
      </c>
      <c r="L316" s="41">
        <f ca="1">IFERROR(INDEX(INDIRECT("Data!C"&amp;'1-Year'!$K$4,FALSE),MATCH(K316,Data!$A:$A,0)),NA())</f>
        <v>391</v>
      </c>
    </row>
    <row r="317" spans="11:12" x14ac:dyDescent="0.2">
      <c r="K317" s="56">
        <f t="shared" si="68"/>
        <v>41521</v>
      </c>
      <c r="L317" s="41">
        <f ca="1">IFERROR(INDEX(INDIRECT("Data!C"&amp;'1-Year'!$K$4,FALSE),MATCH(K317,Data!$A:$A,0)),NA())</f>
        <v>295</v>
      </c>
    </row>
    <row r="318" spans="11:12" x14ac:dyDescent="0.2">
      <c r="K318" s="56">
        <f t="shared" si="68"/>
        <v>41522</v>
      </c>
      <c r="L318" s="41">
        <f ca="1">IFERROR(INDEX(INDIRECT("Data!C"&amp;'1-Year'!$K$4,FALSE),MATCH(K318,Data!$A:$A,0)),NA())</f>
        <v>187</v>
      </c>
    </row>
    <row r="319" spans="11:12" x14ac:dyDescent="0.2">
      <c r="K319" s="56">
        <f t="shared" si="68"/>
        <v>41523</v>
      </c>
      <c r="L319" s="41">
        <f ca="1">IFERROR(INDEX(INDIRECT("Data!C"&amp;'1-Year'!$K$4,FALSE),MATCH(K319,Data!$A:$A,0)),NA())</f>
        <v>227</v>
      </c>
    </row>
    <row r="320" spans="11:12" x14ac:dyDescent="0.2">
      <c r="K320" s="56">
        <f t="shared" si="68"/>
        <v>41524</v>
      </c>
      <c r="L320" s="41">
        <f ca="1">IFERROR(INDEX(INDIRECT("Data!C"&amp;'1-Year'!$K$4,FALSE),MATCH(K320,Data!$A:$A,0)),NA())</f>
        <v>58</v>
      </c>
    </row>
    <row r="321" spans="11:12" x14ac:dyDescent="0.2">
      <c r="K321" s="56">
        <f t="shared" si="68"/>
        <v>41525</v>
      </c>
      <c r="L321" s="41">
        <f ca="1">IFERROR(INDEX(INDIRECT("Data!C"&amp;'1-Year'!$K$4,FALSE),MATCH(K321,Data!$A:$A,0)),NA())</f>
        <v>41</v>
      </c>
    </row>
    <row r="322" spans="11:12" x14ac:dyDescent="0.2">
      <c r="K322" s="56">
        <f t="shared" si="68"/>
        <v>41526</v>
      </c>
      <c r="L322" s="41">
        <f ca="1">IFERROR(INDEX(INDIRECT("Data!C"&amp;'1-Year'!$K$4,FALSE),MATCH(K322,Data!$A:$A,0)),NA())</f>
        <v>297</v>
      </c>
    </row>
    <row r="323" spans="11:12" x14ac:dyDescent="0.2">
      <c r="K323" s="56">
        <f t="shared" si="68"/>
        <v>41527</v>
      </c>
      <c r="L323" s="41">
        <f ca="1">IFERROR(INDEX(INDIRECT("Data!C"&amp;'1-Year'!$K$4,FALSE),MATCH(K323,Data!$A:$A,0)),NA())</f>
        <v>261</v>
      </c>
    </row>
    <row r="324" spans="11:12" x14ac:dyDescent="0.2">
      <c r="K324" s="56">
        <f t="shared" si="68"/>
        <v>41528</v>
      </c>
      <c r="L324" s="41">
        <f ca="1">IFERROR(INDEX(INDIRECT("Data!C"&amp;'1-Year'!$K$4,FALSE),MATCH(K324,Data!$A:$A,0)),NA())</f>
        <v>229</v>
      </c>
    </row>
    <row r="325" spans="11:12" x14ac:dyDescent="0.2">
      <c r="K325" s="56">
        <f t="shared" si="68"/>
        <v>41529</v>
      </c>
      <c r="L325" s="41">
        <f ca="1">IFERROR(INDEX(INDIRECT("Data!C"&amp;'1-Year'!$K$4,FALSE),MATCH(K325,Data!$A:$A,0)),NA())</f>
        <v>163</v>
      </c>
    </row>
    <row r="326" spans="11:12" x14ac:dyDescent="0.2">
      <c r="K326" s="56">
        <f t="shared" si="68"/>
        <v>41530</v>
      </c>
      <c r="L326" s="41">
        <f ca="1">IFERROR(INDEX(INDIRECT("Data!C"&amp;'1-Year'!$K$4,FALSE),MATCH(K326,Data!$A:$A,0)),NA())</f>
        <v>179</v>
      </c>
    </row>
    <row r="327" spans="11:12" x14ac:dyDescent="0.2">
      <c r="K327" s="56">
        <f t="shared" si="68"/>
        <v>41531</v>
      </c>
      <c r="L327" s="41">
        <f ca="1">IFERROR(INDEX(INDIRECT("Data!C"&amp;'1-Year'!$K$4,FALSE),MATCH(K327,Data!$A:$A,0)),NA())</f>
        <v>47</v>
      </c>
    </row>
    <row r="328" spans="11:12" x14ac:dyDescent="0.2">
      <c r="K328" s="56">
        <f t="shared" ref="K328:K391" si="69">IF(K327+1&lt;=$C$7,K327+1,NA())</f>
        <v>41532</v>
      </c>
      <c r="L328" s="41">
        <f ca="1">IFERROR(INDEX(INDIRECT("Data!C"&amp;'1-Year'!$K$4,FALSE),MATCH(K328,Data!$A:$A,0)),NA())</f>
        <v>18</v>
      </c>
    </row>
    <row r="329" spans="11:12" x14ac:dyDescent="0.2">
      <c r="K329" s="56">
        <f t="shared" si="69"/>
        <v>41533</v>
      </c>
      <c r="L329" s="41">
        <f ca="1">IFERROR(INDEX(INDIRECT("Data!C"&amp;'1-Year'!$K$4,FALSE),MATCH(K329,Data!$A:$A,0)),NA())</f>
        <v>214</v>
      </c>
    </row>
    <row r="330" spans="11:12" x14ac:dyDescent="0.2">
      <c r="K330" s="56">
        <f t="shared" si="69"/>
        <v>41534</v>
      </c>
      <c r="L330" s="41">
        <f ca="1">IFERROR(INDEX(INDIRECT("Data!C"&amp;'1-Year'!$K$4,FALSE),MATCH(K330,Data!$A:$A,0)),NA())</f>
        <v>181</v>
      </c>
    </row>
    <row r="331" spans="11:12" x14ac:dyDescent="0.2">
      <c r="K331" s="56">
        <f t="shared" si="69"/>
        <v>41535</v>
      </c>
      <c r="L331" s="41">
        <f ca="1">IFERROR(INDEX(INDIRECT("Data!C"&amp;'1-Year'!$K$4,FALSE),MATCH(K331,Data!$A:$A,0)),NA())</f>
        <v>259</v>
      </c>
    </row>
    <row r="332" spans="11:12" x14ac:dyDescent="0.2">
      <c r="K332" s="56">
        <f t="shared" si="69"/>
        <v>41536</v>
      </c>
      <c r="L332" s="41">
        <f ca="1">IFERROR(INDEX(INDIRECT("Data!C"&amp;'1-Year'!$K$4,FALSE),MATCH(K332,Data!$A:$A,0)),NA())</f>
        <v>133</v>
      </c>
    </row>
    <row r="333" spans="11:12" x14ac:dyDescent="0.2">
      <c r="K333" s="56">
        <f t="shared" si="69"/>
        <v>41537</v>
      </c>
      <c r="L333" s="41">
        <f ca="1">IFERROR(INDEX(INDIRECT("Data!C"&amp;'1-Year'!$K$4,FALSE),MATCH(K333,Data!$A:$A,0)),NA())</f>
        <v>119</v>
      </c>
    </row>
    <row r="334" spans="11:12" x14ac:dyDescent="0.2">
      <c r="K334" s="56">
        <f t="shared" si="69"/>
        <v>41538</v>
      </c>
      <c r="L334" s="41">
        <f ca="1">IFERROR(INDEX(INDIRECT("Data!C"&amp;'1-Year'!$K$4,FALSE),MATCH(K334,Data!$A:$A,0)),NA())</f>
        <v>57</v>
      </c>
    </row>
    <row r="335" spans="11:12" x14ac:dyDescent="0.2">
      <c r="K335" s="56">
        <f t="shared" si="69"/>
        <v>41539</v>
      </c>
      <c r="L335" s="41">
        <f ca="1">IFERROR(INDEX(INDIRECT("Data!C"&amp;'1-Year'!$K$4,FALSE),MATCH(K335,Data!$A:$A,0)),NA())</f>
        <v>15</v>
      </c>
    </row>
    <row r="336" spans="11:12" x14ac:dyDescent="0.2">
      <c r="K336" s="56">
        <f t="shared" si="69"/>
        <v>41540</v>
      </c>
      <c r="L336" s="41">
        <f ca="1">IFERROR(INDEX(INDIRECT("Data!C"&amp;'1-Year'!$K$4,FALSE),MATCH(K336,Data!$A:$A,0)),NA())</f>
        <v>160</v>
      </c>
    </row>
    <row r="337" spans="11:12" x14ac:dyDescent="0.2">
      <c r="K337" s="56">
        <f t="shared" si="69"/>
        <v>41541</v>
      </c>
      <c r="L337" s="41">
        <f ca="1">IFERROR(INDEX(INDIRECT("Data!C"&amp;'1-Year'!$K$4,FALSE),MATCH(K337,Data!$A:$A,0)),NA())</f>
        <v>137</v>
      </c>
    </row>
    <row r="338" spans="11:12" x14ac:dyDescent="0.2">
      <c r="K338" s="56">
        <f t="shared" si="69"/>
        <v>41542</v>
      </c>
      <c r="L338" s="41">
        <f ca="1">IFERROR(INDEX(INDIRECT("Data!C"&amp;'1-Year'!$K$4,FALSE),MATCH(K338,Data!$A:$A,0)),NA())</f>
        <v>127</v>
      </c>
    </row>
    <row r="339" spans="11:12" x14ac:dyDescent="0.2">
      <c r="K339" s="56">
        <f t="shared" si="69"/>
        <v>41543</v>
      </c>
      <c r="L339" s="41">
        <f ca="1">IFERROR(INDEX(INDIRECT("Data!C"&amp;'1-Year'!$K$4,FALSE),MATCH(K339,Data!$A:$A,0)),NA())</f>
        <v>133</v>
      </c>
    </row>
    <row r="340" spans="11:12" x14ac:dyDescent="0.2">
      <c r="K340" s="56">
        <f t="shared" si="69"/>
        <v>41544</v>
      </c>
      <c r="L340" s="41">
        <f ca="1">IFERROR(INDEX(INDIRECT("Data!C"&amp;'1-Year'!$K$4,FALSE),MATCH(K340,Data!$A:$A,0)),NA())</f>
        <v>97</v>
      </c>
    </row>
    <row r="341" spans="11:12" x14ac:dyDescent="0.2">
      <c r="K341" s="56">
        <f t="shared" si="69"/>
        <v>41545</v>
      </c>
      <c r="L341" s="41">
        <f ca="1">IFERROR(INDEX(INDIRECT("Data!C"&amp;'1-Year'!$K$4,FALSE),MATCH(K341,Data!$A:$A,0)),NA())</f>
        <v>55</v>
      </c>
    </row>
    <row r="342" spans="11:12" x14ac:dyDescent="0.2">
      <c r="K342" s="56">
        <f t="shared" si="69"/>
        <v>41546</v>
      </c>
      <c r="L342" s="41">
        <f ca="1">IFERROR(INDEX(INDIRECT("Data!C"&amp;'1-Year'!$K$4,FALSE),MATCH(K342,Data!$A:$A,0)),NA())</f>
        <v>18</v>
      </c>
    </row>
    <row r="343" spans="11:12" x14ac:dyDescent="0.2">
      <c r="K343" s="56">
        <f t="shared" si="69"/>
        <v>41547</v>
      </c>
      <c r="L343" s="41">
        <f ca="1">IFERROR(INDEX(INDIRECT("Data!C"&amp;'1-Year'!$K$4,FALSE),MATCH(K343,Data!$A:$A,0)),NA())</f>
        <v>165</v>
      </c>
    </row>
    <row r="344" spans="11:12" x14ac:dyDescent="0.2">
      <c r="K344" s="56">
        <f t="shared" si="69"/>
        <v>41548</v>
      </c>
      <c r="L344" s="41">
        <f ca="1">IFERROR(INDEX(INDIRECT("Data!C"&amp;'1-Year'!$K$4,FALSE),MATCH(K344,Data!$A:$A,0)),NA())</f>
        <v>212</v>
      </c>
    </row>
    <row r="345" spans="11:12" x14ac:dyDescent="0.2">
      <c r="K345" s="56">
        <f t="shared" si="69"/>
        <v>41549</v>
      </c>
      <c r="L345" s="41">
        <f ca="1">IFERROR(INDEX(INDIRECT("Data!C"&amp;'1-Year'!$K$4,FALSE),MATCH(K345,Data!$A:$A,0)),NA())</f>
        <v>106</v>
      </c>
    </row>
    <row r="346" spans="11:12" x14ac:dyDescent="0.2">
      <c r="K346" s="56">
        <f t="shared" si="69"/>
        <v>41550</v>
      </c>
      <c r="L346" s="41">
        <f ca="1">IFERROR(INDEX(INDIRECT("Data!C"&amp;'1-Year'!$K$4,FALSE),MATCH(K346,Data!$A:$A,0)),NA())</f>
        <v>120</v>
      </c>
    </row>
    <row r="347" spans="11:12" x14ac:dyDescent="0.2">
      <c r="K347" s="56">
        <f t="shared" si="69"/>
        <v>41551</v>
      </c>
      <c r="L347" s="41">
        <f ca="1">IFERROR(INDEX(INDIRECT("Data!C"&amp;'1-Year'!$K$4,FALSE),MATCH(K347,Data!$A:$A,0)),NA())</f>
        <v>84</v>
      </c>
    </row>
    <row r="348" spans="11:12" x14ac:dyDescent="0.2">
      <c r="K348" s="56">
        <f t="shared" si="69"/>
        <v>41552</v>
      </c>
      <c r="L348" s="41">
        <f ca="1">IFERROR(INDEX(INDIRECT("Data!C"&amp;'1-Year'!$K$4,FALSE),MATCH(K348,Data!$A:$A,0)),NA())</f>
        <v>41</v>
      </c>
    </row>
    <row r="349" spans="11:12" x14ac:dyDescent="0.2">
      <c r="K349" s="56">
        <f t="shared" si="69"/>
        <v>41553</v>
      </c>
      <c r="L349" s="41">
        <f ca="1">IFERROR(INDEX(INDIRECT("Data!C"&amp;'1-Year'!$K$4,FALSE),MATCH(K349,Data!$A:$A,0)),NA())</f>
        <v>10</v>
      </c>
    </row>
    <row r="350" spans="11:12" x14ac:dyDescent="0.2">
      <c r="K350" s="56">
        <f t="shared" si="69"/>
        <v>41554</v>
      </c>
      <c r="L350" s="41">
        <f ca="1">IFERROR(INDEX(INDIRECT("Data!C"&amp;'1-Year'!$K$4,FALSE),MATCH(K350,Data!$A:$A,0)),NA())</f>
        <v>182</v>
      </c>
    </row>
    <row r="351" spans="11:12" x14ac:dyDescent="0.2">
      <c r="K351" s="56">
        <f t="shared" si="69"/>
        <v>41555</v>
      </c>
      <c r="L351" s="41">
        <f ca="1">IFERROR(INDEX(INDIRECT("Data!C"&amp;'1-Year'!$K$4,FALSE),MATCH(K351,Data!$A:$A,0)),NA())</f>
        <v>108</v>
      </c>
    </row>
    <row r="352" spans="11:12" x14ac:dyDescent="0.2">
      <c r="K352" s="56">
        <f t="shared" si="69"/>
        <v>41556</v>
      </c>
      <c r="L352" s="41">
        <f ca="1">IFERROR(INDEX(INDIRECT("Data!C"&amp;'1-Year'!$K$4,FALSE),MATCH(K352,Data!$A:$A,0)),NA())</f>
        <v>88</v>
      </c>
    </row>
    <row r="353" spans="11:12" x14ac:dyDescent="0.2">
      <c r="K353" s="56">
        <f t="shared" si="69"/>
        <v>41557</v>
      </c>
      <c r="L353" s="41">
        <f ca="1">IFERROR(INDEX(INDIRECT("Data!C"&amp;'1-Year'!$K$4,FALSE),MATCH(K353,Data!$A:$A,0)),NA())</f>
        <v>163</v>
      </c>
    </row>
    <row r="354" spans="11:12" x14ac:dyDescent="0.2">
      <c r="K354" s="56">
        <f t="shared" si="69"/>
        <v>41558</v>
      </c>
      <c r="L354" s="41">
        <f ca="1">IFERROR(INDEX(INDIRECT("Data!C"&amp;'1-Year'!$K$4,FALSE),MATCH(K354,Data!$A:$A,0)),NA())</f>
        <v>123</v>
      </c>
    </row>
    <row r="355" spans="11:12" x14ac:dyDescent="0.2">
      <c r="K355" s="56">
        <f t="shared" si="69"/>
        <v>41559</v>
      </c>
      <c r="L355" s="41">
        <f ca="1">IFERROR(INDEX(INDIRECT("Data!C"&amp;'1-Year'!$K$4,FALSE),MATCH(K355,Data!$A:$A,0)),NA())</f>
        <v>52</v>
      </c>
    </row>
    <row r="356" spans="11:12" x14ac:dyDescent="0.2">
      <c r="K356" s="56">
        <f t="shared" si="69"/>
        <v>41560</v>
      </c>
      <c r="L356" s="41">
        <f ca="1">IFERROR(INDEX(INDIRECT("Data!C"&amp;'1-Year'!$K$4,FALSE),MATCH(K356,Data!$A:$A,0)),NA())</f>
        <v>24</v>
      </c>
    </row>
    <row r="357" spans="11:12" x14ac:dyDescent="0.2">
      <c r="K357" s="56">
        <f t="shared" si="69"/>
        <v>41561</v>
      </c>
      <c r="L357" s="41">
        <f ca="1">IFERROR(INDEX(INDIRECT("Data!C"&amp;'1-Year'!$K$4,FALSE),MATCH(K357,Data!$A:$A,0)),NA())</f>
        <v>319</v>
      </c>
    </row>
    <row r="358" spans="11:12" x14ac:dyDescent="0.2">
      <c r="K358" s="56">
        <f t="shared" si="69"/>
        <v>41562</v>
      </c>
      <c r="L358" s="41">
        <f ca="1">IFERROR(INDEX(INDIRECT("Data!C"&amp;'1-Year'!$K$4,FALSE),MATCH(K358,Data!$A:$A,0)),NA())</f>
        <v>171</v>
      </c>
    </row>
    <row r="359" spans="11:12" x14ac:dyDescent="0.2">
      <c r="K359" s="56">
        <f t="shared" si="69"/>
        <v>41563</v>
      </c>
      <c r="L359" s="41">
        <f ca="1">IFERROR(INDEX(INDIRECT("Data!C"&amp;'1-Year'!$K$4,FALSE),MATCH(K359,Data!$A:$A,0)),NA())</f>
        <v>174</v>
      </c>
    </row>
    <row r="360" spans="11:12" x14ac:dyDescent="0.2">
      <c r="K360" s="56">
        <f t="shared" si="69"/>
        <v>41564</v>
      </c>
      <c r="L360" s="41">
        <f ca="1">IFERROR(INDEX(INDIRECT("Data!C"&amp;'1-Year'!$K$4,FALSE),MATCH(K360,Data!$A:$A,0)),NA())</f>
        <v>139</v>
      </c>
    </row>
    <row r="361" spans="11:12" x14ac:dyDescent="0.2">
      <c r="K361" s="56">
        <f t="shared" si="69"/>
        <v>41565</v>
      </c>
      <c r="L361" s="41">
        <f ca="1">IFERROR(INDEX(INDIRECT("Data!C"&amp;'1-Year'!$K$4,FALSE),MATCH(K361,Data!$A:$A,0)),NA())</f>
        <v>186</v>
      </c>
    </row>
    <row r="362" spans="11:12" x14ac:dyDescent="0.2">
      <c r="K362" s="56">
        <f t="shared" si="69"/>
        <v>41566</v>
      </c>
      <c r="L362" s="41">
        <f ca="1">IFERROR(INDEX(INDIRECT("Data!C"&amp;'1-Year'!$K$4,FALSE),MATCH(K362,Data!$A:$A,0)),NA())</f>
        <v>52</v>
      </c>
    </row>
    <row r="363" spans="11:12" x14ac:dyDescent="0.2">
      <c r="K363" s="56">
        <f t="shared" si="69"/>
        <v>41567</v>
      </c>
      <c r="L363" s="41">
        <f ca="1">IFERROR(INDEX(INDIRECT("Data!C"&amp;'1-Year'!$K$4,FALSE),MATCH(K363,Data!$A:$A,0)),NA())</f>
        <v>17</v>
      </c>
    </row>
    <row r="364" spans="11:12" x14ac:dyDescent="0.2">
      <c r="K364" s="56">
        <f t="shared" si="69"/>
        <v>41568</v>
      </c>
      <c r="L364" s="41">
        <f ca="1">IFERROR(INDEX(INDIRECT("Data!C"&amp;'1-Year'!$K$4,FALSE),MATCH(K364,Data!$A:$A,0)),NA())</f>
        <v>280</v>
      </c>
    </row>
    <row r="365" spans="11:12" x14ac:dyDescent="0.2">
      <c r="K365" s="56">
        <f t="shared" si="69"/>
        <v>41569</v>
      </c>
      <c r="L365" s="41">
        <f ca="1">IFERROR(INDEX(INDIRECT("Data!C"&amp;'1-Year'!$K$4,FALSE),MATCH(K365,Data!$A:$A,0)),NA())</f>
        <v>274</v>
      </c>
    </row>
    <row r="366" spans="11:12" x14ac:dyDescent="0.2">
      <c r="K366" s="56">
        <f t="shared" si="69"/>
        <v>41570</v>
      </c>
      <c r="L366" s="41">
        <f ca="1">IFERROR(INDEX(INDIRECT("Data!C"&amp;'1-Year'!$K$4,FALSE),MATCH(K366,Data!$A:$A,0)),NA())</f>
        <v>241</v>
      </c>
    </row>
    <row r="367" spans="11:12" x14ac:dyDescent="0.2">
      <c r="K367" s="56">
        <f t="shared" si="69"/>
        <v>41571</v>
      </c>
      <c r="L367" s="41">
        <f ca="1">IFERROR(INDEX(INDIRECT("Data!C"&amp;'1-Year'!$K$4,FALSE),MATCH(K367,Data!$A:$A,0)),NA())</f>
        <v>144</v>
      </c>
    </row>
    <row r="368" spans="11:12" x14ac:dyDescent="0.2">
      <c r="K368" s="56">
        <f t="shared" si="69"/>
        <v>41572</v>
      </c>
      <c r="L368" s="41">
        <f ca="1">IFERROR(INDEX(INDIRECT("Data!C"&amp;'1-Year'!$K$4,FALSE),MATCH(K368,Data!$A:$A,0)),NA())</f>
        <v>213</v>
      </c>
    </row>
    <row r="369" spans="11:12" x14ac:dyDescent="0.2">
      <c r="K369" s="56">
        <f t="shared" si="69"/>
        <v>41573</v>
      </c>
      <c r="L369" s="41">
        <f ca="1">IFERROR(INDEX(INDIRECT("Data!C"&amp;'1-Year'!$K$4,FALSE),MATCH(K369,Data!$A:$A,0)),NA())</f>
        <v>76</v>
      </c>
    </row>
    <row r="370" spans="11:12" x14ac:dyDescent="0.2">
      <c r="K370" s="56">
        <f t="shared" si="69"/>
        <v>41574</v>
      </c>
      <c r="L370" s="41">
        <f ca="1">IFERROR(INDEX(INDIRECT("Data!C"&amp;'1-Year'!$K$4,FALSE),MATCH(K370,Data!$A:$A,0)),NA())</f>
        <v>33</v>
      </c>
    </row>
    <row r="371" spans="11:12" x14ac:dyDescent="0.2">
      <c r="K371" s="56">
        <f t="shared" si="69"/>
        <v>41575</v>
      </c>
      <c r="L371" s="41">
        <f ca="1">IFERROR(INDEX(INDIRECT("Data!C"&amp;'1-Year'!$K$4,FALSE),MATCH(K371,Data!$A:$A,0)),NA())</f>
        <v>335</v>
      </c>
    </row>
    <row r="372" spans="11:12" x14ac:dyDescent="0.2">
      <c r="K372" s="56">
        <f t="shared" si="69"/>
        <v>41576</v>
      </c>
      <c r="L372" s="41">
        <f ca="1">IFERROR(INDEX(INDIRECT("Data!C"&amp;'1-Year'!$K$4,FALSE),MATCH(K372,Data!$A:$A,0)),NA())</f>
        <v>268</v>
      </c>
    </row>
    <row r="373" spans="11:12" x14ac:dyDescent="0.2">
      <c r="K373" s="56">
        <f t="shared" si="69"/>
        <v>41577</v>
      </c>
      <c r="L373" s="41">
        <f ca="1">IFERROR(INDEX(INDIRECT("Data!C"&amp;'1-Year'!$K$4,FALSE),MATCH(K373,Data!$A:$A,0)),NA())</f>
        <v>214</v>
      </c>
    </row>
    <row r="374" spans="11:12" x14ac:dyDescent="0.2">
      <c r="K374" s="56">
        <f t="shared" si="69"/>
        <v>41578</v>
      </c>
      <c r="L374" s="41">
        <f ca="1">IFERROR(INDEX(INDIRECT("Data!C"&amp;'1-Year'!$K$4,FALSE),MATCH(K374,Data!$A:$A,0)),NA())</f>
        <v>178</v>
      </c>
    </row>
    <row r="375" spans="11:12" x14ac:dyDescent="0.2">
      <c r="K375" s="56">
        <f t="shared" si="69"/>
        <v>41579</v>
      </c>
      <c r="L375" s="41">
        <f ca="1">IFERROR(INDEX(INDIRECT("Data!C"&amp;'1-Year'!$K$4,FALSE),MATCH(K375,Data!$A:$A,0)),NA())</f>
        <v>254</v>
      </c>
    </row>
    <row r="376" spans="11:12" x14ac:dyDescent="0.2">
      <c r="K376" s="56">
        <f t="shared" si="69"/>
        <v>41580</v>
      </c>
      <c r="L376" s="41">
        <f ca="1">IFERROR(INDEX(INDIRECT("Data!C"&amp;'1-Year'!$K$4,FALSE),MATCH(K376,Data!$A:$A,0)),NA())</f>
        <v>65</v>
      </c>
    </row>
    <row r="377" spans="11:12" x14ac:dyDescent="0.2">
      <c r="K377" s="56">
        <f t="shared" si="69"/>
        <v>41581</v>
      </c>
      <c r="L377" s="41">
        <f ca="1">IFERROR(INDEX(INDIRECT("Data!C"&amp;'1-Year'!$K$4,FALSE),MATCH(K377,Data!$A:$A,0)),NA())</f>
        <v>36</v>
      </c>
    </row>
    <row r="378" spans="11:12" x14ac:dyDescent="0.2">
      <c r="K378" s="56">
        <f t="shared" si="69"/>
        <v>41582</v>
      </c>
      <c r="L378" s="41">
        <f ca="1">IFERROR(INDEX(INDIRECT("Data!C"&amp;'1-Year'!$K$4,FALSE),MATCH(K378,Data!$A:$A,0)),NA())</f>
        <v>416</v>
      </c>
    </row>
    <row r="379" spans="11:12" x14ac:dyDescent="0.2">
      <c r="K379" s="56">
        <f t="shared" si="69"/>
        <v>41583</v>
      </c>
      <c r="L379" s="41">
        <f ca="1">IFERROR(INDEX(INDIRECT("Data!C"&amp;'1-Year'!$K$4,FALSE),MATCH(K379,Data!$A:$A,0)),NA())</f>
        <v>365</v>
      </c>
    </row>
    <row r="380" spans="11:12" x14ac:dyDescent="0.2">
      <c r="K380" s="56">
        <f t="shared" si="69"/>
        <v>41584</v>
      </c>
      <c r="L380" s="41">
        <f ca="1">IFERROR(INDEX(INDIRECT("Data!C"&amp;'1-Year'!$K$4,FALSE),MATCH(K380,Data!$A:$A,0)),NA())</f>
        <v>265</v>
      </c>
    </row>
    <row r="381" spans="11:12" x14ac:dyDescent="0.2">
      <c r="K381" s="56">
        <f t="shared" si="69"/>
        <v>41585</v>
      </c>
      <c r="L381" s="41">
        <f ca="1">IFERROR(INDEX(INDIRECT("Data!C"&amp;'1-Year'!$K$4,FALSE),MATCH(K381,Data!$A:$A,0)),NA())</f>
        <v>270</v>
      </c>
    </row>
    <row r="382" spans="11:12" x14ac:dyDescent="0.2">
      <c r="K382" s="56">
        <f t="shared" si="69"/>
        <v>41586</v>
      </c>
      <c r="L382" s="41">
        <f ca="1">IFERROR(INDEX(INDIRECT("Data!C"&amp;'1-Year'!$K$4,FALSE),MATCH(K382,Data!$A:$A,0)),NA())</f>
        <v>208</v>
      </c>
    </row>
    <row r="383" spans="11:12" x14ac:dyDescent="0.2">
      <c r="K383" s="56">
        <f t="shared" si="69"/>
        <v>41587</v>
      </c>
      <c r="L383" s="41">
        <f ca="1">IFERROR(INDEX(INDIRECT("Data!C"&amp;'1-Year'!$K$4,FALSE),MATCH(K383,Data!$A:$A,0)),NA())</f>
        <v>87</v>
      </c>
    </row>
    <row r="384" spans="11:12" x14ac:dyDescent="0.2">
      <c r="K384" s="56">
        <f t="shared" si="69"/>
        <v>41588</v>
      </c>
      <c r="L384" s="41">
        <f ca="1">IFERROR(INDEX(INDIRECT("Data!C"&amp;'1-Year'!$K$4,FALSE),MATCH(K384,Data!$A:$A,0)),NA())</f>
        <v>31</v>
      </c>
    </row>
    <row r="385" spans="11:12" x14ac:dyDescent="0.2">
      <c r="K385" s="56">
        <f t="shared" si="69"/>
        <v>41589</v>
      </c>
      <c r="L385" s="41">
        <f ca="1">IFERROR(INDEX(INDIRECT("Data!C"&amp;'1-Year'!$K$4,FALSE),MATCH(K385,Data!$A:$A,0)),NA())</f>
        <v>371</v>
      </c>
    </row>
    <row r="386" spans="11:12" x14ac:dyDescent="0.2">
      <c r="K386" s="56">
        <f t="shared" si="69"/>
        <v>41590</v>
      </c>
      <c r="L386" s="41">
        <f ca="1">IFERROR(INDEX(INDIRECT("Data!C"&amp;'1-Year'!$K$4,FALSE),MATCH(K386,Data!$A:$A,0)),NA())</f>
        <v>330</v>
      </c>
    </row>
    <row r="387" spans="11:12" x14ac:dyDescent="0.2">
      <c r="K387" s="56">
        <f t="shared" si="69"/>
        <v>41591</v>
      </c>
      <c r="L387" s="41">
        <f ca="1">IFERROR(INDEX(INDIRECT("Data!C"&amp;'1-Year'!$K$4,FALSE),MATCH(K387,Data!$A:$A,0)),NA())</f>
        <v>273</v>
      </c>
    </row>
    <row r="388" spans="11:12" x14ac:dyDescent="0.2">
      <c r="K388" s="56">
        <f t="shared" si="69"/>
        <v>41592</v>
      </c>
      <c r="L388" s="41">
        <f ca="1">IFERROR(INDEX(INDIRECT("Data!C"&amp;'1-Year'!$K$4,FALSE),MATCH(K388,Data!$A:$A,0)),NA())</f>
        <v>298</v>
      </c>
    </row>
    <row r="389" spans="11:12" x14ac:dyDescent="0.2">
      <c r="K389" s="56">
        <f t="shared" si="69"/>
        <v>41593</v>
      </c>
      <c r="L389" s="41">
        <f ca="1">IFERROR(INDEX(INDIRECT("Data!C"&amp;'1-Year'!$K$4,FALSE),MATCH(K389,Data!$A:$A,0)),NA())</f>
        <v>189</v>
      </c>
    </row>
    <row r="390" spans="11:12" x14ac:dyDescent="0.2">
      <c r="K390" s="56">
        <f t="shared" si="69"/>
        <v>41594</v>
      </c>
      <c r="L390" s="41">
        <f ca="1">IFERROR(INDEX(INDIRECT("Data!C"&amp;'1-Year'!$K$4,FALSE),MATCH(K390,Data!$A:$A,0)),NA())</f>
        <v>93</v>
      </c>
    </row>
    <row r="391" spans="11:12" x14ac:dyDescent="0.2">
      <c r="K391" s="56">
        <f t="shared" si="69"/>
        <v>41595</v>
      </c>
      <c r="L391" s="41">
        <f ca="1">IFERROR(INDEX(INDIRECT("Data!C"&amp;'1-Year'!$K$4,FALSE),MATCH(K391,Data!$A:$A,0)),NA())</f>
        <v>47</v>
      </c>
    </row>
    <row r="392" spans="11:12" x14ac:dyDescent="0.2">
      <c r="K392" s="56">
        <f t="shared" ref="K392:K455" si="70">IF(K391+1&lt;=$C$7,K391+1,NA())</f>
        <v>41596</v>
      </c>
      <c r="L392" s="41">
        <f ca="1">IFERROR(INDEX(INDIRECT("Data!C"&amp;'1-Year'!$K$4,FALSE),MATCH(K392,Data!$A:$A,0)),NA())</f>
        <v>349</v>
      </c>
    </row>
    <row r="393" spans="11:12" x14ac:dyDescent="0.2">
      <c r="K393" s="56">
        <f t="shared" si="70"/>
        <v>41597</v>
      </c>
      <c r="L393" s="41">
        <f ca="1">IFERROR(INDEX(INDIRECT("Data!C"&amp;'1-Year'!$K$4,FALSE),MATCH(K393,Data!$A:$A,0)),NA())</f>
        <v>283</v>
      </c>
    </row>
    <row r="394" spans="11:12" x14ac:dyDescent="0.2">
      <c r="K394" s="56">
        <f t="shared" si="70"/>
        <v>41598</v>
      </c>
      <c r="L394" s="41">
        <f ca="1">IFERROR(INDEX(INDIRECT("Data!C"&amp;'1-Year'!$K$4,FALSE),MATCH(K394,Data!$A:$A,0)),NA())</f>
        <v>309</v>
      </c>
    </row>
    <row r="395" spans="11:12" x14ac:dyDescent="0.2">
      <c r="K395" s="56">
        <f t="shared" si="70"/>
        <v>41599</v>
      </c>
      <c r="L395" s="41">
        <f ca="1">IFERROR(INDEX(INDIRECT("Data!C"&amp;'1-Year'!$K$4,FALSE),MATCH(K395,Data!$A:$A,0)),NA())</f>
        <v>212</v>
      </c>
    </row>
    <row r="396" spans="11:12" x14ac:dyDescent="0.2">
      <c r="K396" s="56">
        <f t="shared" si="70"/>
        <v>41600</v>
      </c>
      <c r="L396" s="41">
        <f ca="1">IFERROR(INDEX(INDIRECT("Data!C"&amp;'1-Year'!$K$4,FALSE),MATCH(K396,Data!$A:$A,0)),NA())</f>
        <v>223</v>
      </c>
    </row>
    <row r="397" spans="11:12" x14ac:dyDescent="0.2">
      <c r="K397" s="56">
        <f t="shared" si="70"/>
        <v>41601</v>
      </c>
      <c r="L397" s="41">
        <f ca="1">IFERROR(INDEX(INDIRECT("Data!C"&amp;'1-Year'!$K$4,FALSE),MATCH(K397,Data!$A:$A,0)),NA())</f>
        <v>62</v>
      </c>
    </row>
    <row r="398" spans="11:12" x14ac:dyDescent="0.2">
      <c r="K398" s="56">
        <f t="shared" si="70"/>
        <v>41602</v>
      </c>
      <c r="L398" s="41">
        <f ca="1">IFERROR(INDEX(INDIRECT("Data!C"&amp;'1-Year'!$K$4,FALSE),MATCH(K398,Data!$A:$A,0)),NA())</f>
        <v>37</v>
      </c>
    </row>
    <row r="399" spans="11:12" x14ac:dyDescent="0.2">
      <c r="K399" s="56">
        <f t="shared" si="70"/>
        <v>41603</v>
      </c>
      <c r="L399" s="41">
        <f ca="1">IFERROR(INDEX(INDIRECT("Data!C"&amp;'1-Year'!$K$4,FALSE),MATCH(K399,Data!$A:$A,0)),NA())</f>
        <v>415</v>
      </c>
    </row>
    <row r="400" spans="11:12" x14ac:dyDescent="0.2">
      <c r="K400" s="56">
        <f t="shared" si="70"/>
        <v>41604</v>
      </c>
      <c r="L400" s="41">
        <f ca="1">IFERROR(INDEX(INDIRECT("Data!C"&amp;'1-Year'!$K$4,FALSE),MATCH(K400,Data!$A:$A,0)),NA())</f>
        <v>381</v>
      </c>
    </row>
    <row r="401" spans="11:12" x14ac:dyDescent="0.2">
      <c r="K401" s="56">
        <f t="shared" si="70"/>
        <v>41605</v>
      </c>
      <c r="L401" s="41">
        <f ca="1">IFERROR(INDEX(INDIRECT("Data!C"&amp;'1-Year'!$K$4,FALSE),MATCH(K401,Data!$A:$A,0)),NA())</f>
        <v>251</v>
      </c>
    </row>
    <row r="402" spans="11:12" x14ac:dyDescent="0.2">
      <c r="K402" s="56">
        <f t="shared" si="70"/>
        <v>41606</v>
      </c>
      <c r="L402" s="41">
        <f ca="1">IFERROR(INDEX(INDIRECT("Data!C"&amp;'1-Year'!$K$4,FALSE),MATCH(K402,Data!$A:$A,0)),NA())</f>
        <v>245</v>
      </c>
    </row>
    <row r="403" spans="11:12" x14ac:dyDescent="0.2">
      <c r="K403" s="56">
        <f t="shared" si="70"/>
        <v>41607</v>
      </c>
      <c r="L403" s="41">
        <f ca="1">IFERROR(INDEX(INDIRECT("Data!C"&amp;'1-Year'!$K$4,FALSE),MATCH(K403,Data!$A:$A,0)),NA())</f>
        <v>165</v>
      </c>
    </row>
    <row r="404" spans="11:12" x14ac:dyDescent="0.2">
      <c r="K404" s="56">
        <f t="shared" si="70"/>
        <v>41608</v>
      </c>
      <c r="L404" s="41">
        <f ca="1">IFERROR(INDEX(INDIRECT("Data!C"&amp;'1-Year'!$K$4,FALSE),MATCH(K404,Data!$A:$A,0)),NA())</f>
        <v>86</v>
      </c>
    </row>
    <row r="405" spans="11:12" x14ac:dyDescent="0.2">
      <c r="K405" s="56">
        <f t="shared" si="70"/>
        <v>41609</v>
      </c>
      <c r="L405" s="41">
        <f ca="1">IFERROR(INDEX(INDIRECT("Data!C"&amp;'1-Year'!$K$4,FALSE),MATCH(K405,Data!$A:$A,0)),NA())</f>
        <v>30</v>
      </c>
    </row>
    <row r="406" spans="11:12" x14ac:dyDescent="0.2">
      <c r="K406" s="56">
        <f t="shared" si="70"/>
        <v>41610</v>
      </c>
      <c r="L406" s="41">
        <f ca="1">IFERROR(INDEX(INDIRECT("Data!C"&amp;'1-Year'!$K$4,FALSE),MATCH(K406,Data!$A:$A,0)),NA())</f>
        <v>265</v>
      </c>
    </row>
    <row r="407" spans="11:12" x14ac:dyDescent="0.2">
      <c r="K407" s="56">
        <f t="shared" si="70"/>
        <v>41611</v>
      </c>
      <c r="L407" s="41">
        <f ca="1">IFERROR(INDEX(INDIRECT("Data!C"&amp;'1-Year'!$K$4,FALSE),MATCH(K407,Data!$A:$A,0)),NA())</f>
        <v>278</v>
      </c>
    </row>
    <row r="408" spans="11:12" x14ac:dyDescent="0.2">
      <c r="K408" s="56">
        <f t="shared" si="70"/>
        <v>41612</v>
      </c>
      <c r="L408" s="41">
        <f ca="1">IFERROR(INDEX(INDIRECT("Data!C"&amp;'1-Year'!$K$4,FALSE),MATCH(K408,Data!$A:$A,0)),NA())</f>
        <v>239</v>
      </c>
    </row>
    <row r="409" spans="11:12" x14ac:dyDescent="0.2">
      <c r="K409" s="56">
        <f t="shared" si="70"/>
        <v>41613</v>
      </c>
      <c r="L409" s="41">
        <f ca="1">IFERROR(INDEX(INDIRECT("Data!C"&amp;'1-Year'!$K$4,FALSE),MATCH(K409,Data!$A:$A,0)),NA())</f>
        <v>279</v>
      </c>
    </row>
    <row r="410" spans="11:12" x14ac:dyDescent="0.2">
      <c r="K410" s="56">
        <f t="shared" si="70"/>
        <v>41614</v>
      </c>
      <c r="L410" s="41">
        <f ca="1">IFERROR(INDEX(INDIRECT("Data!C"&amp;'1-Year'!$K$4,FALSE),MATCH(K410,Data!$A:$A,0)),NA())</f>
        <v>190</v>
      </c>
    </row>
    <row r="411" spans="11:12" x14ac:dyDescent="0.2">
      <c r="K411" s="56">
        <f t="shared" si="70"/>
        <v>41615</v>
      </c>
      <c r="L411" s="41">
        <f ca="1">IFERROR(INDEX(INDIRECT("Data!C"&amp;'1-Year'!$K$4,FALSE),MATCH(K411,Data!$A:$A,0)),NA())</f>
        <v>52</v>
      </c>
    </row>
    <row r="412" spans="11:12" x14ac:dyDescent="0.2">
      <c r="K412" s="56">
        <f t="shared" si="70"/>
        <v>41616</v>
      </c>
      <c r="L412" s="41">
        <f ca="1">IFERROR(INDEX(INDIRECT("Data!C"&amp;'1-Year'!$K$4,FALSE),MATCH(K412,Data!$A:$A,0)),NA())</f>
        <v>28</v>
      </c>
    </row>
    <row r="413" spans="11:12" x14ac:dyDescent="0.2">
      <c r="K413" s="56">
        <f t="shared" si="70"/>
        <v>41617</v>
      </c>
      <c r="L413" s="41">
        <f ca="1">IFERROR(INDEX(INDIRECT("Data!C"&amp;'1-Year'!$K$4,FALSE),MATCH(K413,Data!$A:$A,0)),NA())</f>
        <v>292</v>
      </c>
    </row>
    <row r="414" spans="11:12" x14ac:dyDescent="0.2">
      <c r="K414" s="56">
        <f t="shared" si="70"/>
        <v>41618</v>
      </c>
      <c r="L414" s="41">
        <f ca="1">IFERROR(INDEX(INDIRECT("Data!C"&amp;'1-Year'!$K$4,FALSE),MATCH(K414,Data!$A:$A,0)),NA())</f>
        <v>334</v>
      </c>
    </row>
    <row r="415" spans="11:12" x14ac:dyDescent="0.2">
      <c r="K415" s="56">
        <f t="shared" si="70"/>
        <v>41619</v>
      </c>
      <c r="L415" s="41">
        <f ca="1">IFERROR(INDEX(INDIRECT("Data!C"&amp;'1-Year'!$K$4,FALSE),MATCH(K415,Data!$A:$A,0)),NA())</f>
        <v>240</v>
      </c>
    </row>
    <row r="416" spans="11:12" x14ac:dyDescent="0.2">
      <c r="K416" s="56">
        <f t="shared" si="70"/>
        <v>41620</v>
      </c>
      <c r="L416" s="41">
        <f ca="1">IFERROR(INDEX(INDIRECT("Data!C"&amp;'1-Year'!$K$4,FALSE),MATCH(K416,Data!$A:$A,0)),NA())</f>
        <v>161</v>
      </c>
    </row>
    <row r="417" spans="11:12" x14ac:dyDescent="0.2">
      <c r="K417" s="56">
        <f t="shared" si="70"/>
        <v>41621</v>
      </c>
      <c r="L417" s="41">
        <f ca="1">IFERROR(INDEX(INDIRECT("Data!C"&amp;'1-Year'!$K$4,FALSE),MATCH(K417,Data!$A:$A,0)),NA())</f>
        <v>220</v>
      </c>
    </row>
    <row r="418" spans="11:12" x14ac:dyDescent="0.2">
      <c r="K418" s="56">
        <f t="shared" si="70"/>
        <v>41622</v>
      </c>
      <c r="L418" s="41">
        <f ca="1">IFERROR(INDEX(INDIRECT("Data!C"&amp;'1-Year'!$K$4,FALSE),MATCH(K418,Data!$A:$A,0)),NA())</f>
        <v>66</v>
      </c>
    </row>
    <row r="419" spans="11:12" x14ac:dyDescent="0.2">
      <c r="K419" s="56">
        <f t="shared" si="70"/>
        <v>41623</v>
      </c>
      <c r="L419" s="41">
        <f ca="1">IFERROR(INDEX(INDIRECT("Data!C"&amp;'1-Year'!$K$4,FALSE),MATCH(K419,Data!$A:$A,0)),NA())</f>
        <v>29</v>
      </c>
    </row>
    <row r="420" spans="11:12" x14ac:dyDescent="0.2">
      <c r="K420" s="56">
        <f t="shared" si="70"/>
        <v>41624</v>
      </c>
      <c r="L420" s="41">
        <f ca="1">IFERROR(INDEX(INDIRECT("Data!C"&amp;'1-Year'!$K$4,FALSE),MATCH(K420,Data!$A:$A,0)),NA())</f>
        <v>352</v>
      </c>
    </row>
    <row r="421" spans="11:12" x14ac:dyDescent="0.2">
      <c r="K421" s="56">
        <f t="shared" si="70"/>
        <v>41625</v>
      </c>
      <c r="L421" s="41">
        <f ca="1">IFERROR(INDEX(INDIRECT("Data!C"&amp;'1-Year'!$K$4,FALSE),MATCH(K421,Data!$A:$A,0)),NA())</f>
        <v>144</v>
      </c>
    </row>
    <row r="422" spans="11:12" x14ac:dyDescent="0.2">
      <c r="K422" s="56">
        <f t="shared" si="70"/>
        <v>41626</v>
      </c>
      <c r="L422" s="41">
        <f ca="1">IFERROR(INDEX(INDIRECT("Data!C"&amp;'1-Year'!$K$4,FALSE),MATCH(K422,Data!$A:$A,0)),NA())</f>
        <v>254</v>
      </c>
    </row>
    <row r="423" spans="11:12" x14ac:dyDescent="0.2">
      <c r="K423" s="56">
        <f t="shared" si="70"/>
        <v>41627</v>
      </c>
      <c r="L423" s="41">
        <f ca="1">IFERROR(INDEX(INDIRECT("Data!C"&amp;'1-Year'!$K$4,FALSE),MATCH(K423,Data!$A:$A,0)),NA())</f>
        <v>125</v>
      </c>
    </row>
    <row r="424" spans="11:12" x14ac:dyDescent="0.2">
      <c r="K424" s="56">
        <f t="shared" si="70"/>
        <v>41628</v>
      </c>
      <c r="L424" s="41">
        <f ca="1">IFERROR(INDEX(INDIRECT("Data!C"&amp;'1-Year'!$K$4,FALSE),MATCH(K424,Data!$A:$A,0)),NA())</f>
        <v>158</v>
      </c>
    </row>
    <row r="425" spans="11:12" x14ac:dyDescent="0.2">
      <c r="K425" s="56">
        <f t="shared" si="70"/>
        <v>41629</v>
      </c>
      <c r="L425" s="41">
        <f ca="1">IFERROR(INDEX(INDIRECT("Data!C"&amp;'1-Year'!$K$4,FALSE),MATCH(K425,Data!$A:$A,0)),NA())</f>
        <v>39</v>
      </c>
    </row>
    <row r="426" spans="11:12" x14ac:dyDescent="0.2">
      <c r="K426" s="56">
        <f t="shared" si="70"/>
        <v>41630</v>
      </c>
      <c r="L426" s="41">
        <f ca="1">IFERROR(INDEX(INDIRECT("Data!C"&amp;'1-Year'!$K$4,FALSE),MATCH(K426,Data!$A:$A,0)),NA())</f>
        <v>13</v>
      </c>
    </row>
    <row r="427" spans="11:12" x14ac:dyDescent="0.2">
      <c r="K427" s="56">
        <f t="shared" si="70"/>
        <v>41631</v>
      </c>
      <c r="L427" s="41">
        <f ca="1">IFERROR(INDEX(INDIRECT("Data!C"&amp;'1-Year'!$K$4,FALSE),MATCH(K427,Data!$A:$A,0)),NA())</f>
        <v>239</v>
      </c>
    </row>
    <row r="428" spans="11:12" x14ac:dyDescent="0.2">
      <c r="K428" s="56">
        <f t="shared" si="70"/>
        <v>41632</v>
      </c>
      <c r="L428" s="41">
        <f ca="1">IFERROR(INDEX(INDIRECT("Data!C"&amp;'1-Year'!$K$4,FALSE),MATCH(K428,Data!$A:$A,0)),NA())</f>
        <v>125</v>
      </c>
    </row>
    <row r="429" spans="11:12" x14ac:dyDescent="0.2">
      <c r="K429" s="56">
        <f t="shared" si="70"/>
        <v>41633</v>
      </c>
      <c r="L429" s="41">
        <f ca="1">IFERROR(INDEX(INDIRECT("Data!C"&amp;'1-Year'!$K$4,FALSE),MATCH(K429,Data!$A:$A,0)),NA())</f>
        <v>116</v>
      </c>
    </row>
    <row r="430" spans="11:12" x14ac:dyDescent="0.2">
      <c r="K430" s="56">
        <f t="shared" si="70"/>
        <v>41634</v>
      </c>
      <c r="L430" s="41">
        <f ca="1">IFERROR(INDEX(INDIRECT("Data!C"&amp;'1-Year'!$K$4,FALSE),MATCH(K430,Data!$A:$A,0)),NA())</f>
        <v>169</v>
      </c>
    </row>
    <row r="431" spans="11:12" x14ac:dyDescent="0.2">
      <c r="K431" s="56">
        <f t="shared" si="70"/>
        <v>41635</v>
      </c>
      <c r="L431" s="41">
        <f ca="1">IFERROR(INDEX(INDIRECT("Data!C"&amp;'1-Year'!$K$4,FALSE),MATCH(K431,Data!$A:$A,0)),NA())</f>
        <v>144</v>
      </c>
    </row>
    <row r="432" spans="11:12" x14ac:dyDescent="0.2">
      <c r="K432" s="56">
        <f t="shared" si="70"/>
        <v>41636</v>
      </c>
      <c r="L432" s="41">
        <f ca="1">IFERROR(INDEX(INDIRECT("Data!C"&amp;'1-Year'!$K$4,FALSE),MATCH(K432,Data!$A:$A,0)),NA())</f>
        <v>43</v>
      </c>
    </row>
    <row r="433" spans="11:12" x14ac:dyDescent="0.2">
      <c r="K433" s="56">
        <f t="shared" si="70"/>
        <v>41637</v>
      </c>
      <c r="L433" s="41">
        <f ca="1">IFERROR(INDEX(INDIRECT("Data!C"&amp;'1-Year'!$K$4,FALSE),MATCH(K433,Data!$A:$A,0)),NA())</f>
        <v>27</v>
      </c>
    </row>
    <row r="434" spans="11:12" x14ac:dyDescent="0.2">
      <c r="K434" s="56">
        <f t="shared" si="70"/>
        <v>41638</v>
      </c>
      <c r="L434" s="41">
        <f ca="1">IFERROR(INDEX(INDIRECT("Data!C"&amp;'1-Year'!$K$4,FALSE),MATCH(K434,Data!$A:$A,0)),NA())</f>
        <v>249</v>
      </c>
    </row>
    <row r="435" spans="11:12" x14ac:dyDescent="0.2">
      <c r="K435" s="56">
        <f t="shared" si="70"/>
        <v>41639</v>
      </c>
      <c r="L435" s="41">
        <f ca="1">IFERROR(INDEX(INDIRECT("Data!C"&amp;'1-Year'!$K$4,FALSE),MATCH(K435,Data!$A:$A,0)),NA())</f>
        <v>269</v>
      </c>
    </row>
    <row r="436" spans="11:12" x14ac:dyDescent="0.2">
      <c r="K436" s="56">
        <f t="shared" si="70"/>
        <v>41640</v>
      </c>
      <c r="L436" s="41">
        <f ca="1">IFERROR(INDEX(INDIRECT("Data!C"&amp;'1-Year'!$K$4,FALSE),MATCH(K436,Data!$A:$A,0)),NA())</f>
        <v>154</v>
      </c>
    </row>
    <row r="437" spans="11:12" x14ac:dyDescent="0.2">
      <c r="K437" s="56">
        <f t="shared" si="70"/>
        <v>41641</v>
      </c>
      <c r="L437" s="41">
        <f ca="1">IFERROR(INDEX(INDIRECT("Data!C"&amp;'1-Year'!$K$4,FALSE),MATCH(K437,Data!$A:$A,0)),NA())</f>
        <v>123</v>
      </c>
    </row>
    <row r="438" spans="11:12" x14ac:dyDescent="0.2">
      <c r="K438" s="56">
        <f t="shared" si="70"/>
        <v>41642</v>
      </c>
      <c r="L438" s="41">
        <f ca="1">IFERROR(INDEX(INDIRECT("Data!C"&amp;'1-Year'!$K$4,FALSE),MATCH(K438,Data!$A:$A,0)),NA())</f>
        <v>88</v>
      </c>
    </row>
    <row r="439" spans="11:12" x14ac:dyDescent="0.2">
      <c r="K439" s="56">
        <f t="shared" si="70"/>
        <v>41643</v>
      </c>
      <c r="L439" s="41">
        <f ca="1">IFERROR(INDEX(INDIRECT("Data!C"&amp;'1-Year'!$K$4,FALSE),MATCH(K439,Data!$A:$A,0)),NA())</f>
        <v>20</v>
      </c>
    </row>
    <row r="440" spans="11:12" x14ac:dyDescent="0.2">
      <c r="K440" s="56" t="e">
        <f t="shared" si="70"/>
        <v>#N/A</v>
      </c>
      <c r="L440" s="41" t="e">
        <f ca="1">IFERROR(INDEX(INDIRECT("Data!C"&amp;'1-Year'!$K$4,FALSE),MATCH(K440,Data!$A:$A,0)),NA())</f>
        <v>#N/A</v>
      </c>
    </row>
    <row r="441" spans="11:12" x14ac:dyDescent="0.2">
      <c r="K441" s="56" t="e">
        <f t="shared" si="70"/>
        <v>#N/A</v>
      </c>
      <c r="L441" s="41" t="e">
        <f ca="1">IFERROR(INDEX(INDIRECT("Data!C"&amp;'1-Year'!$K$4,FALSE),MATCH(K441,Data!$A:$A,0)),NA())</f>
        <v>#N/A</v>
      </c>
    </row>
    <row r="442" spans="11:12" x14ac:dyDescent="0.2">
      <c r="K442" s="56" t="e">
        <f t="shared" si="70"/>
        <v>#N/A</v>
      </c>
      <c r="L442" s="41" t="e">
        <f ca="1">IFERROR(INDEX(INDIRECT("Data!C"&amp;'1-Year'!$K$4,FALSE),MATCH(K442,Data!$A:$A,0)),NA())</f>
        <v>#N/A</v>
      </c>
    </row>
    <row r="443" spans="11:12" x14ac:dyDescent="0.2">
      <c r="K443" s="56" t="e">
        <f t="shared" si="70"/>
        <v>#N/A</v>
      </c>
      <c r="L443" s="41" t="e">
        <f ca="1">IFERROR(INDEX(INDIRECT("Data!C"&amp;'1-Year'!$K$4,FALSE),MATCH(K443,Data!$A:$A,0)),NA())</f>
        <v>#N/A</v>
      </c>
    </row>
    <row r="444" spans="11:12" x14ac:dyDescent="0.2">
      <c r="K444" s="56" t="e">
        <f t="shared" si="70"/>
        <v>#N/A</v>
      </c>
      <c r="L444" s="41" t="e">
        <f ca="1">IFERROR(INDEX(INDIRECT("Data!C"&amp;'1-Year'!$K$4,FALSE),MATCH(K444,Data!$A:$A,0)),NA())</f>
        <v>#N/A</v>
      </c>
    </row>
    <row r="445" spans="11:12" x14ac:dyDescent="0.2">
      <c r="K445" s="56" t="e">
        <f t="shared" si="70"/>
        <v>#N/A</v>
      </c>
      <c r="L445" s="41" t="e">
        <f ca="1">IFERROR(INDEX(INDIRECT("Data!C"&amp;'1-Year'!$K$4,FALSE),MATCH(K445,Data!$A:$A,0)),NA())</f>
        <v>#N/A</v>
      </c>
    </row>
    <row r="446" spans="11:12" x14ac:dyDescent="0.2">
      <c r="K446" s="56" t="e">
        <f t="shared" si="70"/>
        <v>#N/A</v>
      </c>
      <c r="L446" s="41" t="e">
        <f ca="1">IFERROR(INDEX(INDIRECT("Data!C"&amp;'1-Year'!$K$4,FALSE),MATCH(K446,Data!$A:$A,0)),NA())</f>
        <v>#N/A</v>
      </c>
    </row>
    <row r="447" spans="11:12" x14ac:dyDescent="0.2">
      <c r="K447" s="56" t="e">
        <f t="shared" si="70"/>
        <v>#N/A</v>
      </c>
      <c r="L447" s="41" t="e">
        <f ca="1">IFERROR(INDEX(INDIRECT("Data!C"&amp;'1-Year'!$K$4,FALSE),MATCH(K447,Data!$A:$A,0)),NA())</f>
        <v>#N/A</v>
      </c>
    </row>
    <row r="448" spans="11:12" x14ac:dyDescent="0.2">
      <c r="K448" s="56" t="e">
        <f t="shared" si="70"/>
        <v>#N/A</v>
      </c>
      <c r="L448" s="41" t="e">
        <f ca="1">IFERROR(INDEX(INDIRECT("Data!C"&amp;'1-Year'!$K$4,FALSE),MATCH(K448,Data!$A:$A,0)),NA())</f>
        <v>#N/A</v>
      </c>
    </row>
    <row r="449" spans="11:12" x14ac:dyDescent="0.2">
      <c r="K449" s="56" t="e">
        <f t="shared" si="70"/>
        <v>#N/A</v>
      </c>
      <c r="L449" s="41" t="e">
        <f ca="1">IFERROR(INDEX(INDIRECT("Data!C"&amp;'1-Year'!$K$4,FALSE),MATCH(K449,Data!$A:$A,0)),NA())</f>
        <v>#N/A</v>
      </c>
    </row>
    <row r="450" spans="11:12" x14ac:dyDescent="0.2">
      <c r="K450" s="56" t="e">
        <f t="shared" si="70"/>
        <v>#N/A</v>
      </c>
      <c r="L450" s="41" t="e">
        <f ca="1">IFERROR(INDEX(INDIRECT("Data!C"&amp;'1-Year'!$K$4,FALSE),MATCH(K450,Data!$A:$A,0)),NA())</f>
        <v>#N/A</v>
      </c>
    </row>
    <row r="451" spans="11:12" x14ac:dyDescent="0.2">
      <c r="K451" s="56" t="e">
        <f t="shared" si="70"/>
        <v>#N/A</v>
      </c>
      <c r="L451" s="41" t="e">
        <f ca="1">IFERROR(INDEX(INDIRECT("Data!C"&amp;'1-Year'!$K$4,FALSE),MATCH(K451,Data!$A:$A,0)),NA())</f>
        <v>#N/A</v>
      </c>
    </row>
    <row r="452" spans="11:12" x14ac:dyDescent="0.2">
      <c r="K452" s="56" t="e">
        <f t="shared" si="70"/>
        <v>#N/A</v>
      </c>
      <c r="L452" s="41" t="e">
        <f ca="1">IFERROR(INDEX(INDIRECT("Data!C"&amp;'1-Year'!$K$4,FALSE),MATCH(K452,Data!$A:$A,0)),NA())</f>
        <v>#N/A</v>
      </c>
    </row>
    <row r="453" spans="11:12" x14ac:dyDescent="0.2">
      <c r="K453" s="56" t="e">
        <f t="shared" si="70"/>
        <v>#N/A</v>
      </c>
      <c r="L453" s="41" t="e">
        <f ca="1">IFERROR(INDEX(INDIRECT("Data!C"&amp;'1-Year'!$K$4,FALSE),MATCH(K453,Data!$A:$A,0)),NA())</f>
        <v>#N/A</v>
      </c>
    </row>
    <row r="454" spans="11:12" x14ac:dyDescent="0.2">
      <c r="K454" s="56" t="e">
        <f t="shared" si="70"/>
        <v>#N/A</v>
      </c>
      <c r="L454" s="41" t="e">
        <f ca="1">IFERROR(INDEX(INDIRECT("Data!C"&amp;'1-Year'!$K$4,FALSE),MATCH(K454,Data!$A:$A,0)),NA())</f>
        <v>#N/A</v>
      </c>
    </row>
    <row r="455" spans="11:12" x14ac:dyDescent="0.2">
      <c r="K455" s="56" t="e">
        <f t="shared" si="70"/>
        <v>#N/A</v>
      </c>
      <c r="L455" s="41" t="e">
        <f ca="1">IFERROR(INDEX(INDIRECT("Data!C"&amp;'1-Year'!$K$4,FALSE),MATCH(K455,Data!$A:$A,0)),NA())</f>
        <v>#N/A</v>
      </c>
    </row>
    <row r="456" spans="11:12" x14ac:dyDescent="0.2">
      <c r="K456" s="56" t="e">
        <f t="shared" ref="K456:K519" si="71">IF(K455+1&lt;=$C$7,K455+1,NA())</f>
        <v>#N/A</v>
      </c>
      <c r="L456" s="41" t="e">
        <f ca="1">IFERROR(INDEX(INDIRECT("Data!C"&amp;'1-Year'!$K$4,FALSE),MATCH(K456,Data!$A:$A,0)),NA())</f>
        <v>#N/A</v>
      </c>
    </row>
    <row r="457" spans="11:12" x14ac:dyDescent="0.2">
      <c r="K457" s="56" t="e">
        <f t="shared" si="71"/>
        <v>#N/A</v>
      </c>
      <c r="L457" s="41" t="e">
        <f ca="1">IFERROR(INDEX(INDIRECT("Data!C"&amp;'1-Year'!$K$4,FALSE),MATCH(K457,Data!$A:$A,0)),NA())</f>
        <v>#N/A</v>
      </c>
    </row>
    <row r="458" spans="11:12" x14ac:dyDescent="0.2">
      <c r="K458" s="56" t="e">
        <f t="shared" si="71"/>
        <v>#N/A</v>
      </c>
      <c r="L458" s="41" t="e">
        <f ca="1">IFERROR(INDEX(INDIRECT("Data!C"&amp;'1-Year'!$K$4,FALSE),MATCH(K458,Data!$A:$A,0)),NA())</f>
        <v>#N/A</v>
      </c>
    </row>
    <row r="459" spans="11:12" x14ac:dyDescent="0.2">
      <c r="K459" s="56" t="e">
        <f t="shared" si="71"/>
        <v>#N/A</v>
      </c>
      <c r="L459" s="41" t="e">
        <f ca="1">IFERROR(INDEX(INDIRECT("Data!C"&amp;'1-Year'!$K$4,FALSE),MATCH(K459,Data!$A:$A,0)),NA())</f>
        <v>#N/A</v>
      </c>
    </row>
    <row r="460" spans="11:12" x14ac:dyDescent="0.2">
      <c r="K460" s="56" t="e">
        <f t="shared" si="71"/>
        <v>#N/A</v>
      </c>
      <c r="L460" s="41" t="e">
        <f ca="1">IFERROR(INDEX(INDIRECT("Data!C"&amp;'1-Year'!$K$4,FALSE),MATCH(K460,Data!$A:$A,0)),NA())</f>
        <v>#N/A</v>
      </c>
    </row>
    <row r="461" spans="11:12" x14ac:dyDescent="0.2">
      <c r="K461" s="56" t="e">
        <f t="shared" si="71"/>
        <v>#N/A</v>
      </c>
      <c r="L461" s="41" t="e">
        <f ca="1">IFERROR(INDEX(INDIRECT("Data!C"&amp;'1-Year'!$K$4,FALSE),MATCH(K461,Data!$A:$A,0)),NA())</f>
        <v>#N/A</v>
      </c>
    </row>
    <row r="462" spans="11:12" x14ac:dyDescent="0.2">
      <c r="K462" s="56" t="e">
        <f t="shared" si="71"/>
        <v>#N/A</v>
      </c>
      <c r="L462" s="41" t="e">
        <f ca="1">IFERROR(INDEX(INDIRECT("Data!C"&amp;'1-Year'!$K$4,FALSE),MATCH(K462,Data!$A:$A,0)),NA())</f>
        <v>#N/A</v>
      </c>
    </row>
    <row r="463" spans="11:12" x14ac:dyDescent="0.2">
      <c r="K463" s="56" t="e">
        <f t="shared" si="71"/>
        <v>#N/A</v>
      </c>
      <c r="L463" s="41" t="e">
        <f ca="1">IFERROR(INDEX(INDIRECT("Data!C"&amp;'1-Year'!$K$4,FALSE),MATCH(K463,Data!$A:$A,0)),NA())</f>
        <v>#N/A</v>
      </c>
    </row>
    <row r="464" spans="11:12" x14ac:dyDescent="0.2">
      <c r="K464" s="56" t="e">
        <f t="shared" si="71"/>
        <v>#N/A</v>
      </c>
      <c r="L464" s="41" t="e">
        <f ca="1">IFERROR(INDEX(INDIRECT("Data!C"&amp;'1-Year'!$K$4,FALSE),MATCH(K464,Data!$A:$A,0)),NA())</f>
        <v>#N/A</v>
      </c>
    </row>
    <row r="465" spans="11:12" x14ac:dyDescent="0.2">
      <c r="K465" s="56" t="e">
        <f t="shared" si="71"/>
        <v>#N/A</v>
      </c>
      <c r="L465" s="41" t="e">
        <f ca="1">IFERROR(INDEX(INDIRECT("Data!C"&amp;'1-Year'!$K$4,FALSE),MATCH(K465,Data!$A:$A,0)),NA())</f>
        <v>#N/A</v>
      </c>
    </row>
    <row r="466" spans="11:12" x14ac:dyDescent="0.2">
      <c r="K466" s="56" t="e">
        <f t="shared" si="71"/>
        <v>#N/A</v>
      </c>
      <c r="L466" s="41" t="e">
        <f ca="1">IFERROR(INDEX(INDIRECT("Data!C"&amp;'1-Year'!$K$4,FALSE),MATCH(K466,Data!$A:$A,0)),NA())</f>
        <v>#N/A</v>
      </c>
    </row>
    <row r="467" spans="11:12" x14ac:dyDescent="0.2">
      <c r="K467" s="56" t="e">
        <f t="shared" si="71"/>
        <v>#N/A</v>
      </c>
      <c r="L467" s="41" t="e">
        <f ca="1">IFERROR(INDEX(INDIRECT("Data!C"&amp;'1-Year'!$K$4,FALSE),MATCH(K467,Data!$A:$A,0)),NA())</f>
        <v>#N/A</v>
      </c>
    </row>
    <row r="468" spans="11:12" x14ac:dyDescent="0.2">
      <c r="K468" s="56" t="e">
        <f t="shared" si="71"/>
        <v>#N/A</v>
      </c>
      <c r="L468" s="41" t="e">
        <f ca="1">IFERROR(INDEX(INDIRECT("Data!C"&amp;'1-Year'!$K$4,FALSE),MATCH(K468,Data!$A:$A,0)),NA())</f>
        <v>#N/A</v>
      </c>
    </row>
    <row r="469" spans="11:12" x14ac:dyDescent="0.2">
      <c r="K469" s="56" t="e">
        <f t="shared" si="71"/>
        <v>#N/A</v>
      </c>
      <c r="L469" s="41" t="e">
        <f ca="1">IFERROR(INDEX(INDIRECT("Data!C"&amp;'1-Year'!$K$4,FALSE),MATCH(K469,Data!$A:$A,0)),NA())</f>
        <v>#N/A</v>
      </c>
    </row>
    <row r="470" spans="11:12" x14ac:dyDescent="0.2">
      <c r="K470" s="56" t="e">
        <f t="shared" si="71"/>
        <v>#N/A</v>
      </c>
      <c r="L470" s="41" t="e">
        <f ca="1">IFERROR(INDEX(INDIRECT("Data!C"&amp;'1-Year'!$K$4,FALSE),MATCH(K470,Data!$A:$A,0)),NA())</f>
        <v>#N/A</v>
      </c>
    </row>
    <row r="471" spans="11:12" x14ac:dyDescent="0.2">
      <c r="K471" s="56" t="e">
        <f t="shared" si="71"/>
        <v>#N/A</v>
      </c>
      <c r="L471" s="41" t="e">
        <f ca="1">IFERROR(INDEX(INDIRECT("Data!C"&amp;'1-Year'!$K$4,FALSE),MATCH(K471,Data!$A:$A,0)),NA())</f>
        <v>#N/A</v>
      </c>
    </row>
    <row r="472" spans="11:12" x14ac:dyDescent="0.2">
      <c r="K472" s="56" t="e">
        <f t="shared" si="71"/>
        <v>#N/A</v>
      </c>
      <c r="L472" s="41" t="e">
        <f ca="1">IFERROR(INDEX(INDIRECT("Data!C"&amp;'1-Year'!$K$4,FALSE),MATCH(K472,Data!$A:$A,0)),NA())</f>
        <v>#N/A</v>
      </c>
    </row>
    <row r="473" spans="11:12" x14ac:dyDescent="0.2">
      <c r="K473" s="56" t="e">
        <f t="shared" si="71"/>
        <v>#N/A</v>
      </c>
      <c r="L473" s="41" t="e">
        <f ca="1">IFERROR(INDEX(INDIRECT("Data!C"&amp;'1-Year'!$K$4,FALSE),MATCH(K473,Data!$A:$A,0)),NA())</f>
        <v>#N/A</v>
      </c>
    </row>
    <row r="474" spans="11:12" x14ac:dyDescent="0.2">
      <c r="K474" s="56" t="e">
        <f t="shared" si="71"/>
        <v>#N/A</v>
      </c>
      <c r="L474" s="41" t="e">
        <f ca="1">IFERROR(INDEX(INDIRECT("Data!C"&amp;'1-Year'!$K$4,FALSE),MATCH(K474,Data!$A:$A,0)),NA())</f>
        <v>#N/A</v>
      </c>
    </row>
    <row r="475" spans="11:12" x14ac:dyDescent="0.2">
      <c r="K475" s="56" t="e">
        <f t="shared" si="71"/>
        <v>#N/A</v>
      </c>
      <c r="L475" s="41" t="e">
        <f ca="1">IFERROR(INDEX(INDIRECT("Data!C"&amp;'1-Year'!$K$4,FALSE),MATCH(K475,Data!$A:$A,0)),NA())</f>
        <v>#N/A</v>
      </c>
    </row>
    <row r="476" spans="11:12" x14ac:dyDescent="0.2">
      <c r="K476" s="56" t="e">
        <f t="shared" si="71"/>
        <v>#N/A</v>
      </c>
      <c r="L476" s="41" t="e">
        <f ca="1">IFERROR(INDEX(INDIRECT("Data!C"&amp;'1-Year'!$K$4,FALSE),MATCH(K476,Data!$A:$A,0)),NA())</f>
        <v>#N/A</v>
      </c>
    </row>
    <row r="477" spans="11:12" x14ac:dyDescent="0.2">
      <c r="K477" s="56" t="e">
        <f t="shared" si="71"/>
        <v>#N/A</v>
      </c>
      <c r="L477" s="41" t="e">
        <f ca="1">IFERROR(INDEX(INDIRECT("Data!C"&amp;'1-Year'!$K$4,FALSE),MATCH(K477,Data!$A:$A,0)),NA())</f>
        <v>#N/A</v>
      </c>
    </row>
    <row r="478" spans="11:12" x14ac:dyDescent="0.2">
      <c r="K478" s="56" t="e">
        <f t="shared" si="71"/>
        <v>#N/A</v>
      </c>
      <c r="L478" s="41" t="e">
        <f ca="1">IFERROR(INDEX(INDIRECT("Data!C"&amp;'1-Year'!$K$4,FALSE),MATCH(K478,Data!$A:$A,0)),NA())</f>
        <v>#N/A</v>
      </c>
    </row>
    <row r="479" spans="11:12" x14ac:dyDescent="0.2">
      <c r="K479" s="56" t="e">
        <f t="shared" si="71"/>
        <v>#N/A</v>
      </c>
      <c r="L479" s="41" t="e">
        <f ca="1">IFERROR(INDEX(INDIRECT("Data!C"&amp;'1-Year'!$K$4,FALSE),MATCH(K479,Data!$A:$A,0)),NA())</f>
        <v>#N/A</v>
      </c>
    </row>
    <row r="480" spans="11:12" x14ac:dyDescent="0.2">
      <c r="K480" s="56" t="e">
        <f t="shared" si="71"/>
        <v>#N/A</v>
      </c>
      <c r="L480" s="41" t="e">
        <f ca="1">IFERROR(INDEX(INDIRECT("Data!C"&amp;'1-Year'!$K$4,FALSE),MATCH(K480,Data!$A:$A,0)),NA())</f>
        <v>#N/A</v>
      </c>
    </row>
    <row r="481" spans="11:12" x14ac:dyDescent="0.2">
      <c r="K481" s="56" t="e">
        <f t="shared" si="71"/>
        <v>#N/A</v>
      </c>
      <c r="L481" s="41" t="e">
        <f ca="1">IFERROR(INDEX(INDIRECT("Data!C"&amp;'1-Year'!$K$4,FALSE),MATCH(K481,Data!$A:$A,0)),NA())</f>
        <v>#N/A</v>
      </c>
    </row>
    <row r="482" spans="11:12" x14ac:dyDescent="0.2">
      <c r="K482" s="56" t="e">
        <f t="shared" si="71"/>
        <v>#N/A</v>
      </c>
      <c r="L482" s="41" t="e">
        <f ca="1">IFERROR(INDEX(INDIRECT("Data!C"&amp;'1-Year'!$K$4,FALSE),MATCH(K482,Data!$A:$A,0)),NA())</f>
        <v>#N/A</v>
      </c>
    </row>
    <row r="483" spans="11:12" x14ac:dyDescent="0.2">
      <c r="K483" s="56" t="e">
        <f t="shared" si="71"/>
        <v>#N/A</v>
      </c>
      <c r="L483" s="41" t="e">
        <f ca="1">IFERROR(INDEX(INDIRECT("Data!C"&amp;'1-Year'!$K$4,FALSE),MATCH(K483,Data!$A:$A,0)),NA())</f>
        <v>#N/A</v>
      </c>
    </row>
    <row r="484" spans="11:12" x14ac:dyDescent="0.2">
      <c r="K484" s="56" t="e">
        <f t="shared" si="71"/>
        <v>#N/A</v>
      </c>
      <c r="L484" s="41" t="e">
        <f ca="1">IFERROR(INDEX(INDIRECT("Data!C"&amp;'1-Year'!$K$4,FALSE),MATCH(K484,Data!$A:$A,0)),NA())</f>
        <v>#N/A</v>
      </c>
    </row>
    <row r="485" spans="11:12" x14ac:dyDescent="0.2">
      <c r="K485" s="56" t="e">
        <f t="shared" si="71"/>
        <v>#N/A</v>
      </c>
      <c r="L485" s="41" t="e">
        <f ca="1">IFERROR(INDEX(INDIRECT("Data!C"&amp;'1-Year'!$K$4,FALSE),MATCH(K485,Data!$A:$A,0)),NA())</f>
        <v>#N/A</v>
      </c>
    </row>
    <row r="486" spans="11:12" x14ac:dyDescent="0.2">
      <c r="K486" s="56" t="e">
        <f t="shared" si="71"/>
        <v>#N/A</v>
      </c>
      <c r="L486" s="41" t="e">
        <f ca="1">IFERROR(INDEX(INDIRECT("Data!C"&amp;'1-Year'!$K$4,FALSE),MATCH(K486,Data!$A:$A,0)),NA())</f>
        <v>#N/A</v>
      </c>
    </row>
    <row r="487" spans="11:12" x14ac:dyDescent="0.2">
      <c r="K487" s="56" t="e">
        <f t="shared" si="71"/>
        <v>#N/A</v>
      </c>
      <c r="L487" s="41" t="e">
        <f ca="1">IFERROR(INDEX(INDIRECT("Data!C"&amp;'1-Year'!$K$4,FALSE),MATCH(K487,Data!$A:$A,0)),NA())</f>
        <v>#N/A</v>
      </c>
    </row>
    <row r="488" spans="11:12" x14ac:dyDescent="0.2">
      <c r="K488" s="56" t="e">
        <f t="shared" si="71"/>
        <v>#N/A</v>
      </c>
      <c r="L488" s="41" t="e">
        <f ca="1">IFERROR(INDEX(INDIRECT("Data!C"&amp;'1-Year'!$K$4,FALSE),MATCH(K488,Data!$A:$A,0)),NA())</f>
        <v>#N/A</v>
      </c>
    </row>
    <row r="489" spans="11:12" x14ac:dyDescent="0.2">
      <c r="K489" s="56" t="e">
        <f t="shared" si="71"/>
        <v>#N/A</v>
      </c>
      <c r="L489" s="41" t="e">
        <f ca="1">IFERROR(INDEX(INDIRECT("Data!C"&amp;'1-Year'!$K$4,FALSE),MATCH(K489,Data!$A:$A,0)),NA())</f>
        <v>#N/A</v>
      </c>
    </row>
    <row r="490" spans="11:12" x14ac:dyDescent="0.2">
      <c r="K490" s="56" t="e">
        <f t="shared" si="71"/>
        <v>#N/A</v>
      </c>
      <c r="L490" s="41" t="e">
        <f ca="1">IFERROR(INDEX(INDIRECT("Data!C"&amp;'1-Year'!$K$4,FALSE),MATCH(K490,Data!$A:$A,0)),NA())</f>
        <v>#N/A</v>
      </c>
    </row>
    <row r="491" spans="11:12" x14ac:dyDescent="0.2">
      <c r="K491" s="56" t="e">
        <f t="shared" si="71"/>
        <v>#N/A</v>
      </c>
      <c r="L491" s="41" t="e">
        <f ca="1">IFERROR(INDEX(INDIRECT("Data!C"&amp;'1-Year'!$K$4,FALSE),MATCH(K491,Data!$A:$A,0)),NA())</f>
        <v>#N/A</v>
      </c>
    </row>
    <row r="492" spans="11:12" x14ac:dyDescent="0.2">
      <c r="K492" s="56" t="e">
        <f t="shared" si="71"/>
        <v>#N/A</v>
      </c>
      <c r="L492" s="41" t="e">
        <f ca="1">IFERROR(INDEX(INDIRECT("Data!C"&amp;'1-Year'!$K$4,FALSE),MATCH(K492,Data!$A:$A,0)),NA())</f>
        <v>#N/A</v>
      </c>
    </row>
    <row r="493" spans="11:12" x14ac:dyDescent="0.2">
      <c r="K493" s="56" t="e">
        <f t="shared" si="71"/>
        <v>#N/A</v>
      </c>
      <c r="L493" s="41" t="e">
        <f ca="1">IFERROR(INDEX(INDIRECT("Data!C"&amp;'1-Year'!$K$4,FALSE),MATCH(K493,Data!$A:$A,0)),NA())</f>
        <v>#N/A</v>
      </c>
    </row>
    <row r="494" spans="11:12" x14ac:dyDescent="0.2">
      <c r="K494" s="56" t="e">
        <f t="shared" si="71"/>
        <v>#N/A</v>
      </c>
      <c r="L494" s="41" t="e">
        <f ca="1">IFERROR(INDEX(INDIRECT("Data!C"&amp;'1-Year'!$K$4,FALSE),MATCH(K494,Data!$A:$A,0)),NA())</f>
        <v>#N/A</v>
      </c>
    </row>
    <row r="495" spans="11:12" x14ac:dyDescent="0.2">
      <c r="K495" s="56" t="e">
        <f t="shared" si="71"/>
        <v>#N/A</v>
      </c>
      <c r="L495" s="41" t="e">
        <f ca="1">IFERROR(INDEX(INDIRECT("Data!C"&amp;'1-Year'!$K$4,FALSE),MATCH(K495,Data!$A:$A,0)),NA())</f>
        <v>#N/A</v>
      </c>
    </row>
    <row r="496" spans="11:12" x14ac:dyDescent="0.2">
      <c r="K496" s="56" t="e">
        <f t="shared" si="71"/>
        <v>#N/A</v>
      </c>
      <c r="L496" s="41" t="e">
        <f ca="1">IFERROR(INDEX(INDIRECT("Data!C"&amp;'1-Year'!$K$4,FALSE),MATCH(K496,Data!$A:$A,0)),NA())</f>
        <v>#N/A</v>
      </c>
    </row>
    <row r="497" spans="11:12" x14ac:dyDescent="0.2">
      <c r="K497" s="56" t="e">
        <f t="shared" si="71"/>
        <v>#N/A</v>
      </c>
      <c r="L497" s="41" t="e">
        <f ca="1">IFERROR(INDEX(INDIRECT("Data!C"&amp;'1-Year'!$K$4,FALSE),MATCH(K497,Data!$A:$A,0)),NA())</f>
        <v>#N/A</v>
      </c>
    </row>
    <row r="498" spans="11:12" x14ac:dyDescent="0.2">
      <c r="K498" s="56" t="e">
        <f t="shared" si="71"/>
        <v>#N/A</v>
      </c>
      <c r="L498" s="41" t="e">
        <f ca="1">IFERROR(INDEX(INDIRECT("Data!C"&amp;'1-Year'!$K$4,FALSE),MATCH(K498,Data!$A:$A,0)),NA())</f>
        <v>#N/A</v>
      </c>
    </row>
    <row r="499" spans="11:12" x14ac:dyDescent="0.2">
      <c r="K499" s="56" t="e">
        <f t="shared" si="71"/>
        <v>#N/A</v>
      </c>
      <c r="L499" s="41" t="e">
        <f ca="1">IFERROR(INDEX(INDIRECT("Data!C"&amp;'1-Year'!$K$4,FALSE),MATCH(K499,Data!$A:$A,0)),NA())</f>
        <v>#N/A</v>
      </c>
    </row>
    <row r="500" spans="11:12" x14ac:dyDescent="0.2">
      <c r="K500" s="56" t="e">
        <f t="shared" si="71"/>
        <v>#N/A</v>
      </c>
      <c r="L500" s="41" t="e">
        <f ca="1">IFERROR(INDEX(INDIRECT("Data!C"&amp;'1-Year'!$K$4,FALSE),MATCH(K500,Data!$A:$A,0)),NA())</f>
        <v>#N/A</v>
      </c>
    </row>
    <row r="501" spans="11:12" x14ac:dyDescent="0.2">
      <c r="K501" s="56" t="e">
        <f t="shared" si="71"/>
        <v>#N/A</v>
      </c>
      <c r="L501" s="41" t="e">
        <f ca="1">IFERROR(INDEX(INDIRECT("Data!C"&amp;'1-Year'!$K$4,FALSE),MATCH(K501,Data!$A:$A,0)),NA())</f>
        <v>#N/A</v>
      </c>
    </row>
    <row r="502" spans="11:12" x14ac:dyDescent="0.2">
      <c r="K502" s="56" t="e">
        <f t="shared" si="71"/>
        <v>#N/A</v>
      </c>
      <c r="L502" s="41" t="e">
        <f ca="1">IFERROR(INDEX(INDIRECT("Data!C"&amp;'1-Year'!$K$4,FALSE),MATCH(K502,Data!$A:$A,0)),NA())</f>
        <v>#N/A</v>
      </c>
    </row>
    <row r="503" spans="11:12" x14ac:dyDescent="0.2">
      <c r="K503" s="56" t="e">
        <f t="shared" si="71"/>
        <v>#N/A</v>
      </c>
      <c r="L503" s="41" t="e">
        <f ca="1">IFERROR(INDEX(INDIRECT("Data!C"&amp;'1-Year'!$K$4,FALSE),MATCH(K503,Data!$A:$A,0)),NA())</f>
        <v>#N/A</v>
      </c>
    </row>
    <row r="504" spans="11:12" x14ac:dyDescent="0.2">
      <c r="K504" s="56" t="e">
        <f t="shared" si="71"/>
        <v>#N/A</v>
      </c>
      <c r="L504" s="41" t="e">
        <f ca="1">IFERROR(INDEX(INDIRECT("Data!C"&amp;'1-Year'!$K$4,FALSE),MATCH(K504,Data!$A:$A,0)),NA())</f>
        <v>#N/A</v>
      </c>
    </row>
    <row r="505" spans="11:12" x14ac:dyDescent="0.2">
      <c r="K505" s="56" t="e">
        <f t="shared" si="71"/>
        <v>#N/A</v>
      </c>
      <c r="L505" s="41" t="e">
        <f ca="1">IFERROR(INDEX(INDIRECT("Data!C"&amp;'1-Year'!$K$4,FALSE),MATCH(K505,Data!$A:$A,0)),NA())</f>
        <v>#N/A</v>
      </c>
    </row>
    <row r="506" spans="11:12" x14ac:dyDescent="0.2">
      <c r="K506" s="56" t="e">
        <f t="shared" si="71"/>
        <v>#N/A</v>
      </c>
      <c r="L506" s="41" t="e">
        <f ca="1">IFERROR(INDEX(INDIRECT("Data!C"&amp;'1-Year'!$K$4,FALSE),MATCH(K506,Data!$A:$A,0)),NA())</f>
        <v>#N/A</v>
      </c>
    </row>
    <row r="507" spans="11:12" x14ac:dyDescent="0.2">
      <c r="K507" s="56" t="e">
        <f t="shared" si="71"/>
        <v>#N/A</v>
      </c>
      <c r="L507" s="41" t="e">
        <f ca="1">IFERROR(INDEX(INDIRECT("Data!C"&amp;'1-Year'!$K$4,FALSE),MATCH(K507,Data!$A:$A,0)),NA())</f>
        <v>#N/A</v>
      </c>
    </row>
    <row r="508" spans="11:12" x14ac:dyDescent="0.2">
      <c r="K508" s="56" t="e">
        <f t="shared" si="71"/>
        <v>#N/A</v>
      </c>
      <c r="L508" s="41" t="e">
        <f ca="1">IFERROR(INDEX(INDIRECT("Data!C"&amp;'1-Year'!$K$4,FALSE),MATCH(K508,Data!$A:$A,0)),NA())</f>
        <v>#N/A</v>
      </c>
    </row>
    <row r="509" spans="11:12" x14ac:dyDescent="0.2">
      <c r="K509" s="56" t="e">
        <f t="shared" si="71"/>
        <v>#N/A</v>
      </c>
      <c r="L509" s="41" t="e">
        <f ca="1">IFERROR(INDEX(INDIRECT("Data!C"&amp;'1-Year'!$K$4,FALSE),MATCH(K509,Data!$A:$A,0)),NA())</f>
        <v>#N/A</v>
      </c>
    </row>
    <row r="510" spans="11:12" x14ac:dyDescent="0.2">
      <c r="K510" s="56" t="e">
        <f t="shared" si="71"/>
        <v>#N/A</v>
      </c>
      <c r="L510" s="41" t="e">
        <f ca="1">IFERROR(INDEX(INDIRECT("Data!C"&amp;'1-Year'!$K$4,FALSE),MATCH(K510,Data!$A:$A,0)),NA())</f>
        <v>#N/A</v>
      </c>
    </row>
    <row r="511" spans="11:12" x14ac:dyDescent="0.2">
      <c r="K511" s="56" t="e">
        <f t="shared" si="71"/>
        <v>#N/A</v>
      </c>
      <c r="L511" s="41" t="e">
        <f ca="1">IFERROR(INDEX(INDIRECT("Data!C"&amp;'1-Year'!$K$4,FALSE),MATCH(K511,Data!$A:$A,0)),NA())</f>
        <v>#N/A</v>
      </c>
    </row>
    <row r="512" spans="11:12" x14ac:dyDescent="0.2">
      <c r="K512" s="56" t="e">
        <f t="shared" si="71"/>
        <v>#N/A</v>
      </c>
      <c r="L512" s="41" t="e">
        <f ca="1">IFERROR(INDEX(INDIRECT("Data!C"&amp;'1-Year'!$K$4,FALSE),MATCH(K512,Data!$A:$A,0)),NA())</f>
        <v>#N/A</v>
      </c>
    </row>
    <row r="513" spans="11:12" x14ac:dyDescent="0.2">
      <c r="K513" s="56" t="e">
        <f t="shared" si="71"/>
        <v>#N/A</v>
      </c>
      <c r="L513" s="41" t="e">
        <f ca="1">IFERROR(INDEX(INDIRECT("Data!C"&amp;'1-Year'!$K$4,FALSE),MATCH(K513,Data!$A:$A,0)),NA())</f>
        <v>#N/A</v>
      </c>
    </row>
    <row r="514" spans="11:12" x14ac:dyDescent="0.2">
      <c r="K514" s="56" t="e">
        <f t="shared" si="71"/>
        <v>#N/A</v>
      </c>
      <c r="L514" s="41" t="e">
        <f ca="1">IFERROR(INDEX(INDIRECT("Data!C"&amp;'1-Year'!$K$4,FALSE),MATCH(K514,Data!$A:$A,0)),NA())</f>
        <v>#N/A</v>
      </c>
    </row>
    <row r="515" spans="11:12" x14ac:dyDescent="0.2">
      <c r="K515" s="56" t="e">
        <f t="shared" si="71"/>
        <v>#N/A</v>
      </c>
      <c r="L515" s="41" t="e">
        <f ca="1">IFERROR(INDEX(INDIRECT("Data!C"&amp;'1-Year'!$K$4,FALSE),MATCH(K515,Data!$A:$A,0)),NA())</f>
        <v>#N/A</v>
      </c>
    </row>
    <row r="516" spans="11:12" x14ac:dyDescent="0.2">
      <c r="K516" s="56" t="e">
        <f t="shared" si="71"/>
        <v>#N/A</v>
      </c>
      <c r="L516" s="41" t="e">
        <f ca="1">IFERROR(INDEX(INDIRECT("Data!C"&amp;'1-Year'!$K$4,FALSE),MATCH(K516,Data!$A:$A,0)),NA())</f>
        <v>#N/A</v>
      </c>
    </row>
    <row r="517" spans="11:12" x14ac:dyDescent="0.2">
      <c r="K517" s="56" t="e">
        <f t="shared" si="71"/>
        <v>#N/A</v>
      </c>
      <c r="L517" s="41" t="e">
        <f ca="1">IFERROR(INDEX(INDIRECT("Data!C"&amp;'1-Year'!$K$4,FALSE),MATCH(K517,Data!$A:$A,0)),NA())</f>
        <v>#N/A</v>
      </c>
    </row>
    <row r="518" spans="11:12" x14ac:dyDescent="0.2">
      <c r="K518" s="56" t="e">
        <f t="shared" si="71"/>
        <v>#N/A</v>
      </c>
      <c r="L518" s="41" t="e">
        <f ca="1">IFERROR(INDEX(INDIRECT("Data!C"&amp;'1-Year'!$K$4,FALSE),MATCH(K518,Data!$A:$A,0)),NA())</f>
        <v>#N/A</v>
      </c>
    </row>
    <row r="519" spans="11:12" x14ac:dyDescent="0.2">
      <c r="K519" s="56" t="e">
        <f t="shared" si="71"/>
        <v>#N/A</v>
      </c>
      <c r="L519" s="41" t="e">
        <f ca="1">IFERROR(INDEX(INDIRECT("Data!C"&amp;'1-Year'!$K$4,FALSE),MATCH(K519,Data!$A:$A,0)),NA())</f>
        <v>#N/A</v>
      </c>
    </row>
    <row r="520" spans="11:12" x14ac:dyDescent="0.2">
      <c r="K520" s="56" t="e">
        <f t="shared" ref="K520:K583" si="72">IF(K519+1&lt;=$C$7,K519+1,NA())</f>
        <v>#N/A</v>
      </c>
      <c r="L520" s="41" t="e">
        <f ca="1">IFERROR(INDEX(INDIRECT("Data!C"&amp;'1-Year'!$K$4,FALSE),MATCH(K520,Data!$A:$A,0)),NA())</f>
        <v>#N/A</v>
      </c>
    </row>
    <row r="521" spans="11:12" x14ac:dyDescent="0.2">
      <c r="K521" s="56" t="e">
        <f t="shared" si="72"/>
        <v>#N/A</v>
      </c>
      <c r="L521" s="41" t="e">
        <f ca="1">IFERROR(INDEX(INDIRECT("Data!C"&amp;'1-Year'!$K$4,FALSE),MATCH(K521,Data!$A:$A,0)),NA())</f>
        <v>#N/A</v>
      </c>
    </row>
    <row r="522" spans="11:12" x14ac:dyDescent="0.2">
      <c r="K522" s="56" t="e">
        <f t="shared" si="72"/>
        <v>#N/A</v>
      </c>
      <c r="L522" s="41" t="e">
        <f ca="1">IFERROR(INDEX(INDIRECT("Data!C"&amp;'1-Year'!$K$4,FALSE),MATCH(K522,Data!$A:$A,0)),NA())</f>
        <v>#N/A</v>
      </c>
    </row>
    <row r="523" spans="11:12" x14ac:dyDescent="0.2">
      <c r="K523" s="56" t="e">
        <f t="shared" si="72"/>
        <v>#N/A</v>
      </c>
      <c r="L523" s="41" t="e">
        <f ca="1">IFERROR(INDEX(INDIRECT("Data!C"&amp;'1-Year'!$K$4,FALSE),MATCH(K523,Data!$A:$A,0)),NA())</f>
        <v>#N/A</v>
      </c>
    </row>
    <row r="524" spans="11:12" x14ac:dyDescent="0.2">
      <c r="K524" s="56" t="e">
        <f t="shared" si="72"/>
        <v>#N/A</v>
      </c>
      <c r="L524" s="41" t="e">
        <f ca="1">IFERROR(INDEX(INDIRECT("Data!C"&amp;'1-Year'!$K$4,FALSE),MATCH(K524,Data!$A:$A,0)),NA())</f>
        <v>#N/A</v>
      </c>
    </row>
    <row r="525" spans="11:12" x14ac:dyDescent="0.2">
      <c r="K525" s="56" t="e">
        <f t="shared" si="72"/>
        <v>#N/A</v>
      </c>
      <c r="L525" s="41" t="e">
        <f ca="1">IFERROR(INDEX(INDIRECT("Data!C"&amp;'1-Year'!$K$4,FALSE),MATCH(K525,Data!$A:$A,0)),NA())</f>
        <v>#N/A</v>
      </c>
    </row>
    <row r="526" spans="11:12" x14ac:dyDescent="0.2">
      <c r="K526" s="56" t="e">
        <f t="shared" si="72"/>
        <v>#N/A</v>
      </c>
      <c r="L526" s="41" t="e">
        <f ca="1">IFERROR(INDEX(INDIRECT("Data!C"&amp;'1-Year'!$K$4,FALSE),MATCH(K526,Data!$A:$A,0)),NA())</f>
        <v>#N/A</v>
      </c>
    </row>
    <row r="527" spans="11:12" x14ac:dyDescent="0.2">
      <c r="K527" s="56" t="e">
        <f t="shared" si="72"/>
        <v>#N/A</v>
      </c>
      <c r="L527" s="41" t="e">
        <f ca="1">IFERROR(INDEX(INDIRECT("Data!C"&amp;'1-Year'!$K$4,FALSE),MATCH(K527,Data!$A:$A,0)),NA())</f>
        <v>#N/A</v>
      </c>
    </row>
    <row r="528" spans="11:12" x14ac:dyDescent="0.2">
      <c r="K528" s="56" t="e">
        <f t="shared" si="72"/>
        <v>#N/A</v>
      </c>
      <c r="L528" s="41" t="e">
        <f ca="1">IFERROR(INDEX(INDIRECT("Data!C"&amp;'1-Year'!$K$4,FALSE),MATCH(K528,Data!$A:$A,0)),NA())</f>
        <v>#N/A</v>
      </c>
    </row>
    <row r="529" spans="11:12" x14ac:dyDescent="0.2">
      <c r="K529" s="56" t="e">
        <f t="shared" si="72"/>
        <v>#N/A</v>
      </c>
      <c r="L529" s="41" t="e">
        <f ca="1">IFERROR(INDEX(INDIRECT("Data!C"&amp;'1-Year'!$K$4,FALSE),MATCH(K529,Data!$A:$A,0)),NA())</f>
        <v>#N/A</v>
      </c>
    </row>
    <row r="530" spans="11:12" x14ac:dyDescent="0.2">
      <c r="K530" s="56" t="e">
        <f t="shared" si="72"/>
        <v>#N/A</v>
      </c>
      <c r="L530" s="41" t="e">
        <f ca="1">IFERROR(INDEX(INDIRECT("Data!C"&amp;'1-Year'!$K$4,FALSE),MATCH(K530,Data!$A:$A,0)),NA())</f>
        <v>#N/A</v>
      </c>
    </row>
    <row r="531" spans="11:12" x14ac:dyDescent="0.2">
      <c r="K531" s="56" t="e">
        <f t="shared" si="72"/>
        <v>#N/A</v>
      </c>
      <c r="L531" s="41" t="e">
        <f ca="1">IFERROR(INDEX(INDIRECT("Data!C"&amp;'1-Year'!$K$4,FALSE),MATCH(K531,Data!$A:$A,0)),NA())</f>
        <v>#N/A</v>
      </c>
    </row>
    <row r="532" spans="11:12" x14ac:dyDescent="0.2">
      <c r="K532" s="56" t="e">
        <f t="shared" si="72"/>
        <v>#N/A</v>
      </c>
      <c r="L532" s="41" t="e">
        <f ca="1">IFERROR(INDEX(INDIRECT("Data!C"&amp;'1-Year'!$K$4,FALSE),MATCH(K532,Data!$A:$A,0)),NA())</f>
        <v>#N/A</v>
      </c>
    </row>
    <row r="533" spans="11:12" x14ac:dyDescent="0.2">
      <c r="K533" s="56" t="e">
        <f t="shared" si="72"/>
        <v>#N/A</v>
      </c>
      <c r="L533" s="41" t="e">
        <f ca="1">IFERROR(INDEX(INDIRECT("Data!C"&amp;'1-Year'!$K$4,FALSE),MATCH(K533,Data!$A:$A,0)),NA())</f>
        <v>#N/A</v>
      </c>
    </row>
    <row r="534" spans="11:12" x14ac:dyDescent="0.2">
      <c r="K534" s="56" t="e">
        <f t="shared" si="72"/>
        <v>#N/A</v>
      </c>
      <c r="L534" s="41" t="e">
        <f ca="1">IFERROR(INDEX(INDIRECT("Data!C"&amp;'1-Year'!$K$4,FALSE),MATCH(K534,Data!$A:$A,0)),NA())</f>
        <v>#N/A</v>
      </c>
    </row>
    <row r="535" spans="11:12" x14ac:dyDescent="0.2">
      <c r="K535" s="56" t="e">
        <f t="shared" si="72"/>
        <v>#N/A</v>
      </c>
      <c r="L535" s="41" t="e">
        <f ca="1">IFERROR(INDEX(INDIRECT("Data!C"&amp;'1-Year'!$K$4,FALSE),MATCH(K535,Data!$A:$A,0)),NA())</f>
        <v>#N/A</v>
      </c>
    </row>
    <row r="536" spans="11:12" x14ac:dyDescent="0.2">
      <c r="K536" s="56" t="e">
        <f t="shared" si="72"/>
        <v>#N/A</v>
      </c>
      <c r="L536" s="41" t="e">
        <f ca="1">IFERROR(INDEX(INDIRECT("Data!C"&amp;'1-Year'!$K$4,FALSE),MATCH(K536,Data!$A:$A,0)),NA())</f>
        <v>#N/A</v>
      </c>
    </row>
    <row r="537" spans="11:12" x14ac:dyDescent="0.2">
      <c r="K537" s="56" t="e">
        <f t="shared" si="72"/>
        <v>#N/A</v>
      </c>
      <c r="L537" s="41" t="e">
        <f ca="1">IFERROR(INDEX(INDIRECT("Data!C"&amp;'1-Year'!$K$4,FALSE),MATCH(K537,Data!$A:$A,0)),NA())</f>
        <v>#N/A</v>
      </c>
    </row>
    <row r="538" spans="11:12" x14ac:dyDescent="0.2">
      <c r="K538" s="56" t="e">
        <f t="shared" si="72"/>
        <v>#N/A</v>
      </c>
      <c r="L538" s="41" t="e">
        <f ca="1">IFERROR(INDEX(INDIRECT("Data!C"&amp;'1-Year'!$K$4,FALSE),MATCH(K538,Data!$A:$A,0)),NA())</f>
        <v>#N/A</v>
      </c>
    </row>
    <row r="539" spans="11:12" x14ac:dyDescent="0.2">
      <c r="K539" s="56" t="e">
        <f t="shared" si="72"/>
        <v>#N/A</v>
      </c>
      <c r="L539" s="41" t="e">
        <f ca="1">IFERROR(INDEX(INDIRECT("Data!C"&amp;'1-Year'!$K$4,FALSE),MATCH(K539,Data!$A:$A,0)),NA())</f>
        <v>#N/A</v>
      </c>
    </row>
    <row r="540" spans="11:12" x14ac:dyDescent="0.2">
      <c r="K540" s="56" t="e">
        <f t="shared" si="72"/>
        <v>#N/A</v>
      </c>
      <c r="L540" s="41" t="e">
        <f ca="1">IFERROR(INDEX(INDIRECT("Data!C"&amp;'1-Year'!$K$4,FALSE),MATCH(K540,Data!$A:$A,0)),NA())</f>
        <v>#N/A</v>
      </c>
    </row>
    <row r="541" spans="11:12" x14ac:dyDescent="0.2">
      <c r="K541" s="56" t="e">
        <f t="shared" si="72"/>
        <v>#N/A</v>
      </c>
      <c r="L541" s="41" t="e">
        <f ca="1">IFERROR(INDEX(INDIRECT("Data!C"&amp;'1-Year'!$K$4,FALSE),MATCH(K541,Data!$A:$A,0)),NA())</f>
        <v>#N/A</v>
      </c>
    </row>
    <row r="542" spans="11:12" x14ac:dyDescent="0.2">
      <c r="K542" s="56" t="e">
        <f t="shared" si="72"/>
        <v>#N/A</v>
      </c>
      <c r="L542" s="41" t="e">
        <f ca="1">IFERROR(INDEX(INDIRECT("Data!C"&amp;'1-Year'!$K$4,FALSE),MATCH(K542,Data!$A:$A,0)),NA())</f>
        <v>#N/A</v>
      </c>
    </row>
    <row r="543" spans="11:12" x14ac:dyDescent="0.2">
      <c r="K543" s="56" t="e">
        <f t="shared" si="72"/>
        <v>#N/A</v>
      </c>
      <c r="L543" s="41" t="e">
        <f ca="1">IFERROR(INDEX(INDIRECT("Data!C"&amp;'1-Year'!$K$4,FALSE),MATCH(K543,Data!$A:$A,0)),NA())</f>
        <v>#N/A</v>
      </c>
    </row>
    <row r="544" spans="11:12" x14ac:dyDescent="0.2">
      <c r="K544" s="56" t="e">
        <f t="shared" si="72"/>
        <v>#N/A</v>
      </c>
      <c r="L544" s="41" t="e">
        <f ca="1">IFERROR(INDEX(INDIRECT("Data!C"&amp;'1-Year'!$K$4,FALSE),MATCH(K544,Data!$A:$A,0)),NA())</f>
        <v>#N/A</v>
      </c>
    </row>
    <row r="545" spans="11:12" x14ac:dyDescent="0.2">
      <c r="K545" s="56" t="e">
        <f t="shared" si="72"/>
        <v>#N/A</v>
      </c>
      <c r="L545" s="41" t="e">
        <f ca="1">IFERROR(INDEX(INDIRECT("Data!C"&amp;'1-Year'!$K$4,FALSE),MATCH(K545,Data!$A:$A,0)),NA())</f>
        <v>#N/A</v>
      </c>
    </row>
    <row r="546" spans="11:12" x14ac:dyDescent="0.2">
      <c r="K546" s="56" t="e">
        <f t="shared" si="72"/>
        <v>#N/A</v>
      </c>
      <c r="L546" s="41" t="e">
        <f ca="1">IFERROR(INDEX(INDIRECT("Data!C"&amp;'1-Year'!$K$4,FALSE),MATCH(K546,Data!$A:$A,0)),NA())</f>
        <v>#N/A</v>
      </c>
    </row>
    <row r="547" spans="11:12" x14ac:dyDescent="0.2">
      <c r="K547" s="56" t="e">
        <f t="shared" si="72"/>
        <v>#N/A</v>
      </c>
      <c r="L547" s="41" t="e">
        <f ca="1">IFERROR(INDEX(INDIRECT("Data!C"&amp;'1-Year'!$K$4,FALSE),MATCH(K547,Data!$A:$A,0)),NA())</f>
        <v>#N/A</v>
      </c>
    </row>
    <row r="548" spans="11:12" x14ac:dyDescent="0.2">
      <c r="K548" s="56" t="e">
        <f t="shared" si="72"/>
        <v>#N/A</v>
      </c>
      <c r="L548" s="41" t="e">
        <f ca="1">IFERROR(INDEX(INDIRECT("Data!C"&amp;'1-Year'!$K$4,FALSE),MATCH(K548,Data!$A:$A,0)),NA())</f>
        <v>#N/A</v>
      </c>
    </row>
    <row r="549" spans="11:12" x14ac:dyDescent="0.2">
      <c r="K549" s="56" t="e">
        <f t="shared" si="72"/>
        <v>#N/A</v>
      </c>
      <c r="L549" s="41" t="e">
        <f ca="1">IFERROR(INDEX(INDIRECT("Data!C"&amp;'1-Year'!$K$4,FALSE),MATCH(K549,Data!$A:$A,0)),NA())</f>
        <v>#N/A</v>
      </c>
    </row>
    <row r="550" spans="11:12" x14ac:dyDescent="0.2">
      <c r="K550" s="56" t="e">
        <f t="shared" si="72"/>
        <v>#N/A</v>
      </c>
      <c r="L550" s="41" t="e">
        <f ca="1">IFERROR(INDEX(INDIRECT("Data!C"&amp;'1-Year'!$K$4,FALSE),MATCH(K550,Data!$A:$A,0)),NA())</f>
        <v>#N/A</v>
      </c>
    </row>
    <row r="551" spans="11:12" x14ac:dyDescent="0.2">
      <c r="K551" s="56" t="e">
        <f t="shared" si="72"/>
        <v>#N/A</v>
      </c>
      <c r="L551" s="41" t="e">
        <f ca="1">IFERROR(INDEX(INDIRECT("Data!C"&amp;'1-Year'!$K$4,FALSE),MATCH(K551,Data!$A:$A,0)),NA())</f>
        <v>#N/A</v>
      </c>
    </row>
    <row r="552" spans="11:12" x14ac:dyDescent="0.2">
      <c r="K552" s="56" t="e">
        <f t="shared" si="72"/>
        <v>#N/A</v>
      </c>
      <c r="L552" s="41" t="e">
        <f ca="1">IFERROR(INDEX(INDIRECT("Data!C"&amp;'1-Year'!$K$4,FALSE),MATCH(K552,Data!$A:$A,0)),NA())</f>
        <v>#N/A</v>
      </c>
    </row>
    <row r="553" spans="11:12" x14ac:dyDescent="0.2">
      <c r="K553" s="56" t="e">
        <f t="shared" si="72"/>
        <v>#N/A</v>
      </c>
      <c r="L553" s="41" t="e">
        <f ca="1">IFERROR(INDEX(INDIRECT("Data!C"&amp;'1-Year'!$K$4,FALSE),MATCH(K553,Data!$A:$A,0)),NA())</f>
        <v>#N/A</v>
      </c>
    </row>
    <row r="554" spans="11:12" x14ac:dyDescent="0.2">
      <c r="K554" s="56" t="e">
        <f t="shared" si="72"/>
        <v>#N/A</v>
      </c>
      <c r="L554" s="41" t="e">
        <f ca="1">IFERROR(INDEX(INDIRECT("Data!C"&amp;'1-Year'!$K$4,FALSE),MATCH(K554,Data!$A:$A,0)),NA())</f>
        <v>#N/A</v>
      </c>
    </row>
    <row r="555" spans="11:12" x14ac:dyDescent="0.2">
      <c r="K555" s="56" t="e">
        <f t="shared" si="72"/>
        <v>#N/A</v>
      </c>
      <c r="L555" s="41" t="e">
        <f ca="1">IFERROR(INDEX(INDIRECT("Data!C"&amp;'1-Year'!$K$4,FALSE),MATCH(K555,Data!$A:$A,0)),NA())</f>
        <v>#N/A</v>
      </c>
    </row>
    <row r="556" spans="11:12" x14ac:dyDescent="0.2">
      <c r="K556" s="56" t="e">
        <f t="shared" si="72"/>
        <v>#N/A</v>
      </c>
      <c r="L556" s="41" t="e">
        <f ca="1">IFERROR(INDEX(INDIRECT("Data!C"&amp;'1-Year'!$K$4,FALSE),MATCH(K556,Data!$A:$A,0)),NA())</f>
        <v>#N/A</v>
      </c>
    </row>
    <row r="557" spans="11:12" x14ac:dyDescent="0.2">
      <c r="K557" s="56" t="e">
        <f t="shared" si="72"/>
        <v>#N/A</v>
      </c>
      <c r="L557" s="41" t="e">
        <f ca="1">IFERROR(INDEX(INDIRECT("Data!C"&amp;'1-Year'!$K$4,FALSE),MATCH(K557,Data!$A:$A,0)),NA())</f>
        <v>#N/A</v>
      </c>
    </row>
    <row r="558" spans="11:12" x14ac:dyDescent="0.2">
      <c r="K558" s="56" t="e">
        <f t="shared" si="72"/>
        <v>#N/A</v>
      </c>
      <c r="L558" s="41" t="e">
        <f ca="1">IFERROR(INDEX(INDIRECT("Data!C"&amp;'1-Year'!$K$4,FALSE),MATCH(K558,Data!$A:$A,0)),NA())</f>
        <v>#N/A</v>
      </c>
    </row>
    <row r="559" spans="11:12" x14ac:dyDescent="0.2">
      <c r="K559" s="56" t="e">
        <f t="shared" si="72"/>
        <v>#N/A</v>
      </c>
      <c r="L559" s="41" t="e">
        <f ca="1">IFERROR(INDEX(INDIRECT("Data!C"&amp;'1-Year'!$K$4,FALSE),MATCH(K559,Data!$A:$A,0)),NA())</f>
        <v>#N/A</v>
      </c>
    </row>
    <row r="560" spans="11:12" x14ac:dyDescent="0.2">
      <c r="K560" s="56" t="e">
        <f t="shared" si="72"/>
        <v>#N/A</v>
      </c>
      <c r="L560" s="41" t="e">
        <f ca="1">IFERROR(INDEX(INDIRECT("Data!C"&amp;'1-Year'!$K$4,FALSE),MATCH(K560,Data!$A:$A,0)),NA())</f>
        <v>#N/A</v>
      </c>
    </row>
    <row r="561" spans="11:12" x14ac:dyDescent="0.2">
      <c r="K561" s="56" t="e">
        <f t="shared" si="72"/>
        <v>#N/A</v>
      </c>
      <c r="L561" s="41" t="e">
        <f ca="1">IFERROR(INDEX(INDIRECT("Data!C"&amp;'1-Year'!$K$4,FALSE),MATCH(K561,Data!$A:$A,0)),NA())</f>
        <v>#N/A</v>
      </c>
    </row>
    <row r="562" spans="11:12" x14ac:dyDescent="0.2">
      <c r="K562" s="56" t="e">
        <f t="shared" si="72"/>
        <v>#N/A</v>
      </c>
      <c r="L562" s="41" t="e">
        <f ca="1">IFERROR(INDEX(INDIRECT("Data!C"&amp;'1-Year'!$K$4,FALSE),MATCH(K562,Data!$A:$A,0)),NA())</f>
        <v>#N/A</v>
      </c>
    </row>
    <row r="563" spans="11:12" x14ac:dyDescent="0.2">
      <c r="K563" s="56" t="e">
        <f t="shared" si="72"/>
        <v>#N/A</v>
      </c>
      <c r="L563" s="41" t="e">
        <f ca="1">IFERROR(INDEX(INDIRECT("Data!C"&amp;'1-Year'!$K$4,FALSE),MATCH(K563,Data!$A:$A,0)),NA())</f>
        <v>#N/A</v>
      </c>
    </row>
    <row r="564" spans="11:12" x14ac:dyDescent="0.2">
      <c r="K564" s="56" t="e">
        <f t="shared" si="72"/>
        <v>#N/A</v>
      </c>
      <c r="L564" s="41" t="e">
        <f ca="1">IFERROR(INDEX(INDIRECT("Data!C"&amp;'1-Year'!$K$4,FALSE),MATCH(K564,Data!$A:$A,0)),NA())</f>
        <v>#N/A</v>
      </c>
    </row>
    <row r="565" spans="11:12" x14ac:dyDescent="0.2">
      <c r="K565" s="56" t="e">
        <f t="shared" si="72"/>
        <v>#N/A</v>
      </c>
      <c r="L565" s="41" t="e">
        <f ca="1">IFERROR(INDEX(INDIRECT("Data!C"&amp;'1-Year'!$K$4,FALSE),MATCH(K565,Data!$A:$A,0)),NA())</f>
        <v>#N/A</v>
      </c>
    </row>
    <row r="566" spans="11:12" x14ac:dyDescent="0.2">
      <c r="K566" s="56" t="e">
        <f t="shared" si="72"/>
        <v>#N/A</v>
      </c>
      <c r="L566" s="41" t="e">
        <f ca="1">IFERROR(INDEX(INDIRECT("Data!C"&amp;'1-Year'!$K$4,FALSE),MATCH(K566,Data!$A:$A,0)),NA())</f>
        <v>#N/A</v>
      </c>
    </row>
    <row r="567" spans="11:12" x14ac:dyDescent="0.2">
      <c r="K567" s="56" t="e">
        <f t="shared" si="72"/>
        <v>#N/A</v>
      </c>
      <c r="L567" s="41" t="e">
        <f ca="1">IFERROR(INDEX(INDIRECT("Data!C"&amp;'1-Year'!$K$4,FALSE),MATCH(K567,Data!$A:$A,0)),NA())</f>
        <v>#N/A</v>
      </c>
    </row>
    <row r="568" spans="11:12" x14ac:dyDescent="0.2">
      <c r="K568" s="56" t="e">
        <f t="shared" si="72"/>
        <v>#N/A</v>
      </c>
      <c r="L568" s="41" t="e">
        <f ca="1">IFERROR(INDEX(INDIRECT("Data!C"&amp;'1-Year'!$K$4,FALSE),MATCH(K568,Data!$A:$A,0)),NA())</f>
        <v>#N/A</v>
      </c>
    </row>
    <row r="569" spans="11:12" x14ac:dyDescent="0.2">
      <c r="K569" s="56" t="e">
        <f t="shared" si="72"/>
        <v>#N/A</v>
      </c>
      <c r="L569" s="41" t="e">
        <f ca="1">IFERROR(INDEX(INDIRECT("Data!C"&amp;'1-Year'!$K$4,FALSE),MATCH(K569,Data!$A:$A,0)),NA())</f>
        <v>#N/A</v>
      </c>
    </row>
    <row r="570" spans="11:12" x14ac:dyDescent="0.2">
      <c r="K570" s="56" t="e">
        <f t="shared" si="72"/>
        <v>#N/A</v>
      </c>
      <c r="L570" s="41" t="e">
        <f ca="1">IFERROR(INDEX(INDIRECT("Data!C"&amp;'1-Year'!$K$4,FALSE),MATCH(K570,Data!$A:$A,0)),NA())</f>
        <v>#N/A</v>
      </c>
    </row>
    <row r="571" spans="11:12" x14ac:dyDescent="0.2">
      <c r="K571" s="56" t="e">
        <f t="shared" si="72"/>
        <v>#N/A</v>
      </c>
      <c r="L571" s="41" t="e">
        <f ca="1">IFERROR(INDEX(INDIRECT("Data!C"&amp;'1-Year'!$K$4,FALSE),MATCH(K571,Data!$A:$A,0)),NA())</f>
        <v>#N/A</v>
      </c>
    </row>
    <row r="572" spans="11:12" x14ac:dyDescent="0.2">
      <c r="K572" s="56" t="e">
        <f t="shared" si="72"/>
        <v>#N/A</v>
      </c>
      <c r="L572" s="41" t="e">
        <f ca="1">IFERROR(INDEX(INDIRECT("Data!C"&amp;'1-Year'!$K$4,FALSE),MATCH(K572,Data!$A:$A,0)),NA())</f>
        <v>#N/A</v>
      </c>
    </row>
    <row r="573" spans="11:12" x14ac:dyDescent="0.2">
      <c r="K573" s="56" t="e">
        <f t="shared" si="72"/>
        <v>#N/A</v>
      </c>
      <c r="L573" s="41" t="e">
        <f ca="1">IFERROR(INDEX(INDIRECT("Data!C"&amp;'1-Year'!$K$4,FALSE),MATCH(K573,Data!$A:$A,0)),NA())</f>
        <v>#N/A</v>
      </c>
    </row>
    <row r="574" spans="11:12" x14ac:dyDescent="0.2">
      <c r="K574" s="56" t="e">
        <f t="shared" si="72"/>
        <v>#N/A</v>
      </c>
      <c r="L574" s="41" t="e">
        <f ca="1">IFERROR(INDEX(INDIRECT("Data!C"&amp;'1-Year'!$K$4,FALSE),MATCH(K574,Data!$A:$A,0)),NA())</f>
        <v>#N/A</v>
      </c>
    </row>
    <row r="575" spans="11:12" x14ac:dyDescent="0.2">
      <c r="K575" s="56" t="e">
        <f t="shared" si="72"/>
        <v>#N/A</v>
      </c>
      <c r="L575" s="41" t="e">
        <f ca="1">IFERROR(INDEX(INDIRECT("Data!C"&amp;'1-Year'!$K$4,FALSE),MATCH(K575,Data!$A:$A,0)),NA())</f>
        <v>#N/A</v>
      </c>
    </row>
    <row r="576" spans="11:12" x14ac:dyDescent="0.2">
      <c r="K576" s="56" t="e">
        <f t="shared" si="72"/>
        <v>#N/A</v>
      </c>
      <c r="L576" s="41" t="e">
        <f ca="1">IFERROR(INDEX(INDIRECT("Data!C"&amp;'1-Year'!$K$4,FALSE),MATCH(K576,Data!$A:$A,0)),NA())</f>
        <v>#N/A</v>
      </c>
    </row>
    <row r="577" spans="11:12" x14ac:dyDescent="0.2">
      <c r="K577" s="56" t="e">
        <f t="shared" si="72"/>
        <v>#N/A</v>
      </c>
      <c r="L577" s="41" t="e">
        <f ca="1">IFERROR(INDEX(INDIRECT("Data!C"&amp;'1-Year'!$K$4,FALSE),MATCH(K577,Data!$A:$A,0)),NA())</f>
        <v>#N/A</v>
      </c>
    </row>
    <row r="578" spans="11:12" x14ac:dyDescent="0.2">
      <c r="K578" s="56" t="e">
        <f t="shared" si="72"/>
        <v>#N/A</v>
      </c>
      <c r="L578" s="41" t="e">
        <f ca="1">IFERROR(INDEX(INDIRECT("Data!C"&amp;'1-Year'!$K$4,FALSE),MATCH(K578,Data!$A:$A,0)),NA())</f>
        <v>#N/A</v>
      </c>
    </row>
    <row r="579" spans="11:12" x14ac:dyDescent="0.2">
      <c r="K579" s="56" t="e">
        <f t="shared" si="72"/>
        <v>#N/A</v>
      </c>
      <c r="L579" s="41" t="e">
        <f ca="1">IFERROR(INDEX(INDIRECT("Data!C"&amp;'1-Year'!$K$4,FALSE),MATCH(K579,Data!$A:$A,0)),NA())</f>
        <v>#N/A</v>
      </c>
    </row>
    <row r="580" spans="11:12" x14ac:dyDescent="0.2">
      <c r="K580" s="56" t="e">
        <f t="shared" si="72"/>
        <v>#N/A</v>
      </c>
      <c r="L580" s="41" t="e">
        <f ca="1">IFERROR(INDEX(INDIRECT("Data!C"&amp;'1-Year'!$K$4,FALSE),MATCH(K580,Data!$A:$A,0)),NA())</f>
        <v>#N/A</v>
      </c>
    </row>
    <row r="581" spans="11:12" x14ac:dyDescent="0.2">
      <c r="K581" s="56" t="e">
        <f t="shared" si="72"/>
        <v>#N/A</v>
      </c>
      <c r="L581" s="41" t="e">
        <f ca="1">IFERROR(INDEX(INDIRECT("Data!C"&amp;'1-Year'!$K$4,FALSE),MATCH(K581,Data!$A:$A,0)),NA())</f>
        <v>#N/A</v>
      </c>
    </row>
    <row r="582" spans="11:12" x14ac:dyDescent="0.2">
      <c r="K582" s="56" t="e">
        <f t="shared" si="72"/>
        <v>#N/A</v>
      </c>
      <c r="L582" s="41" t="e">
        <f ca="1">IFERROR(INDEX(INDIRECT("Data!C"&amp;'1-Year'!$K$4,FALSE),MATCH(K582,Data!$A:$A,0)),NA())</f>
        <v>#N/A</v>
      </c>
    </row>
    <row r="583" spans="11:12" x14ac:dyDescent="0.2">
      <c r="K583" s="56" t="e">
        <f t="shared" si="72"/>
        <v>#N/A</v>
      </c>
      <c r="L583" s="41" t="e">
        <f ca="1">IFERROR(INDEX(INDIRECT("Data!C"&amp;'1-Year'!$K$4,FALSE),MATCH(K583,Data!$A:$A,0)),NA())</f>
        <v>#N/A</v>
      </c>
    </row>
    <row r="584" spans="11:12" x14ac:dyDescent="0.2">
      <c r="K584" s="56" t="e">
        <f t="shared" ref="K584:K647" si="73">IF(K583+1&lt;=$C$7,K583+1,NA())</f>
        <v>#N/A</v>
      </c>
      <c r="L584" s="41" t="e">
        <f ca="1">IFERROR(INDEX(INDIRECT("Data!C"&amp;'1-Year'!$K$4,FALSE),MATCH(K584,Data!$A:$A,0)),NA())</f>
        <v>#N/A</v>
      </c>
    </row>
    <row r="585" spans="11:12" x14ac:dyDescent="0.2">
      <c r="K585" s="56" t="e">
        <f t="shared" si="73"/>
        <v>#N/A</v>
      </c>
      <c r="L585" s="41" t="e">
        <f ca="1">IFERROR(INDEX(INDIRECT("Data!C"&amp;'1-Year'!$K$4,FALSE),MATCH(K585,Data!$A:$A,0)),NA())</f>
        <v>#N/A</v>
      </c>
    </row>
    <row r="586" spans="11:12" x14ac:dyDescent="0.2">
      <c r="K586" s="56" t="e">
        <f t="shared" si="73"/>
        <v>#N/A</v>
      </c>
      <c r="L586" s="41" t="e">
        <f ca="1">IFERROR(INDEX(INDIRECT("Data!C"&amp;'1-Year'!$K$4,FALSE),MATCH(K586,Data!$A:$A,0)),NA())</f>
        <v>#N/A</v>
      </c>
    </row>
    <row r="587" spans="11:12" x14ac:dyDescent="0.2">
      <c r="K587" s="56" t="e">
        <f t="shared" si="73"/>
        <v>#N/A</v>
      </c>
      <c r="L587" s="41" t="e">
        <f ca="1">IFERROR(INDEX(INDIRECT("Data!C"&amp;'1-Year'!$K$4,FALSE),MATCH(K587,Data!$A:$A,0)),NA())</f>
        <v>#N/A</v>
      </c>
    </row>
    <row r="588" spans="11:12" x14ac:dyDescent="0.2">
      <c r="K588" s="56" t="e">
        <f t="shared" si="73"/>
        <v>#N/A</v>
      </c>
      <c r="L588" s="41" t="e">
        <f ca="1">IFERROR(INDEX(INDIRECT("Data!C"&amp;'1-Year'!$K$4,FALSE),MATCH(K588,Data!$A:$A,0)),NA())</f>
        <v>#N/A</v>
      </c>
    </row>
    <row r="589" spans="11:12" x14ac:dyDescent="0.2">
      <c r="K589" s="56" t="e">
        <f t="shared" si="73"/>
        <v>#N/A</v>
      </c>
      <c r="L589" s="41" t="e">
        <f ca="1">IFERROR(INDEX(INDIRECT("Data!C"&amp;'1-Year'!$K$4,FALSE),MATCH(K589,Data!$A:$A,0)),NA())</f>
        <v>#N/A</v>
      </c>
    </row>
    <row r="590" spans="11:12" x14ac:dyDescent="0.2">
      <c r="K590" s="56" t="e">
        <f t="shared" si="73"/>
        <v>#N/A</v>
      </c>
      <c r="L590" s="41" t="e">
        <f ca="1">IFERROR(INDEX(INDIRECT("Data!C"&amp;'1-Year'!$K$4,FALSE),MATCH(K590,Data!$A:$A,0)),NA())</f>
        <v>#N/A</v>
      </c>
    </row>
    <row r="591" spans="11:12" x14ac:dyDescent="0.2">
      <c r="K591" s="56" t="e">
        <f t="shared" si="73"/>
        <v>#N/A</v>
      </c>
      <c r="L591" s="41" t="e">
        <f ca="1">IFERROR(INDEX(INDIRECT("Data!C"&amp;'1-Year'!$K$4,FALSE),MATCH(K591,Data!$A:$A,0)),NA())</f>
        <v>#N/A</v>
      </c>
    </row>
    <row r="592" spans="11:12" x14ac:dyDescent="0.2">
      <c r="K592" s="56" t="e">
        <f t="shared" si="73"/>
        <v>#N/A</v>
      </c>
      <c r="L592" s="41" t="e">
        <f ca="1">IFERROR(INDEX(INDIRECT("Data!C"&amp;'1-Year'!$K$4,FALSE),MATCH(K592,Data!$A:$A,0)),NA())</f>
        <v>#N/A</v>
      </c>
    </row>
    <row r="593" spans="11:12" x14ac:dyDescent="0.2">
      <c r="K593" s="56" t="e">
        <f t="shared" si="73"/>
        <v>#N/A</v>
      </c>
      <c r="L593" s="41" t="e">
        <f ca="1">IFERROR(INDEX(INDIRECT("Data!C"&amp;'1-Year'!$K$4,FALSE),MATCH(K593,Data!$A:$A,0)),NA())</f>
        <v>#N/A</v>
      </c>
    </row>
    <row r="594" spans="11:12" x14ac:dyDescent="0.2">
      <c r="K594" s="56" t="e">
        <f t="shared" si="73"/>
        <v>#N/A</v>
      </c>
      <c r="L594" s="41" t="e">
        <f ca="1">IFERROR(INDEX(INDIRECT("Data!C"&amp;'1-Year'!$K$4,FALSE),MATCH(K594,Data!$A:$A,0)),NA())</f>
        <v>#N/A</v>
      </c>
    </row>
    <row r="595" spans="11:12" x14ac:dyDescent="0.2">
      <c r="K595" s="56" t="e">
        <f t="shared" si="73"/>
        <v>#N/A</v>
      </c>
      <c r="L595" s="41" t="e">
        <f ca="1">IFERROR(INDEX(INDIRECT("Data!C"&amp;'1-Year'!$K$4,FALSE),MATCH(K595,Data!$A:$A,0)),NA())</f>
        <v>#N/A</v>
      </c>
    </row>
    <row r="596" spans="11:12" x14ac:dyDescent="0.2">
      <c r="K596" s="56" t="e">
        <f t="shared" si="73"/>
        <v>#N/A</v>
      </c>
      <c r="L596" s="41" t="e">
        <f ca="1">IFERROR(INDEX(INDIRECT("Data!C"&amp;'1-Year'!$K$4,FALSE),MATCH(K596,Data!$A:$A,0)),NA())</f>
        <v>#N/A</v>
      </c>
    </row>
    <row r="597" spans="11:12" x14ac:dyDescent="0.2">
      <c r="K597" s="56" t="e">
        <f t="shared" si="73"/>
        <v>#N/A</v>
      </c>
      <c r="L597" s="41" t="e">
        <f ca="1">IFERROR(INDEX(INDIRECT("Data!C"&amp;'1-Year'!$K$4,FALSE),MATCH(K597,Data!$A:$A,0)),NA())</f>
        <v>#N/A</v>
      </c>
    </row>
    <row r="598" spans="11:12" x14ac:dyDescent="0.2">
      <c r="K598" s="56" t="e">
        <f t="shared" si="73"/>
        <v>#N/A</v>
      </c>
      <c r="L598" s="41" t="e">
        <f ca="1">IFERROR(INDEX(INDIRECT("Data!C"&amp;'1-Year'!$K$4,FALSE),MATCH(K598,Data!$A:$A,0)),NA())</f>
        <v>#N/A</v>
      </c>
    </row>
    <row r="599" spans="11:12" x14ac:dyDescent="0.2">
      <c r="K599" s="56" t="e">
        <f t="shared" si="73"/>
        <v>#N/A</v>
      </c>
      <c r="L599" s="41" t="e">
        <f ca="1">IFERROR(INDEX(INDIRECT("Data!C"&amp;'1-Year'!$K$4,FALSE),MATCH(K599,Data!$A:$A,0)),NA())</f>
        <v>#N/A</v>
      </c>
    </row>
    <row r="600" spans="11:12" x14ac:dyDescent="0.2">
      <c r="K600" s="56" t="e">
        <f t="shared" si="73"/>
        <v>#N/A</v>
      </c>
      <c r="L600" s="41" t="e">
        <f ca="1">IFERROR(INDEX(INDIRECT("Data!C"&amp;'1-Year'!$K$4,FALSE),MATCH(K600,Data!$A:$A,0)),NA())</f>
        <v>#N/A</v>
      </c>
    </row>
    <row r="601" spans="11:12" x14ac:dyDescent="0.2">
      <c r="K601" s="56" t="e">
        <f t="shared" si="73"/>
        <v>#N/A</v>
      </c>
      <c r="L601" s="41" t="e">
        <f ca="1">IFERROR(INDEX(INDIRECT("Data!C"&amp;'1-Year'!$K$4,FALSE),MATCH(K601,Data!$A:$A,0)),NA())</f>
        <v>#N/A</v>
      </c>
    </row>
    <row r="602" spans="11:12" x14ac:dyDescent="0.2">
      <c r="K602" s="56" t="e">
        <f t="shared" si="73"/>
        <v>#N/A</v>
      </c>
      <c r="L602" s="41" t="e">
        <f ca="1">IFERROR(INDEX(INDIRECT("Data!C"&amp;'1-Year'!$K$4,FALSE),MATCH(K602,Data!$A:$A,0)),NA())</f>
        <v>#N/A</v>
      </c>
    </row>
    <row r="603" spans="11:12" x14ac:dyDescent="0.2">
      <c r="K603" s="56" t="e">
        <f t="shared" si="73"/>
        <v>#N/A</v>
      </c>
      <c r="L603" s="41" t="e">
        <f ca="1">IFERROR(INDEX(INDIRECT("Data!C"&amp;'1-Year'!$K$4,FALSE),MATCH(K603,Data!$A:$A,0)),NA())</f>
        <v>#N/A</v>
      </c>
    </row>
    <row r="604" spans="11:12" x14ac:dyDescent="0.2">
      <c r="K604" s="56" t="e">
        <f t="shared" si="73"/>
        <v>#N/A</v>
      </c>
      <c r="L604" s="41" t="e">
        <f ca="1">IFERROR(INDEX(INDIRECT("Data!C"&amp;'1-Year'!$K$4,FALSE),MATCH(K604,Data!$A:$A,0)),NA())</f>
        <v>#N/A</v>
      </c>
    </row>
    <row r="605" spans="11:12" x14ac:dyDescent="0.2">
      <c r="K605" s="56" t="e">
        <f t="shared" si="73"/>
        <v>#N/A</v>
      </c>
      <c r="L605" s="41" t="e">
        <f ca="1">IFERROR(INDEX(INDIRECT("Data!C"&amp;'1-Year'!$K$4,FALSE),MATCH(K605,Data!$A:$A,0)),NA())</f>
        <v>#N/A</v>
      </c>
    </row>
    <row r="606" spans="11:12" x14ac:dyDescent="0.2">
      <c r="K606" s="56" t="e">
        <f t="shared" si="73"/>
        <v>#N/A</v>
      </c>
      <c r="L606" s="41" t="e">
        <f ca="1">IFERROR(INDEX(INDIRECT("Data!C"&amp;'1-Year'!$K$4,FALSE),MATCH(K606,Data!$A:$A,0)),NA())</f>
        <v>#N/A</v>
      </c>
    </row>
    <row r="607" spans="11:12" x14ac:dyDescent="0.2">
      <c r="K607" s="56" t="e">
        <f t="shared" si="73"/>
        <v>#N/A</v>
      </c>
      <c r="L607" s="41" t="e">
        <f ca="1">IFERROR(INDEX(INDIRECT("Data!C"&amp;'1-Year'!$K$4,FALSE),MATCH(K607,Data!$A:$A,0)),NA())</f>
        <v>#N/A</v>
      </c>
    </row>
    <row r="608" spans="11:12" x14ac:dyDescent="0.2">
      <c r="K608" s="56" t="e">
        <f t="shared" si="73"/>
        <v>#N/A</v>
      </c>
      <c r="L608" s="41" t="e">
        <f ca="1">IFERROR(INDEX(INDIRECT("Data!C"&amp;'1-Year'!$K$4,FALSE),MATCH(K608,Data!$A:$A,0)),NA())</f>
        <v>#N/A</v>
      </c>
    </row>
    <row r="609" spans="11:12" x14ac:dyDescent="0.2">
      <c r="K609" s="56" t="e">
        <f t="shared" si="73"/>
        <v>#N/A</v>
      </c>
      <c r="L609" s="41" t="e">
        <f ca="1">IFERROR(INDEX(INDIRECT("Data!C"&amp;'1-Year'!$K$4,FALSE),MATCH(K609,Data!$A:$A,0)),NA())</f>
        <v>#N/A</v>
      </c>
    </row>
    <row r="610" spans="11:12" x14ac:dyDescent="0.2">
      <c r="K610" s="56" t="e">
        <f t="shared" si="73"/>
        <v>#N/A</v>
      </c>
      <c r="L610" s="41" t="e">
        <f ca="1">IFERROR(INDEX(INDIRECT("Data!C"&amp;'1-Year'!$K$4,FALSE),MATCH(K610,Data!$A:$A,0)),NA())</f>
        <v>#N/A</v>
      </c>
    </row>
    <row r="611" spans="11:12" x14ac:dyDescent="0.2">
      <c r="K611" s="56" t="e">
        <f t="shared" si="73"/>
        <v>#N/A</v>
      </c>
      <c r="L611" s="41" t="e">
        <f ca="1">IFERROR(INDEX(INDIRECT("Data!C"&amp;'1-Year'!$K$4,FALSE),MATCH(K611,Data!$A:$A,0)),NA())</f>
        <v>#N/A</v>
      </c>
    </row>
    <row r="612" spans="11:12" x14ac:dyDescent="0.2">
      <c r="K612" s="56" t="e">
        <f t="shared" si="73"/>
        <v>#N/A</v>
      </c>
      <c r="L612" s="41" t="e">
        <f ca="1">IFERROR(INDEX(INDIRECT("Data!C"&amp;'1-Year'!$K$4,FALSE),MATCH(K612,Data!$A:$A,0)),NA())</f>
        <v>#N/A</v>
      </c>
    </row>
    <row r="613" spans="11:12" x14ac:dyDescent="0.2">
      <c r="K613" s="56" t="e">
        <f t="shared" si="73"/>
        <v>#N/A</v>
      </c>
      <c r="L613" s="41" t="e">
        <f ca="1">IFERROR(INDEX(INDIRECT("Data!C"&amp;'1-Year'!$K$4,FALSE),MATCH(K613,Data!$A:$A,0)),NA())</f>
        <v>#N/A</v>
      </c>
    </row>
    <row r="614" spans="11:12" x14ac:dyDescent="0.2">
      <c r="K614" s="56" t="e">
        <f t="shared" si="73"/>
        <v>#N/A</v>
      </c>
      <c r="L614" s="41" t="e">
        <f ca="1">IFERROR(INDEX(INDIRECT("Data!C"&amp;'1-Year'!$K$4,FALSE),MATCH(K614,Data!$A:$A,0)),NA())</f>
        <v>#N/A</v>
      </c>
    </row>
    <row r="615" spans="11:12" x14ac:dyDescent="0.2">
      <c r="K615" s="56" t="e">
        <f t="shared" si="73"/>
        <v>#N/A</v>
      </c>
      <c r="L615" s="41" t="e">
        <f ca="1">IFERROR(INDEX(INDIRECT("Data!C"&amp;'1-Year'!$K$4,FALSE),MATCH(K615,Data!$A:$A,0)),NA())</f>
        <v>#N/A</v>
      </c>
    </row>
    <row r="616" spans="11:12" x14ac:dyDescent="0.2">
      <c r="K616" s="56" t="e">
        <f t="shared" si="73"/>
        <v>#N/A</v>
      </c>
      <c r="L616" s="41" t="e">
        <f ca="1">IFERROR(INDEX(INDIRECT("Data!C"&amp;'1-Year'!$K$4,FALSE),MATCH(K616,Data!$A:$A,0)),NA())</f>
        <v>#N/A</v>
      </c>
    </row>
    <row r="617" spans="11:12" x14ac:dyDescent="0.2">
      <c r="K617" s="56" t="e">
        <f t="shared" si="73"/>
        <v>#N/A</v>
      </c>
      <c r="L617" s="41" t="e">
        <f ca="1">IFERROR(INDEX(INDIRECT("Data!C"&amp;'1-Year'!$K$4,FALSE),MATCH(K617,Data!$A:$A,0)),NA())</f>
        <v>#N/A</v>
      </c>
    </row>
    <row r="618" spans="11:12" x14ac:dyDescent="0.2">
      <c r="K618" s="56" t="e">
        <f t="shared" si="73"/>
        <v>#N/A</v>
      </c>
      <c r="L618" s="41" t="e">
        <f ca="1">IFERROR(INDEX(INDIRECT("Data!C"&amp;'1-Year'!$K$4,FALSE),MATCH(K618,Data!$A:$A,0)),NA())</f>
        <v>#N/A</v>
      </c>
    </row>
    <row r="619" spans="11:12" x14ac:dyDescent="0.2">
      <c r="K619" s="56" t="e">
        <f t="shared" si="73"/>
        <v>#N/A</v>
      </c>
      <c r="L619" s="41" t="e">
        <f ca="1">IFERROR(INDEX(INDIRECT("Data!C"&amp;'1-Year'!$K$4,FALSE),MATCH(K619,Data!$A:$A,0)),NA())</f>
        <v>#N/A</v>
      </c>
    </row>
    <row r="620" spans="11:12" x14ac:dyDescent="0.2">
      <c r="K620" s="56" t="e">
        <f t="shared" si="73"/>
        <v>#N/A</v>
      </c>
      <c r="L620" s="41" t="e">
        <f ca="1">IFERROR(INDEX(INDIRECT("Data!C"&amp;'1-Year'!$K$4,FALSE),MATCH(K620,Data!$A:$A,0)),NA())</f>
        <v>#N/A</v>
      </c>
    </row>
    <row r="621" spans="11:12" x14ac:dyDescent="0.2">
      <c r="K621" s="56" t="e">
        <f t="shared" si="73"/>
        <v>#N/A</v>
      </c>
      <c r="L621" s="41" t="e">
        <f ca="1">IFERROR(INDEX(INDIRECT("Data!C"&amp;'1-Year'!$K$4,FALSE),MATCH(K621,Data!$A:$A,0)),NA())</f>
        <v>#N/A</v>
      </c>
    </row>
    <row r="622" spans="11:12" x14ac:dyDescent="0.2">
      <c r="K622" s="56" t="e">
        <f t="shared" si="73"/>
        <v>#N/A</v>
      </c>
      <c r="L622" s="41" t="e">
        <f ca="1">IFERROR(INDEX(INDIRECT("Data!C"&amp;'1-Year'!$K$4,FALSE),MATCH(K622,Data!$A:$A,0)),NA())</f>
        <v>#N/A</v>
      </c>
    </row>
    <row r="623" spans="11:12" x14ac:dyDescent="0.2">
      <c r="K623" s="56" t="e">
        <f t="shared" si="73"/>
        <v>#N/A</v>
      </c>
      <c r="L623" s="41" t="e">
        <f ca="1">IFERROR(INDEX(INDIRECT("Data!C"&amp;'1-Year'!$K$4,FALSE),MATCH(K623,Data!$A:$A,0)),NA())</f>
        <v>#N/A</v>
      </c>
    </row>
    <row r="624" spans="11:12" x14ac:dyDescent="0.2">
      <c r="K624" s="56" t="e">
        <f t="shared" si="73"/>
        <v>#N/A</v>
      </c>
      <c r="L624" s="41" t="e">
        <f ca="1">IFERROR(INDEX(INDIRECT("Data!C"&amp;'1-Year'!$K$4,FALSE),MATCH(K624,Data!$A:$A,0)),NA())</f>
        <v>#N/A</v>
      </c>
    </row>
    <row r="625" spans="11:12" x14ac:dyDescent="0.2">
      <c r="K625" s="56" t="e">
        <f t="shared" si="73"/>
        <v>#N/A</v>
      </c>
      <c r="L625" s="41" t="e">
        <f ca="1">IFERROR(INDEX(INDIRECT("Data!C"&amp;'1-Year'!$K$4,FALSE),MATCH(K625,Data!$A:$A,0)),NA())</f>
        <v>#N/A</v>
      </c>
    </row>
    <row r="626" spans="11:12" x14ac:dyDescent="0.2">
      <c r="K626" s="56" t="e">
        <f t="shared" si="73"/>
        <v>#N/A</v>
      </c>
      <c r="L626" s="41" t="e">
        <f ca="1">IFERROR(INDEX(INDIRECT("Data!C"&amp;'1-Year'!$K$4,FALSE),MATCH(K626,Data!$A:$A,0)),NA())</f>
        <v>#N/A</v>
      </c>
    </row>
    <row r="627" spans="11:12" x14ac:dyDescent="0.2">
      <c r="K627" s="56" t="e">
        <f t="shared" si="73"/>
        <v>#N/A</v>
      </c>
      <c r="L627" s="41" t="e">
        <f ca="1">IFERROR(INDEX(INDIRECT("Data!C"&amp;'1-Year'!$K$4,FALSE),MATCH(K627,Data!$A:$A,0)),NA())</f>
        <v>#N/A</v>
      </c>
    </row>
    <row r="628" spans="11:12" x14ac:dyDescent="0.2">
      <c r="K628" s="56" t="e">
        <f t="shared" si="73"/>
        <v>#N/A</v>
      </c>
      <c r="L628" s="41" t="e">
        <f ca="1">IFERROR(INDEX(INDIRECT("Data!C"&amp;'1-Year'!$K$4,FALSE),MATCH(K628,Data!$A:$A,0)),NA())</f>
        <v>#N/A</v>
      </c>
    </row>
    <row r="629" spans="11:12" x14ac:dyDescent="0.2">
      <c r="K629" s="56" t="e">
        <f t="shared" si="73"/>
        <v>#N/A</v>
      </c>
      <c r="L629" s="41" t="e">
        <f ca="1">IFERROR(INDEX(INDIRECT("Data!C"&amp;'1-Year'!$K$4,FALSE),MATCH(K629,Data!$A:$A,0)),NA())</f>
        <v>#N/A</v>
      </c>
    </row>
    <row r="630" spans="11:12" x14ac:dyDescent="0.2">
      <c r="K630" s="56" t="e">
        <f t="shared" si="73"/>
        <v>#N/A</v>
      </c>
      <c r="L630" s="41" t="e">
        <f ca="1">IFERROR(INDEX(INDIRECT("Data!C"&amp;'1-Year'!$K$4,FALSE),MATCH(K630,Data!$A:$A,0)),NA())</f>
        <v>#N/A</v>
      </c>
    </row>
    <row r="631" spans="11:12" x14ac:dyDescent="0.2">
      <c r="K631" s="56" t="e">
        <f t="shared" si="73"/>
        <v>#N/A</v>
      </c>
      <c r="L631" s="41" t="e">
        <f ca="1">IFERROR(INDEX(INDIRECT("Data!C"&amp;'1-Year'!$K$4,FALSE),MATCH(K631,Data!$A:$A,0)),NA())</f>
        <v>#N/A</v>
      </c>
    </row>
    <row r="632" spans="11:12" x14ac:dyDescent="0.2">
      <c r="K632" s="56" t="e">
        <f t="shared" si="73"/>
        <v>#N/A</v>
      </c>
      <c r="L632" s="41" t="e">
        <f ca="1">IFERROR(INDEX(INDIRECT("Data!C"&amp;'1-Year'!$K$4,FALSE),MATCH(K632,Data!$A:$A,0)),NA())</f>
        <v>#N/A</v>
      </c>
    </row>
    <row r="633" spans="11:12" x14ac:dyDescent="0.2">
      <c r="K633" s="56" t="e">
        <f t="shared" si="73"/>
        <v>#N/A</v>
      </c>
      <c r="L633" s="41" t="e">
        <f ca="1">IFERROR(INDEX(INDIRECT("Data!C"&amp;'1-Year'!$K$4,FALSE),MATCH(K633,Data!$A:$A,0)),NA())</f>
        <v>#N/A</v>
      </c>
    </row>
    <row r="634" spans="11:12" x14ac:dyDescent="0.2">
      <c r="K634" s="56" t="e">
        <f t="shared" si="73"/>
        <v>#N/A</v>
      </c>
      <c r="L634" s="41" t="e">
        <f ca="1">IFERROR(INDEX(INDIRECT("Data!C"&amp;'1-Year'!$K$4,FALSE),MATCH(K634,Data!$A:$A,0)),NA())</f>
        <v>#N/A</v>
      </c>
    </row>
    <row r="635" spans="11:12" x14ac:dyDescent="0.2">
      <c r="K635" s="56" t="e">
        <f t="shared" si="73"/>
        <v>#N/A</v>
      </c>
      <c r="L635" s="41" t="e">
        <f ca="1">IFERROR(INDEX(INDIRECT("Data!C"&amp;'1-Year'!$K$4,FALSE),MATCH(K635,Data!$A:$A,0)),NA())</f>
        <v>#N/A</v>
      </c>
    </row>
    <row r="636" spans="11:12" x14ac:dyDescent="0.2">
      <c r="K636" s="56" t="e">
        <f t="shared" si="73"/>
        <v>#N/A</v>
      </c>
      <c r="L636" s="41" t="e">
        <f ca="1">IFERROR(INDEX(INDIRECT("Data!C"&amp;'1-Year'!$K$4,FALSE),MATCH(K636,Data!$A:$A,0)),NA())</f>
        <v>#N/A</v>
      </c>
    </row>
    <row r="637" spans="11:12" x14ac:dyDescent="0.2">
      <c r="K637" s="56" t="e">
        <f t="shared" si="73"/>
        <v>#N/A</v>
      </c>
      <c r="L637" s="41" t="e">
        <f ca="1">IFERROR(INDEX(INDIRECT("Data!C"&amp;'1-Year'!$K$4,FALSE),MATCH(K637,Data!$A:$A,0)),NA())</f>
        <v>#N/A</v>
      </c>
    </row>
    <row r="638" spans="11:12" x14ac:dyDescent="0.2">
      <c r="K638" s="56" t="e">
        <f t="shared" si="73"/>
        <v>#N/A</v>
      </c>
      <c r="L638" s="41" t="e">
        <f ca="1">IFERROR(INDEX(INDIRECT("Data!C"&amp;'1-Year'!$K$4,FALSE),MATCH(K638,Data!$A:$A,0)),NA())</f>
        <v>#N/A</v>
      </c>
    </row>
    <row r="639" spans="11:12" x14ac:dyDescent="0.2">
      <c r="K639" s="56" t="e">
        <f t="shared" si="73"/>
        <v>#N/A</v>
      </c>
      <c r="L639" s="41" t="e">
        <f ca="1">IFERROR(INDEX(INDIRECT("Data!C"&amp;'1-Year'!$K$4,FALSE),MATCH(K639,Data!$A:$A,0)),NA())</f>
        <v>#N/A</v>
      </c>
    </row>
    <row r="640" spans="11:12" x14ac:dyDescent="0.2">
      <c r="K640" s="56" t="e">
        <f t="shared" si="73"/>
        <v>#N/A</v>
      </c>
      <c r="L640" s="41" t="e">
        <f ca="1">IFERROR(INDEX(INDIRECT("Data!C"&amp;'1-Year'!$K$4,FALSE),MATCH(K640,Data!$A:$A,0)),NA())</f>
        <v>#N/A</v>
      </c>
    </row>
    <row r="641" spans="11:12" x14ac:dyDescent="0.2">
      <c r="K641" s="56" t="e">
        <f t="shared" si="73"/>
        <v>#N/A</v>
      </c>
      <c r="L641" s="41" t="e">
        <f ca="1">IFERROR(INDEX(INDIRECT("Data!C"&amp;'1-Year'!$K$4,FALSE),MATCH(K641,Data!$A:$A,0)),NA())</f>
        <v>#N/A</v>
      </c>
    </row>
    <row r="642" spans="11:12" x14ac:dyDescent="0.2">
      <c r="K642" s="56" t="e">
        <f t="shared" si="73"/>
        <v>#N/A</v>
      </c>
      <c r="L642" s="41" t="e">
        <f ca="1">IFERROR(INDEX(INDIRECT("Data!C"&amp;'1-Year'!$K$4,FALSE),MATCH(K642,Data!$A:$A,0)),NA())</f>
        <v>#N/A</v>
      </c>
    </row>
    <row r="643" spans="11:12" x14ac:dyDescent="0.2">
      <c r="K643" s="56" t="e">
        <f t="shared" si="73"/>
        <v>#N/A</v>
      </c>
      <c r="L643" s="41" t="e">
        <f ca="1">IFERROR(INDEX(INDIRECT("Data!C"&amp;'1-Year'!$K$4,FALSE),MATCH(K643,Data!$A:$A,0)),NA())</f>
        <v>#N/A</v>
      </c>
    </row>
    <row r="644" spans="11:12" x14ac:dyDescent="0.2">
      <c r="K644" s="56" t="e">
        <f t="shared" si="73"/>
        <v>#N/A</v>
      </c>
      <c r="L644" s="41" t="e">
        <f ca="1">IFERROR(INDEX(INDIRECT("Data!C"&amp;'1-Year'!$K$4,FALSE),MATCH(K644,Data!$A:$A,0)),NA())</f>
        <v>#N/A</v>
      </c>
    </row>
    <row r="645" spans="11:12" x14ac:dyDescent="0.2">
      <c r="K645" s="56" t="e">
        <f t="shared" si="73"/>
        <v>#N/A</v>
      </c>
      <c r="L645" s="41" t="e">
        <f ca="1">IFERROR(INDEX(INDIRECT("Data!C"&amp;'1-Year'!$K$4,FALSE),MATCH(K645,Data!$A:$A,0)),NA())</f>
        <v>#N/A</v>
      </c>
    </row>
    <row r="646" spans="11:12" x14ac:dyDescent="0.2">
      <c r="K646" s="56" t="e">
        <f t="shared" si="73"/>
        <v>#N/A</v>
      </c>
      <c r="L646" s="41" t="e">
        <f ca="1">IFERROR(INDEX(INDIRECT("Data!C"&amp;'1-Year'!$K$4,FALSE),MATCH(K646,Data!$A:$A,0)),NA())</f>
        <v>#N/A</v>
      </c>
    </row>
    <row r="647" spans="11:12" x14ac:dyDescent="0.2">
      <c r="K647" s="56" t="e">
        <f t="shared" si="73"/>
        <v>#N/A</v>
      </c>
      <c r="L647" s="41" t="e">
        <f ca="1">IFERROR(INDEX(INDIRECT("Data!C"&amp;'1-Year'!$K$4,FALSE),MATCH(K647,Data!$A:$A,0)),NA())</f>
        <v>#N/A</v>
      </c>
    </row>
    <row r="648" spans="11:12" x14ac:dyDescent="0.2">
      <c r="K648" s="56" t="e">
        <f t="shared" ref="K648:K711" si="74">IF(K647+1&lt;=$C$7,K647+1,NA())</f>
        <v>#N/A</v>
      </c>
      <c r="L648" s="41" t="e">
        <f ca="1">IFERROR(INDEX(INDIRECT("Data!C"&amp;'1-Year'!$K$4,FALSE),MATCH(K648,Data!$A:$A,0)),NA())</f>
        <v>#N/A</v>
      </c>
    </row>
    <row r="649" spans="11:12" x14ac:dyDescent="0.2">
      <c r="K649" s="56" t="e">
        <f t="shared" si="74"/>
        <v>#N/A</v>
      </c>
      <c r="L649" s="41" t="e">
        <f ca="1">IFERROR(INDEX(INDIRECT("Data!C"&amp;'1-Year'!$K$4,FALSE),MATCH(K649,Data!$A:$A,0)),NA())</f>
        <v>#N/A</v>
      </c>
    </row>
    <row r="650" spans="11:12" x14ac:dyDescent="0.2">
      <c r="K650" s="56" t="e">
        <f t="shared" si="74"/>
        <v>#N/A</v>
      </c>
      <c r="L650" s="41" t="e">
        <f ca="1">IFERROR(INDEX(INDIRECT("Data!C"&amp;'1-Year'!$K$4,FALSE),MATCH(K650,Data!$A:$A,0)),NA())</f>
        <v>#N/A</v>
      </c>
    </row>
    <row r="651" spans="11:12" x14ac:dyDescent="0.2">
      <c r="K651" s="56" t="e">
        <f t="shared" si="74"/>
        <v>#N/A</v>
      </c>
      <c r="L651" s="41" t="e">
        <f ca="1">IFERROR(INDEX(INDIRECT("Data!C"&amp;'1-Year'!$K$4,FALSE),MATCH(K651,Data!$A:$A,0)),NA())</f>
        <v>#N/A</v>
      </c>
    </row>
    <row r="652" spans="11:12" x14ac:dyDescent="0.2">
      <c r="K652" s="56" t="e">
        <f t="shared" si="74"/>
        <v>#N/A</v>
      </c>
      <c r="L652" s="41" t="e">
        <f ca="1">IFERROR(INDEX(INDIRECT("Data!C"&amp;'1-Year'!$K$4,FALSE),MATCH(K652,Data!$A:$A,0)),NA())</f>
        <v>#N/A</v>
      </c>
    </row>
    <row r="653" spans="11:12" x14ac:dyDescent="0.2">
      <c r="K653" s="56" t="e">
        <f t="shared" si="74"/>
        <v>#N/A</v>
      </c>
      <c r="L653" s="41" t="e">
        <f ca="1">IFERROR(INDEX(INDIRECT("Data!C"&amp;'1-Year'!$K$4,FALSE),MATCH(K653,Data!$A:$A,0)),NA())</f>
        <v>#N/A</v>
      </c>
    </row>
    <row r="654" spans="11:12" x14ac:dyDescent="0.2">
      <c r="K654" s="56" t="e">
        <f t="shared" si="74"/>
        <v>#N/A</v>
      </c>
      <c r="L654" s="41" t="e">
        <f ca="1">IFERROR(INDEX(INDIRECT("Data!C"&amp;'1-Year'!$K$4,FALSE),MATCH(K654,Data!$A:$A,0)),NA())</f>
        <v>#N/A</v>
      </c>
    </row>
    <row r="655" spans="11:12" x14ac:dyDescent="0.2">
      <c r="K655" s="56" t="e">
        <f t="shared" si="74"/>
        <v>#N/A</v>
      </c>
      <c r="L655" s="41" t="e">
        <f ca="1">IFERROR(INDEX(INDIRECT("Data!C"&amp;'1-Year'!$K$4,FALSE),MATCH(K655,Data!$A:$A,0)),NA())</f>
        <v>#N/A</v>
      </c>
    </row>
    <row r="656" spans="11:12" x14ac:dyDescent="0.2">
      <c r="K656" s="56" t="e">
        <f t="shared" si="74"/>
        <v>#N/A</v>
      </c>
      <c r="L656" s="41" t="e">
        <f ca="1">IFERROR(INDEX(INDIRECT("Data!C"&amp;'1-Year'!$K$4,FALSE),MATCH(K656,Data!$A:$A,0)),NA())</f>
        <v>#N/A</v>
      </c>
    </row>
    <row r="657" spans="11:12" x14ac:dyDescent="0.2">
      <c r="K657" s="56" t="e">
        <f t="shared" si="74"/>
        <v>#N/A</v>
      </c>
      <c r="L657" s="41" t="e">
        <f ca="1">IFERROR(INDEX(INDIRECT("Data!C"&amp;'1-Year'!$K$4,FALSE),MATCH(K657,Data!$A:$A,0)),NA())</f>
        <v>#N/A</v>
      </c>
    </row>
    <row r="658" spans="11:12" x14ac:dyDescent="0.2">
      <c r="K658" s="56" t="e">
        <f t="shared" si="74"/>
        <v>#N/A</v>
      </c>
      <c r="L658" s="41" t="e">
        <f ca="1">IFERROR(INDEX(INDIRECT("Data!C"&amp;'1-Year'!$K$4,FALSE),MATCH(K658,Data!$A:$A,0)),NA())</f>
        <v>#N/A</v>
      </c>
    </row>
    <row r="659" spans="11:12" x14ac:dyDescent="0.2">
      <c r="K659" s="56" t="e">
        <f t="shared" si="74"/>
        <v>#N/A</v>
      </c>
      <c r="L659" s="41" t="e">
        <f ca="1">IFERROR(INDEX(INDIRECT("Data!C"&amp;'1-Year'!$K$4,FALSE),MATCH(K659,Data!$A:$A,0)),NA())</f>
        <v>#N/A</v>
      </c>
    </row>
    <row r="660" spans="11:12" x14ac:dyDescent="0.2">
      <c r="K660" s="56" t="e">
        <f t="shared" si="74"/>
        <v>#N/A</v>
      </c>
      <c r="L660" s="41" t="e">
        <f ca="1">IFERROR(INDEX(INDIRECT("Data!C"&amp;'1-Year'!$K$4,FALSE),MATCH(K660,Data!$A:$A,0)),NA())</f>
        <v>#N/A</v>
      </c>
    </row>
    <row r="661" spans="11:12" x14ac:dyDescent="0.2">
      <c r="K661" s="56" t="e">
        <f t="shared" si="74"/>
        <v>#N/A</v>
      </c>
      <c r="L661" s="41" t="e">
        <f ca="1">IFERROR(INDEX(INDIRECT("Data!C"&amp;'1-Year'!$K$4,FALSE),MATCH(K661,Data!$A:$A,0)),NA())</f>
        <v>#N/A</v>
      </c>
    </row>
    <row r="662" spans="11:12" x14ac:dyDescent="0.2">
      <c r="K662" s="56" t="e">
        <f t="shared" si="74"/>
        <v>#N/A</v>
      </c>
      <c r="L662" s="41" t="e">
        <f ca="1">IFERROR(INDEX(INDIRECT("Data!C"&amp;'1-Year'!$K$4,FALSE),MATCH(K662,Data!$A:$A,0)),NA())</f>
        <v>#N/A</v>
      </c>
    </row>
    <row r="663" spans="11:12" x14ac:dyDescent="0.2">
      <c r="K663" s="56" t="e">
        <f t="shared" si="74"/>
        <v>#N/A</v>
      </c>
      <c r="L663" s="41" t="e">
        <f ca="1">IFERROR(INDEX(INDIRECT("Data!C"&amp;'1-Year'!$K$4,FALSE),MATCH(K663,Data!$A:$A,0)),NA())</f>
        <v>#N/A</v>
      </c>
    </row>
    <row r="664" spans="11:12" x14ac:dyDescent="0.2">
      <c r="K664" s="56" t="e">
        <f t="shared" si="74"/>
        <v>#N/A</v>
      </c>
      <c r="L664" s="41" t="e">
        <f ca="1">IFERROR(INDEX(INDIRECT("Data!C"&amp;'1-Year'!$K$4,FALSE),MATCH(K664,Data!$A:$A,0)),NA())</f>
        <v>#N/A</v>
      </c>
    </row>
    <row r="665" spans="11:12" x14ac:dyDescent="0.2">
      <c r="K665" s="56" t="e">
        <f t="shared" si="74"/>
        <v>#N/A</v>
      </c>
      <c r="L665" s="41" t="e">
        <f ca="1">IFERROR(INDEX(INDIRECT("Data!C"&amp;'1-Year'!$K$4,FALSE),MATCH(K665,Data!$A:$A,0)),NA())</f>
        <v>#N/A</v>
      </c>
    </row>
    <row r="666" spans="11:12" x14ac:dyDescent="0.2">
      <c r="K666" s="56" t="e">
        <f t="shared" si="74"/>
        <v>#N/A</v>
      </c>
      <c r="L666" s="41" t="e">
        <f ca="1">IFERROR(INDEX(INDIRECT("Data!C"&amp;'1-Year'!$K$4,FALSE),MATCH(K666,Data!$A:$A,0)),NA())</f>
        <v>#N/A</v>
      </c>
    </row>
    <row r="667" spans="11:12" x14ac:dyDescent="0.2">
      <c r="K667" s="56" t="e">
        <f t="shared" si="74"/>
        <v>#N/A</v>
      </c>
      <c r="L667" s="41" t="e">
        <f ca="1">IFERROR(INDEX(INDIRECT("Data!C"&amp;'1-Year'!$K$4,FALSE),MATCH(K667,Data!$A:$A,0)),NA())</f>
        <v>#N/A</v>
      </c>
    </row>
    <row r="668" spans="11:12" x14ac:dyDescent="0.2">
      <c r="K668" s="56" t="e">
        <f t="shared" si="74"/>
        <v>#N/A</v>
      </c>
      <c r="L668" s="41" t="e">
        <f ca="1">IFERROR(INDEX(INDIRECT("Data!C"&amp;'1-Year'!$K$4,FALSE),MATCH(K668,Data!$A:$A,0)),NA())</f>
        <v>#N/A</v>
      </c>
    </row>
    <row r="669" spans="11:12" x14ac:dyDescent="0.2">
      <c r="K669" s="56" t="e">
        <f t="shared" si="74"/>
        <v>#N/A</v>
      </c>
      <c r="L669" s="41" t="e">
        <f ca="1">IFERROR(INDEX(INDIRECT("Data!C"&amp;'1-Year'!$K$4,FALSE),MATCH(K669,Data!$A:$A,0)),NA())</f>
        <v>#N/A</v>
      </c>
    </row>
    <row r="670" spans="11:12" x14ac:dyDescent="0.2">
      <c r="K670" s="56" t="e">
        <f t="shared" si="74"/>
        <v>#N/A</v>
      </c>
      <c r="L670" s="41" t="e">
        <f ca="1">IFERROR(INDEX(INDIRECT("Data!C"&amp;'1-Year'!$K$4,FALSE),MATCH(K670,Data!$A:$A,0)),NA())</f>
        <v>#N/A</v>
      </c>
    </row>
    <row r="671" spans="11:12" x14ac:dyDescent="0.2">
      <c r="K671" s="56" t="e">
        <f t="shared" si="74"/>
        <v>#N/A</v>
      </c>
      <c r="L671" s="41" t="e">
        <f ca="1">IFERROR(INDEX(INDIRECT("Data!C"&amp;'1-Year'!$K$4,FALSE),MATCH(K671,Data!$A:$A,0)),NA())</f>
        <v>#N/A</v>
      </c>
    </row>
    <row r="672" spans="11:12" x14ac:dyDescent="0.2">
      <c r="K672" s="56" t="e">
        <f t="shared" si="74"/>
        <v>#N/A</v>
      </c>
      <c r="L672" s="41" t="e">
        <f ca="1">IFERROR(INDEX(INDIRECT("Data!C"&amp;'1-Year'!$K$4,FALSE),MATCH(K672,Data!$A:$A,0)),NA())</f>
        <v>#N/A</v>
      </c>
    </row>
    <row r="673" spans="11:12" x14ac:dyDescent="0.2">
      <c r="K673" s="56" t="e">
        <f t="shared" si="74"/>
        <v>#N/A</v>
      </c>
      <c r="L673" s="41" t="e">
        <f ca="1">IFERROR(INDEX(INDIRECT("Data!C"&amp;'1-Year'!$K$4,FALSE),MATCH(K673,Data!$A:$A,0)),NA())</f>
        <v>#N/A</v>
      </c>
    </row>
    <row r="674" spans="11:12" x14ac:dyDescent="0.2">
      <c r="K674" s="56" t="e">
        <f t="shared" si="74"/>
        <v>#N/A</v>
      </c>
      <c r="L674" s="41" t="e">
        <f ca="1">IFERROR(INDEX(INDIRECT("Data!C"&amp;'1-Year'!$K$4,FALSE),MATCH(K674,Data!$A:$A,0)),NA())</f>
        <v>#N/A</v>
      </c>
    </row>
    <row r="675" spans="11:12" x14ac:dyDescent="0.2">
      <c r="K675" s="56" t="e">
        <f t="shared" si="74"/>
        <v>#N/A</v>
      </c>
      <c r="L675" s="41" t="e">
        <f ca="1">IFERROR(INDEX(INDIRECT("Data!C"&amp;'1-Year'!$K$4,FALSE),MATCH(K675,Data!$A:$A,0)),NA())</f>
        <v>#N/A</v>
      </c>
    </row>
    <row r="676" spans="11:12" x14ac:dyDescent="0.2">
      <c r="K676" s="56" t="e">
        <f t="shared" si="74"/>
        <v>#N/A</v>
      </c>
      <c r="L676" s="41" t="e">
        <f ca="1">IFERROR(INDEX(INDIRECT("Data!C"&amp;'1-Year'!$K$4,FALSE),MATCH(K676,Data!$A:$A,0)),NA())</f>
        <v>#N/A</v>
      </c>
    </row>
    <row r="677" spans="11:12" x14ac:dyDescent="0.2">
      <c r="K677" s="56" t="e">
        <f t="shared" si="74"/>
        <v>#N/A</v>
      </c>
      <c r="L677" s="41" t="e">
        <f ca="1">IFERROR(INDEX(INDIRECT("Data!C"&amp;'1-Year'!$K$4,FALSE),MATCH(K677,Data!$A:$A,0)),NA())</f>
        <v>#N/A</v>
      </c>
    </row>
    <row r="678" spans="11:12" x14ac:dyDescent="0.2">
      <c r="K678" s="56" t="e">
        <f t="shared" si="74"/>
        <v>#N/A</v>
      </c>
      <c r="L678" s="41" t="e">
        <f ca="1">IFERROR(INDEX(INDIRECT("Data!C"&amp;'1-Year'!$K$4,FALSE),MATCH(K678,Data!$A:$A,0)),NA())</f>
        <v>#N/A</v>
      </c>
    </row>
    <row r="679" spans="11:12" x14ac:dyDescent="0.2">
      <c r="K679" s="56" t="e">
        <f t="shared" si="74"/>
        <v>#N/A</v>
      </c>
      <c r="L679" s="41" t="e">
        <f ca="1">IFERROR(INDEX(INDIRECT("Data!C"&amp;'1-Year'!$K$4,FALSE),MATCH(K679,Data!$A:$A,0)),NA())</f>
        <v>#N/A</v>
      </c>
    </row>
    <row r="680" spans="11:12" x14ac:dyDescent="0.2">
      <c r="K680" s="56" t="e">
        <f t="shared" si="74"/>
        <v>#N/A</v>
      </c>
      <c r="L680" s="41" t="e">
        <f ca="1">IFERROR(INDEX(INDIRECT("Data!C"&amp;'1-Year'!$K$4,FALSE),MATCH(K680,Data!$A:$A,0)),NA())</f>
        <v>#N/A</v>
      </c>
    </row>
    <row r="681" spans="11:12" x14ac:dyDescent="0.2">
      <c r="K681" s="56" t="e">
        <f t="shared" si="74"/>
        <v>#N/A</v>
      </c>
      <c r="L681" s="41" t="e">
        <f ca="1">IFERROR(INDEX(INDIRECT("Data!C"&amp;'1-Year'!$K$4,FALSE),MATCH(K681,Data!$A:$A,0)),NA())</f>
        <v>#N/A</v>
      </c>
    </row>
    <row r="682" spans="11:12" x14ac:dyDescent="0.2">
      <c r="K682" s="56" t="e">
        <f t="shared" si="74"/>
        <v>#N/A</v>
      </c>
      <c r="L682" s="41" t="e">
        <f ca="1">IFERROR(INDEX(INDIRECT("Data!C"&amp;'1-Year'!$K$4,FALSE),MATCH(K682,Data!$A:$A,0)),NA())</f>
        <v>#N/A</v>
      </c>
    </row>
    <row r="683" spans="11:12" x14ac:dyDescent="0.2">
      <c r="K683" s="56" t="e">
        <f t="shared" si="74"/>
        <v>#N/A</v>
      </c>
      <c r="L683" s="41" t="e">
        <f ca="1">IFERROR(INDEX(INDIRECT("Data!C"&amp;'1-Year'!$K$4,FALSE),MATCH(K683,Data!$A:$A,0)),NA())</f>
        <v>#N/A</v>
      </c>
    </row>
    <row r="684" spans="11:12" x14ac:dyDescent="0.2">
      <c r="K684" s="56" t="e">
        <f t="shared" si="74"/>
        <v>#N/A</v>
      </c>
      <c r="L684" s="41" t="e">
        <f ca="1">IFERROR(INDEX(INDIRECT("Data!C"&amp;'1-Year'!$K$4,FALSE),MATCH(K684,Data!$A:$A,0)),NA())</f>
        <v>#N/A</v>
      </c>
    </row>
    <row r="685" spans="11:12" x14ac:dyDescent="0.2">
      <c r="K685" s="56" t="e">
        <f t="shared" si="74"/>
        <v>#N/A</v>
      </c>
      <c r="L685" s="41" t="e">
        <f ca="1">IFERROR(INDEX(INDIRECT("Data!C"&amp;'1-Year'!$K$4,FALSE),MATCH(K685,Data!$A:$A,0)),NA())</f>
        <v>#N/A</v>
      </c>
    </row>
    <row r="686" spans="11:12" x14ac:dyDescent="0.2">
      <c r="K686" s="56" t="e">
        <f t="shared" si="74"/>
        <v>#N/A</v>
      </c>
      <c r="L686" s="41" t="e">
        <f ca="1">IFERROR(INDEX(INDIRECT("Data!C"&amp;'1-Year'!$K$4,FALSE),MATCH(K686,Data!$A:$A,0)),NA())</f>
        <v>#N/A</v>
      </c>
    </row>
    <row r="687" spans="11:12" x14ac:dyDescent="0.2">
      <c r="K687" s="56" t="e">
        <f t="shared" si="74"/>
        <v>#N/A</v>
      </c>
      <c r="L687" s="41" t="e">
        <f ca="1">IFERROR(INDEX(INDIRECT("Data!C"&amp;'1-Year'!$K$4,FALSE),MATCH(K687,Data!$A:$A,0)),NA())</f>
        <v>#N/A</v>
      </c>
    </row>
    <row r="688" spans="11:12" x14ac:dyDescent="0.2">
      <c r="K688" s="56" t="e">
        <f t="shared" si="74"/>
        <v>#N/A</v>
      </c>
      <c r="L688" s="41" t="e">
        <f ca="1">IFERROR(INDEX(INDIRECT("Data!C"&amp;'1-Year'!$K$4,FALSE),MATCH(K688,Data!$A:$A,0)),NA())</f>
        <v>#N/A</v>
      </c>
    </row>
    <row r="689" spans="11:12" x14ac:dyDescent="0.2">
      <c r="K689" s="56" t="e">
        <f t="shared" si="74"/>
        <v>#N/A</v>
      </c>
      <c r="L689" s="41" t="e">
        <f ca="1">IFERROR(INDEX(INDIRECT("Data!C"&amp;'1-Year'!$K$4,FALSE),MATCH(K689,Data!$A:$A,0)),NA())</f>
        <v>#N/A</v>
      </c>
    </row>
    <row r="690" spans="11:12" x14ac:dyDescent="0.2">
      <c r="K690" s="56" t="e">
        <f t="shared" si="74"/>
        <v>#N/A</v>
      </c>
      <c r="L690" s="41" t="e">
        <f ca="1">IFERROR(INDEX(INDIRECT("Data!C"&amp;'1-Year'!$K$4,FALSE),MATCH(K690,Data!$A:$A,0)),NA())</f>
        <v>#N/A</v>
      </c>
    </row>
    <row r="691" spans="11:12" x14ac:dyDescent="0.2">
      <c r="K691" s="56" t="e">
        <f t="shared" si="74"/>
        <v>#N/A</v>
      </c>
      <c r="L691" s="41" t="e">
        <f ca="1">IFERROR(INDEX(INDIRECT("Data!C"&amp;'1-Year'!$K$4,FALSE),MATCH(K691,Data!$A:$A,0)),NA())</f>
        <v>#N/A</v>
      </c>
    </row>
    <row r="692" spans="11:12" x14ac:dyDescent="0.2">
      <c r="K692" s="56" t="e">
        <f t="shared" si="74"/>
        <v>#N/A</v>
      </c>
      <c r="L692" s="41" t="e">
        <f ca="1">IFERROR(INDEX(INDIRECT("Data!C"&amp;'1-Year'!$K$4,FALSE),MATCH(K692,Data!$A:$A,0)),NA())</f>
        <v>#N/A</v>
      </c>
    </row>
    <row r="693" spans="11:12" x14ac:dyDescent="0.2">
      <c r="K693" s="56" t="e">
        <f t="shared" si="74"/>
        <v>#N/A</v>
      </c>
      <c r="L693" s="41" t="e">
        <f ca="1">IFERROR(INDEX(INDIRECT("Data!C"&amp;'1-Year'!$K$4,FALSE),MATCH(K693,Data!$A:$A,0)),NA())</f>
        <v>#N/A</v>
      </c>
    </row>
    <row r="694" spans="11:12" x14ac:dyDescent="0.2">
      <c r="K694" s="56" t="e">
        <f t="shared" si="74"/>
        <v>#N/A</v>
      </c>
      <c r="L694" s="41" t="e">
        <f ca="1">IFERROR(INDEX(INDIRECT("Data!C"&amp;'1-Year'!$K$4,FALSE),MATCH(K694,Data!$A:$A,0)),NA())</f>
        <v>#N/A</v>
      </c>
    </row>
    <row r="695" spans="11:12" x14ac:dyDescent="0.2">
      <c r="K695" s="56" t="e">
        <f t="shared" si="74"/>
        <v>#N/A</v>
      </c>
      <c r="L695" s="41" t="e">
        <f ca="1">IFERROR(INDEX(INDIRECT("Data!C"&amp;'1-Year'!$K$4,FALSE),MATCH(K695,Data!$A:$A,0)),NA())</f>
        <v>#N/A</v>
      </c>
    </row>
    <row r="696" spans="11:12" x14ac:dyDescent="0.2">
      <c r="K696" s="56" t="e">
        <f t="shared" si="74"/>
        <v>#N/A</v>
      </c>
      <c r="L696" s="41" t="e">
        <f ca="1">IFERROR(INDEX(INDIRECT("Data!C"&amp;'1-Year'!$K$4,FALSE),MATCH(K696,Data!$A:$A,0)),NA())</f>
        <v>#N/A</v>
      </c>
    </row>
    <row r="697" spans="11:12" x14ac:dyDescent="0.2">
      <c r="K697" s="56" t="e">
        <f t="shared" si="74"/>
        <v>#N/A</v>
      </c>
      <c r="L697" s="41" t="e">
        <f ca="1">IFERROR(INDEX(INDIRECT("Data!C"&amp;'1-Year'!$K$4,FALSE),MATCH(K697,Data!$A:$A,0)),NA())</f>
        <v>#N/A</v>
      </c>
    </row>
    <row r="698" spans="11:12" x14ac:dyDescent="0.2">
      <c r="K698" s="56" t="e">
        <f t="shared" si="74"/>
        <v>#N/A</v>
      </c>
      <c r="L698" s="41" t="e">
        <f ca="1">IFERROR(INDEX(INDIRECT("Data!C"&amp;'1-Year'!$K$4,FALSE),MATCH(K698,Data!$A:$A,0)),NA())</f>
        <v>#N/A</v>
      </c>
    </row>
    <row r="699" spans="11:12" x14ac:dyDescent="0.2">
      <c r="K699" s="56" t="e">
        <f t="shared" si="74"/>
        <v>#N/A</v>
      </c>
      <c r="L699" s="41" t="e">
        <f ca="1">IFERROR(INDEX(INDIRECT("Data!C"&amp;'1-Year'!$K$4,FALSE),MATCH(K699,Data!$A:$A,0)),NA())</f>
        <v>#N/A</v>
      </c>
    </row>
    <row r="700" spans="11:12" x14ac:dyDescent="0.2">
      <c r="K700" s="56" t="e">
        <f t="shared" si="74"/>
        <v>#N/A</v>
      </c>
      <c r="L700" s="41" t="e">
        <f ca="1">IFERROR(INDEX(INDIRECT("Data!C"&amp;'1-Year'!$K$4,FALSE),MATCH(K700,Data!$A:$A,0)),NA())</f>
        <v>#N/A</v>
      </c>
    </row>
    <row r="701" spans="11:12" x14ac:dyDescent="0.2">
      <c r="K701" s="56" t="e">
        <f t="shared" si="74"/>
        <v>#N/A</v>
      </c>
      <c r="L701" s="41" t="e">
        <f ca="1">IFERROR(INDEX(INDIRECT("Data!C"&amp;'1-Year'!$K$4,FALSE),MATCH(K701,Data!$A:$A,0)),NA())</f>
        <v>#N/A</v>
      </c>
    </row>
    <row r="702" spans="11:12" x14ac:dyDescent="0.2">
      <c r="K702" s="56" t="e">
        <f t="shared" si="74"/>
        <v>#N/A</v>
      </c>
      <c r="L702" s="41" t="e">
        <f ca="1">IFERROR(INDEX(INDIRECT("Data!C"&amp;'1-Year'!$K$4,FALSE),MATCH(K702,Data!$A:$A,0)),NA())</f>
        <v>#N/A</v>
      </c>
    </row>
    <row r="703" spans="11:12" x14ac:dyDescent="0.2">
      <c r="K703" s="56" t="e">
        <f t="shared" si="74"/>
        <v>#N/A</v>
      </c>
      <c r="L703" s="41" t="e">
        <f ca="1">IFERROR(INDEX(INDIRECT("Data!C"&amp;'1-Year'!$K$4,FALSE),MATCH(K703,Data!$A:$A,0)),NA())</f>
        <v>#N/A</v>
      </c>
    </row>
    <row r="704" spans="11:12" x14ac:dyDescent="0.2">
      <c r="K704" s="56" t="e">
        <f t="shared" si="74"/>
        <v>#N/A</v>
      </c>
      <c r="L704" s="41" t="e">
        <f ca="1">IFERROR(INDEX(INDIRECT("Data!C"&amp;'1-Year'!$K$4,FALSE),MATCH(K704,Data!$A:$A,0)),NA())</f>
        <v>#N/A</v>
      </c>
    </row>
    <row r="705" spans="11:12" x14ac:dyDescent="0.2">
      <c r="K705" s="56" t="e">
        <f t="shared" si="74"/>
        <v>#N/A</v>
      </c>
      <c r="L705" s="41" t="e">
        <f ca="1">IFERROR(INDEX(INDIRECT("Data!C"&amp;'1-Year'!$K$4,FALSE),MATCH(K705,Data!$A:$A,0)),NA())</f>
        <v>#N/A</v>
      </c>
    </row>
    <row r="706" spans="11:12" x14ac:dyDescent="0.2">
      <c r="K706" s="56" t="e">
        <f t="shared" si="74"/>
        <v>#N/A</v>
      </c>
      <c r="L706" s="41" t="e">
        <f ca="1">IFERROR(INDEX(INDIRECT("Data!C"&amp;'1-Year'!$K$4,FALSE),MATCH(K706,Data!$A:$A,0)),NA())</f>
        <v>#N/A</v>
      </c>
    </row>
    <row r="707" spans="11:12" x14ac:dyDescent="0.2">
      <c r="K707" s="56" t="e">
        <f t="shared" si="74"/>
        <v>#N/A</v>
      </c>
      <c r="L707" s="41" t="e">
        <f ca="1">IFERROR(INDEX(INDIRECT("Data!C"&amp;'1-Year'!$K$4,FALSE),MATCH(K707,Data!$A:$A,0)),NA())</f>
        <v>#N/A</v>
      </c>
    </row>
    <row r="708" spans="11:12" x14ac:dyDescent="0.2">
      <c r="K708" s="56" t="e">
        <f t="shared" si="74"/>
        <v>#N/A</v>
      </c>
      <c r="L708" s="41" t="e">
        <f ca="1">IFERROR(INDEX(INDIRECT("Data!C"&amp;'1-Year'!$K$4,FALSE),MATCH(K708,Data!$A:$A,0)),NA())</f>
        <v>#N/A</v>
      </c>
    </row>
    <row r="709" spans="11:12" x14ac:dyDescent="0.2">
      <c r="K709" s="56" t="e">
        <f t="shared" si="74"/>
        <v>#N/A</v>
      </c>
      <c r="L709" s="41" t="e">
        <f ca="1">IFERROR(INDEX(INDIRECT("Data!C"&amp;'1-Year'!$K$4,FALSE),MATCH(K709,Data!$A:$A,0)),NA())</f>
        <v>#N/A</v>
      </c>
    </row>
    <row r="710" spans="11:12" x14ac:dyDescent="0.2">
      <c r="K710" s="56" t="e">
        <f t="shared" si="74"/>
        <v>#N/A</v>
      </c>
      <c r="L710" s="41" t="e">
        <f ca="1">IFERROR(INDEX(INDIRECT("Data!C"&amp;'1-Year'!$K$4,FALSE),MATCH(K710,Data!$A:$A,0)),NA())</f>
        <v>#N/A</v>
      </c>
    </row>
    <row r="711" spans="11:12" x14ac:dyDescent="0.2">
      <c r="K711" s="56" t="e">
        <f t="shared" si="74"/>
        <v>#N/A</v>
      </c>
      <c r="L711" s="41" t="e">
        <f ca="1">IFERROR(INDEX(INDIRECT("Data!C"&amp;'1-Year'!$K$4,FALSE),MATCH(K711,Data!$A:$A,0)),NA())</f>
        <v>#N/A</v>
      </c>
    </row>
    <row r="712" spans="11:12" x14ac:dyDescent="0.2">
      <c r="K712" s="56" t="e">
        <f t="shared" ref="K712:K775" si="75">IF(K711+1&lt;=$C$7,K711+1,NA())</f>
        <v>#N/A</v>
      </c>
      <c r="L712" s="41" t="e">
        <f ca="1">IFERROR(INDEX(INDIRECT("Data!C"&amp;'1-Year'!$K$4,FALSE),MATCH(K712,Data!$A:$A,0)),NA())</f>
        <v>#N/A</v>
      </c>
    </row>
    <row r="713" spans="11:12" x14ac:dyDescent="0.2">
      <c r="K713" s="56" t="e">
        <f t="shared" si="75"/>
        <v>#N/A</v>
      </c>
      <c r="L713" s="41" t="e">
        <f ca="1">IFERROR(INDEX(INDIRECT("Data!C"&amp;'1-Year'!$K$4,FALSE),MATCH(K713,Data!$A:$A,0)),NA())</f>
        <v>#N/A</v>
      </c>
    </row>
    <row r="714" spans="11:12" x14ac:dyDescent="0.2">
      <c r="K714" s="56" t="e">
        <f t="shared" si="75"/>
        <v>#N/A</v>
      </c>
      <c r="L714" s="41" t="e">
        <f ca="1">IFERROR(INDEX(INDIRECT("Data!C"&amp;'1-Year'!$K$4,FALSE),MATCH(K714,Data!$A:$A,0)),NA())</f>
        <v>#N/A</v>
      </c>
    </row>
    <row r="715" spans="11:12" x14ac:dyDescent="0.2">
      <c r="K715" s="56" t="e">
        <f t="shared" si="75"/>
        <v>#N/A</v>
      </c>
      <c r="L715" s="41" t="e">
        <f ca="1">IFERROR(INDEX(INDIRECT("Data!C"&amp;'1-Year'!$K$4,FALSE),MATCH(K715,Data!$A:$A,0)),NA())</f>
        <v>#N/A</v>
      </c>
    </row>
    <row r="716" spans="11:12" x14ac:dyDescent="0.2">
      <c r="K716" s="56" t="e">
        <f t="shared" si="75"/>
        <v>#N/A</v>
      </c>
      <c r="L716" s="41" t="e">
        <f ca="1">IFERROR(INDEX(INDIRECT("Data!C"&amp;'1-Year'!$K$4,FALSE),MATCH(K716,Data!$A:$A,0)),NA())</f>
        <v>#N/A</v>
      </c>
    </row>
    <row r="717" spans="11:12" x14ac:dyDescent="0.2">
      <c r="K717" s="56" t="e">
        <f t="shared" si="75"/>
        <v>#N/A</v>
      </c>
      <c r="L717" s="41" t="e">
        <f ca="1">IFERROR(INDEX(INDIRECT("Data!C"&amp;'1-Year'!$K$4,FALSE),MATCH(K717,Data!$A:$A,0)),NA())</f>
        <v>#N/A</v>
      </c>
    </row>
    <row r="718" spans="11:12" x14ac:dyDescent="0.2">
      <c r="K718" s="56" t="e">
        <f t="shared" si="75"/>
        <v>#N/A</v>
      </c>
      <c r="L718" s="41" t="e">
        <f ca="1">IFERROR(INDEX(INDIRECT("Data!C"&amp;'1-Year'!$K$4,FALSE),MATCH(K718,Data!$A:$A,0)),NA())</f>
        <v>#N/A</v>
      </c>
    </row>
    <row r="719" spans="11:12" x14ac:dyDescent="0.2">
      <c r="K719" s="56" t="e">
        <f t="shared" si="75"/>
        <v>#N/A</v>
      </c>
      <c r="L719" s="41" t="e">
        <f ca="1">IFERROR(INDEX(INDIRECT("Data!C"&amp;'1-Year'!$K$4,FALSE),MATCH(K719,Data!$A:$A,0)),NA())</f>
        <v>#N/A</v>
      </c>
    </row>
    <row r="720" spans="11:12" x14ac:dyDescent="0.2">
      <c r="K720" s="56" t="e">
        <f t="shared" si="75"/>
        <v>#N/A</v>
      </c>
      <c r="L720" s="41" t="e">
        <f ca="1">IFERROR(INDEX(INDIRECT("Data!C"&amp;'1-Year'!$K$4,FALSE),MATCH(K720,Data!$A:$A,0)),NA())</f>
        <v>#N/A</v>
      </c>
    </row>
    <row r="721" spans="11:12" x14ac:dyDescent="0.2">
      <c r="K721" s="56" t="e">
        <f t="shared" si="75"/>
        <v>#N/A</v>
      </c>
      <c r="L721" s="41" t="e">
        <f ca="1">IFERROR(INDEX(INDIRECT("Data!C"&amp;'1-Year'!$K$4,FALSE),MATCH(K721,Data!$A:$A,0)),NA())</f>
        <v>#N/A</v>
      </c>
    </row>
    <row r="722" spans="11:12" x14ac:dyDescent="0.2">
      <c r="K722" s="56" t="e">
        <f t="shared" si="75"/>
        <v>#N/A</v>
      </c>
      <c r="L722" s="41" t="e">
        <f ca="1">IFERROR(INDEX(INDIRECT("Data!C"&amp;'1-Year'!$K$4,FALSE),MATCH(K722,Data!$A:$A,0)),NA())</f>
        <v>#N/A</v>
      </c>
    </row>
    <row r="723" spans="11:12" x14ac:dyDescent="0.2">
      <c r="K723" s="56" t="e">
        <f t="shared" si="75"/>
        <v>#N/A</v>
      </c>
      <c r="L723" s="41" t="e">
        <f ca="1">IFERROR(INDEX(INDIRECT("Data!C"&amp;'1-Year'!$K$4,FALSE),MATCH(K723,Data!$A:$A,0)),NA())</f>
        <v>#N/A</v>
      </c>
    </row>
    <row r="724" spans="11:12" x14ac:dyDescent="0.2">
      <c r="K724" s="56" t="e">
        <f t="shared" si="75"/>
        <v>#N/A</v>
      </c>
      <c r="L724" s="41" t="e">
        <f ca="1">IFERROR(INDEX(INDIRECT("Data!C"&amp;'1-Year'!$K$4,FALSE),MATCH(K724,Data!$A:$A,0)),NA())</f>
        <v>#N/A</v>
      </c>
    </row>
    <row r="725" spans="11:12" x14ac:dyDescent="0.2">
      <c r="K725" s="56" t="e">
        <f t="shared" si="75"/>
        <v>#N/A</v>
      </c>
      <c r="L725" s="41" t="e">
        <f ca="1">IFERROR(INDEX(INDIRECT("Data!C"&amp;'1-Year'!$K$4,FALSE),MATCH(K725,Data!$A:$A,0)),NA())</f>
        <v>#N/A</v>
      </c>
    </row>
    <row r="726" spans="11:12" x14ac:dyDescent="0.2">
      <c r="K726" s="56" t="e">
        <f t="shared" si="75"/>
        <v>#N/A</v>
      </c>
      <c r="L726" s="41" t="e">
        <f ca="1">IFERROR(INDEX(INDIRECT("Data!C"&amp;'1-Year'!$K$4,FALSE),MATCH(K726,Data!$A:$A,0)),NA())</f>
        <v>#N/A</v>
      </c>
    </row>
    <row r="727" spans="11:12" x14ac:dyDescent="0.2">
      <c r="K727" s="56" t="e">
        <f t="shared" si="75"/>
        <v>#N/A</v>
      </c>
      <c r="L727" s="41" t="e">
        <f ca="1">IFERROR(INDEX(INDIRECT("Data!C"&amp;'1-Year'!$K$4,FALSE),MATCH(K727,Data!$A:$A,0)),NA())</f>
        <v>#N/A</v>
      </c>
    </row>
    <row r="728" spans="11:12" x14ac:dyDescent="0.2">
      <c r="K728" s="56" t="e">
        <f t="shared" si="75"/>
        <v>#N/A</v>
      </c>
      <c r="L728" s="41" t="e">
        <f ca="1">IFERROR(INDEX(INDIRECT("Data!C"&amp;'1-Year'!$K$4,FALSE),MATCH(K728,Data!$A:$A,0)),NA())</f>
        <v>#N/A</v>
      </c>
    </row>
    <row r="729" spans="11:12" x14ac:dyDescent="0.2">
      <c r="K729" s="56" t="e">
        <f t="shared" si="75"/>
        <v>#N/A</v>
      </c>
      <c r="L729" s="41" t="e">
        <f ca="1">IFERROR(INDEX(INDIRECT("Data!C"&amp;'1-Year'!$K$4,FALSE),MATCH(K729,Data!$A:$A,0)),NA())</f>
        <v>#N/A</v>
      </c>
    </row>
    <row r="730" spans="11:12" x14ac:dyDescent="0.2">
      <c r="K730" s="56" t="e">
        <f t="shared" si="75"/>
        <v>#N/A</v>
      </c>
      <c r="L730" s="41" t="e">
        <f ca="1">IFERROR(INDEX(INDIRECT("Data!C"&amp;'1-Year'!$K$4,FALSE),MATCH(K730,Data!$A:$A,0)),NA())</f>
        <v>#N/A</v>
      </c>
    </row>
    <row r="731" spans="11:12" x14ac:dyDescent="0.2">
      <c r="K731" s="56" t="e">
        <f t="shared" si="75"/>
        <v>#N/A</v>
      </c>
      <c r="L731" s="41" t="e">
        <f ca="1">IFERROR(INDEX(INDIRECT("Data!C"&amp;'1-Year'!$K$4,FALSE),MATCH(K731,Data!$A:$A,0)),NA())</f>
        <v>#N/A</v>
      </c>
    </row>
    <row r="732" spans="11:12" x14ac:dyDescent="0.2">
      <c r="K732" s="56" t="e">
        <f t="shared" si="75"/>
        <v>#N/A</v>
      </c>
      <c r="L732" s="41" t="e">
        <f ca="1">IFERROR(INDEX(INDIRECT("Data!C"&amp;'1-Year'!$K$4,FALSE),MATCH(K732,Data!$A:$A,0)),NA())</f>
        <v>#N/A</v>
      </c>
    </row>
    <row r="733" spans="11:12" x14ac:dyDescent="0.2">
      <c r="K733" s="56" t="e">
        <f t="shared" si="75"/>
        <v>#N/A</v>
      </c>
      <c r="L733" s="41" t="e">
        <f ca="1">IFERROR(INDEX(INDIRECT("Data!C"&amp;'1-Year'!$K$4,FALSE),MATCH(K733,Data!$A:$A,0)),NA())</f>
        <v>#N/A</v>
      </c>
    </row>
    <row r="734" spans="11:12" x14ac:dyDescent="0.2">
      <c r="K734" s="56" t="e">
        <f t="shared" si="75"/>
        <v>#N/A</v>
      </c>
      <c r="L734" s="41" t="e">
        <f ca="1">IFERROR(INDEX(INDIRECT("Data!C"&amp;'1-Year'!$K$4,FALSE),MATCH(K734,Data!$A:$A,0)),NA())</f>
        <v>#N/A</v>
      </c>
    </row>
    <row r="735" spans="11:12" x14ac:dyDescent="0.2">
      <c r="K735" s="56" t="e">
        <f t="shared" si="75"/>
        <v>#N/A</v>
      </c>
      <c r="L735" s="41" t="e">
        <f ca="1">IFERROR(INDEX(INDIRECT("Data!C"&amp;'1-Year'!$K$4,FALSE),MATCH(K735,Data!$A:$A,0)),NA())</f>
        <v>#N/A</v>
      </c>
    </row>
    <row r="736" spans="11:12" x14ac:dyDescent="0.2">
      <c r="K736" s="56" t="e">
        <f t="shared" si="75"/>
        <v>#N/A</v>
      </c>
      <c r="L736" s="41" t="e">
        <f ca="1">IFERROR(INDEX(INDIRECT("Data!C"&amp;'1-Year'!$K$4,FALSE),MATCH(K736,Data!$A:$A,0)),NA())</f>
        <v>#N/A</v>
      </c>
    </row>
    <row r="737" spans="11:12" x14ac:dyDescent="0.2">
      <c r="K737" s="56" t="e">
        <f t="shared" si="75"/>
        <v>#N/A</v>
      </c>
      <c r="L737" s="41" t="e">
        <f ca="1">IFERROR(INDEX(INDIRECT("Data!C"&amp;'1-Year'!$K$4,FALSE),MATCH(K737,Data!$A:$A,0)),NA())</f>
        <v>#N/A</v>
      </c>
    </row>
    <row r="738" spans="11:12" x14ac:dyDescent="0.2">
      <c r="K738" s="56" t="e">
        <f t="shared" si="75"/>
        <v>#N/A</v>
      </c>
      <c r="L738" s="41" t="e">
        <f ca="1">IFERROR(INDEX(INDIRECT("Data!C"&amp;'1-Year'!$K$4,FALSE),MATCH(K738,Data!$A:$A,0)),NA())</f>
        <v>#N/A</v>
      </c>
    </row>
    <row r="739" spans="11:12" x14ac:dyDescent="0.2">
      <c r="K739" s="56" t="e">
        <f t="shared" si="75"/>
        <v>#N/A</v>
      </c>
      <c r="L739" s="41" t="e">
        <f ca="1">IFERROR(INDEX(INDIRECT("Data!C"&amp;'1-Year'!$K$4,FALSE),MATCH(K739,Data!$A:$A,0)),NA())</f>
        <v>#N/A</v>
      </c>
    </row>
    <row r="740" spans="11:12" x14ac:dyDescent="0.2">
      <c r="K740" s="56" t="e">
        <f t="shared" si="75"/>
        <v>#N/A</v>
      </c>
      <c r="L740" s="41" t="e">
        <f ca="1">IFERROR(INDEX(INDIRECT("Data!C"&amp;'1-Year'!$K$4,FALSE),MATCH(K740,Data!$A:$A,0)),NA())</f>
        <v>#N/A</v>
      </c>
    </row>
    <row r="741" spans="11:12" x14ac:dyDescent="0.2">
      <c r="K741" s="56" t="e">
        <f t="shared" si="75"/>
        <v>#N/A</v>
      </c>
      <c r="L741" s="41" t="e">
        <f ca="1">IFERROR(INDEX(INDIRECT("Data!C"&amp;'1-Year'!$K$4,FALSE),MATCH(K741,Data!$A:$A,0)),NA())</f>
        <v>#N/A</v>
      </c>
    </row>
    <row r="742" spans="11:12" x14ac:dyDescent="0.2">
      <c r="K742" s="56" t="e">
        <f t="shared" si="75"/>
        <v>#N/A</v>
      </c>
      <c r="L742" s="41" t="e">
        <f ca="1">IFERROR(INDEX(INDIRECT("Data!C"&amp;'1-Year'!$K$4,FALSE),MATCH(K742,Data!$A:$A,0)),NA())</f>
        <v>#N/A</v>
      </c>
    </row>
    <row r="743" spans="11:12" x14ac:dyDescent="0.2">
      <c r="K743" s="56" t="e">
        <f t="shared" si="75"/>
        <v>#N/A</v>
      </c>
      <c r="L743" s="41" t="e">
        <f ca="1">IFERROR(INDEX(INDIRECT("Data!C"&amp;'1-Year'!$K$4,FALSE),MATCH(K743,Data!$A:$A,0)),NA())</f>
        <v>#N/A</v>
      </c>
    </row>
    <row r="744" spans="11:12" x14ac:dyDescent="0.2">
      <c r="K744" s="56" t="e">
        <f t="shared" si="75"/>
        <v>#N/A</v>
      </c>
      <c r="L744" s="41" t="e">
        <f ca="1">IFERROR(INDEX(INDIRECT("Data!C"&amp;'1-Year'!$K$4,FALSE),MATCH(K744,Data!$A:$A,0)),NA())</f>
        <v>#N/A</v>
      </c>
    </row>
    <row r="745" spans="11:12" x14ac:dyDescent="0.2">
      <c r="K745" s="56" t="e">
        <f t="shared" si="75"/>
        <v>#N/A</v>
      </c>
      <c r="L745" s="41" t="e">
        <f ca="1">IFERROR(INDEX(INDIRECT("Data!C"&amp;'1-Year'!$K$4,FALSE),MATCH(K745,Data!$A:$A,0)),NA())</f>
        <v>#N/A</v>
      </c>
    </row>
    <row r="746" spans="11:12" x14ac:dyDescent="0.2">
      <c r="K746" s="56" t="e">
        <f t="shared" si="75"/>
        <v>#N/A</v>
      </c>
      <c r="L746" s="41" t="e">
        <f ca="1">IFERROR(INDEX(INDIRECT("Data!C"&amp;'1-Year'!$K$4,FALSE),MATCH(K746,Data!$A:$A,0)),NA())</f>
        <v>#N/A</v>
      </c>
    </row>
    <row r="747" spans="11:12" x14ac:dyDescent="0.2">
      <c r="K747" s="56" t="e">
        <f t="shared" si="75"/>
        <v>#N/A</v>
      </c>
      <c r="L747" s="41" t="e">
        <f ca="1">IFERROR(INDEX(INDIRECT("Data!C"&amp;'1-Year'!$K$4,FALSE),MATCH(K747,Data!$A:$A,0)),NA())</f>
        <v>#N/A</v>
      </c>
    </row>
    <row r="748" spans="11:12" x14ac:dyDescent="0.2">
      <c r="K748" s="56" t="e">
        <f t="shared" si="75"/>
        <v>#N/A</v>
      </c>
      <c r="L748" s="41" t="e">
        <f ca="1">IFERROR(INDEX(INDIRECT("Data!C"&amp;'1-Year'!$K$4,FALSE),MATCH(K748,Data!$A:$A,0)),NA())</f>
        <v>#N/A</v>
      </c>
    </row>
    <row r="749" spans="11:12" x14ac:dyDescent="0.2">
      <c r="K749" s="56" t="e">
        <f t="shared" si="75"/>
        <v>#N/A</v>
      </c>
      <c r="L749" s="41" t="e">
        <f ca="1">IFERROR(INDEX(INDIRECT("Data!C"&amp;'1-Year'!$K$4,FALSE),MATCH(K749,Data!$A:$A,0)),NA())</f>
        <v>#N/A</v>
      </c>
    </row>
    <row r="750" spans="11:12" x14ac:dyDescent="0.2">
      <c r="K750" s="56" t="e">
        <f t="shared" si="75"/>
        <v>#N/A</v>
      </c>
      <c r="L750" s="41" t="e">
        <f ca="1">IFERROR(INDEX(INDIRECT("Data!C"&amp;'1-Year'!$K$4,FALSE),MATCH(K750,Data!$A:$A,0)),NA())</f>
        <v>#N/A</v>
      </c>
    </row>
    <row r="751" spans="11:12" x14ac:dyDescent="0.2">
      <c r="K751" s="56" t="e">
        <f t="shared" si="75"/>
        <v>#N/A</v>
      </c>
      <c r="L751" s="41" t="e">
        <f ca="1">IFERROR(INDEX(INDIRECT("Data!C"&amp;'1-Year'!$K$4,FALSE),MATCH(K751,Data!$A:$A,0)),NA())</f>
        <v>#N/A</v>
      </c>
    </row>
    <row r="752" spans="11:12" x14ac:dyDescent="0.2">
      <c r="K752" s="56" t="e">
        <f t="shared" si="75"/>
        <v>#N/A</v>
      </c>
      <c r="L752" s="41" t="e">
        <f ca="1">IFERROR(INDEX(INDIRECT("Data!C"&amp;'1-Year'!$K$4,FALSE),MATCH(K752,Data!$A:$A,0)),NA())</f>
        <v>#N/A</v>
      </c>
    </row>
    <row r="753" spans="11:12" x14ac:dyDescent="0.2">
      <c r="K753" s="56" t="e">
        <f t="shared" si="75"/>
        <v>#N/A</v>
      </c>
      <c r="L753" s="41" t="e">
        <f ca="1">IFERROR(INDEX(INDIRECT("Data!C"&amp;'1-Year'!$K$4,FALSE),MATCH(K753,Data!$A:$A,0)),NA())</f>
        <v>#N/A</v>
      </c>
    </row>
    <row r="754" spans="11:12" x14ac:dyDescent="0.2">
      <c r="K754" s="56" t="e">
        <f t="shared" si="75"/>
        <v>#N/A</v>
      </c>
      <c r="L754" s="41" t="e">
        <f ca="1">IFERROR(INDEX(INDIRECT("Data!C"&amp;'1-Year'!$K$4,FALSE),MATCH(K754,Data!$A:$A,0)),NA())</f>
        <v>#N/A</v>
      </c>
    </row>
    <row r="755" spans="11:12" x14ac:dyDescent="0.2">
      <c r="K755" s="56" t="e">
        <f t="shared" si="75"/>
        <v>#N/A</v>
      </c>
      <c r="L755" s="41" t="e">
        <f ca="1">IFERROR(INDEX(INDIRECT("Data!C"&amp;'1-Year'!$K$4,FALSE),MATCH(K755,Data!$A:$A,0)),NA())</f>
        <v>#N/A</v>
      </c>
    </row>
    <row r="756" spans="11:12" x14ac:dyDescent="0.2">
      <c r="K756" s="56" t="e">
        <f t="shared" si="75"/>
        <v>#N/A</v>
      </c>
      <c r="L756" s="41" t="e">
        <f ca="1">IFERROR(INDEX(INDIRECT("Data!C"&amp;'1-Year'!$K$4,FALSE),MATCH(K756,Data!$A:$A,0)),NA())</f>
        <v>#N/A</v>
      </c>
    </row>
    <row r="757" spans="11:12" x14ac:dyDescent="0.2">
      <c r="K757" s="56" t="e">
        <f t="shared" si="75"/>
        <v>#N/A</v>
      </c>
      <c r="L757" s="41" t="e">
        <f ca="1">IFERROR(INDEX(INDIRECT("Data!C"&amp;'1-Year'!$K$4,FALSE),MATCH(K757,Data!$A:$A,0)),NA())</f>
        <v>#N/A</v>
      </c>
    </row>
    <row r="758" spans="11:12" x14ac:dyDescent="0.2">
      <c r="K758" s="56" t="e">
        <f t="shared" si="75"/>
        <v>#N/A</v>
      </c>
      <c r="L758" s="41" t="e">
        <f ca="1">IFERROR(INDEX(INDIRECT("Data!C"&amp;'1-Year'!$K$4,FALSE),MATCH(K758,Data!$A:$A,0)),NA())</f>
        <v>#N/A</v>
      </c>
    </row>
    <row r="759" spans="11:12" x14ac:dyDescent="0.2">
      <c r="K759" s="56" t="e">
        <f t="shared" si="75"/>
        <v>#N/A</v>
      </c>
      <c r="L759" s="41" t="e">
        <f ca="1">IFERROR(INDEX(INDIRECT("Data!C"&amp;'1-Year'!$K$4,FALSE),MATCH(K759,Data!$A:$A,0)),NA())</f>
        <v>#N/A</v>
      </c>
    </row>
    <row r="760" spans="11:12" x14ac:dyDescent="0.2">
      <c r="K760" s="56" t="e">
        <f t="shared" si="75"/>
        <v>#N/A</v>
      </c>
      <c r="L760" s="41" t="e">
        <f ca="1">IFERROR(INDEX(INDIRECT("Data!C"&amp;'1-Year'!$K$4,FALSE),MATCH(K760,Data!$A:$A,0)),NA())</f>
        <v>#N/A</v>
      </c>
    </row>
    <row r="761" spans="11:12" x14ac:dyDescent="0.2">
      <c r="K761" s="56" t="e">
        <f t="shared" si="75"/>
        <v>#N/A</v>
      </c>
      <c r="L761" s="41" t="e">
        <f ca="1">IFERROR(INDEX(INDIRECT("Data!C"&amp;'1-Year'!$K$4,FALSE),MATCH(K761,Data!$A:$A,0)),NA())</f>
        <v>#N/A</v>
      </c>
    </row>
    <row r="762" spans="11:12" x14ac:dyDescent="0.2">
      <c r="K762" s="56" t="e">
        <f t="shared" si="75"/>
        <v>#N/A</v>
      </c>
      <c r="L762" s="41" t="e">
        <f ca="1">IFERROR(INDEX(INDIRECT("Data!C"&amp;'1-Year'!$K$4,FALSE),MATCH(K762,Data!$A:$A,0)),NA())</f>
        <v>#N/A</v>
      </c>
    </row>
    <row r="763" spans="11:12" x14ac:dyDescent="0.2">
      <c r="K763" s="56" t="e">
        <f t="shared" si="75"/>
        <v>#N/A</v>
      </c>
      <c r="L763" s="41" t="e">
        <f ca="1">IFERROR(INDEX(INDIRECT("Data!C"&amp;'1-Year'!$K$4,FALSE),MATCH(K763,Data!$A:$A,0)),NA())</f>
        <v>#N/A</v>
      </c>
    </row>
    <row r="764" spans="11:12" x14ac:dyDescent="0.2">
      <c r="K764" s="56" t="e">
        <f t="shared" si="75"/>
        <v>#N/A</v>
      </c>
      <c r="L764" s="41" t="e">
        <f ca="1">IFERROR(INDEX(INDIRECT("Data!C"&amp;'1-Year'!$K$4,FALSE),MATCH(K764,Data!$A:$A,0)),NA())</f>
        <v>#N/A</v>
      </c>
    </row>
    <row r="765" spans="11:12" x14ac:dyDescent="0.2">
      <c r="K765" s="56" t="e">
        <f t="shared" si="75"/>
        <v>#N/A</v>
      </c>
      <c r="L765" s="41" t="e">
        <f ca="1">IFERROR(INDEX(INDIRECT("Data!C"&amp;'1-Year'!$K$4,FALSE),MATCH(K765,Data!$A:$A,0)),NA())</f>
        <v>#N/A</v>
      </c>
    </row>
    <row r="766" spans="11:12" x14ac:dyDescent="0.2">
      <c r="K766" s="56" t="e">
        <f t="shared" si="75"/>
        <v>#N/A</v>
      </c>
      <c r="L766" s="41" t="e">
        <f ca="1">IFERROR(INDEX(INDIRECT("Data!C"&amp;'1-Year'!$K$4,FALSE),MATCH(K766,Data!$A:$A,0)),NA())</f>
        <v>#N/A</v>
      </c>
    </row>
    <row r="767" spans="11:12" x14ac:dyDescent="0.2">
      <c r="K767" s="56" t="e">
        <f t="shared" si="75"/>
        <v>#N/A</v>
      </c>
      <c r="L767" s="41" t="e">
        <f ca="1">IFERROR(INDEX(INDIRECT("Data!C"&amp;'1-Year'!$K$4,FALSE),MATCH(K767,Data!$A:$A,0)),NA())</f>
        <v>#N/A</v>
      </c>
    </row>
    <row r="768" spans="11:12" x14ac:dyDescent="0.2">
      <c r="K768" s="56" t="e">
        <f t="shared" si="75"/>
        <v>#N/A</v>
      </c>
      <c r="L768" s="41" t="e">
        <f ca="1">IFERROR(INDEX(INDIRECT("Data!C"&amp;'1-Year'!$K$4,FALSE),MATCH(K768,Data!$A:$A,0)),NA())</f>
        <v>#N/A</v>
      </c>
    </row>
    <row r="769" spans="11:12" x14ac:dyDescent="0.2">
      <c r="K769" s="56" t="e">
        <f t="shared" si="75"/>
        <v>#N/A</v>
      </c>
      <c r="L769" s="41" t="e">
        <f ca="1">IFERROR(INDEX(INDIRECT("Data!C"&amp;'1-Year'!$K$4,FALSE),MATCH(K769,Data!$A:$A,0)),NA())</f>
        <v>#N/A</v>
      </c>
    </row>
    <row r="770" spans="11:12" x14ac:dyDescent="0.2">
      <c r="K770" s="56" t="e">
        <f t="shared" si="75"/>
        <v>#N/A</v>
      </c>
      <c r="L770" s="41" t="e">
        <f ca="1">IFERROR(INDEX(INDIRECT("Data!C"&amp;'1-Year'!$K$4,FALSE),MATCH(K770,Data!$A:$A,0)),NA())</f>
        <v>#N/A</v>
      </c>
    </row>
    <row r="771" spans="11:12" x14ac:dyDescent="0.2">
      <c r="K771" s="56" t="e">
        <f t="shared" si="75"/>
        <v>#N/A</v>
      </c>
      <c r="L771" s="41" t="e">
        <f ca="1">IFERROR(INDEX(INDIRECT("Data!C"&amp;'1-Year'!$K$4,FALSE),MATCH(K771,Data!$A:$A,0)),NA())</f>
        <v>#N/A</v>
      </c>
    </row>
    <row r="772" spans="11:12" x14ac:dyDescent="0.2">
      <c r="K772" s="56" t="e">
        <f t="shared" si="75"/>
        <v>#N/A</v>
      </c>
      <c r="L772" s="41" t="e">
        <f ca="1">IFERROR(INDEX(INDIRECT("Data!C"&amp;'1-Year'!$K$4,FALSE),MATCH(K772,Data!$A:$A,0)),NA())</f>
        <v>#N/A</v>
      </c>
    </row>
    <row r="773" spans="11:12" x14ac:dyDescent="0.2">
      <c r="K773" s="56" t="e">
        <f t="shared" si="75"/>
        <v>#N/A</v>
      </c>
      <c r="L773" s="41" t="e">
        <f ca="1">IFERROR(INDEX(INDIRECT("Data!C"&amp;'1-Year'!$K$4,FALSE),MATCH(K773,Data!$A:$A,0)),NA())</f>
        <v>#N/A</v>
      </c>
    </row>
    <row r="774" spans="11:12" x14ac:dyDescent="0.2">
      <c r="K774" s="56" t="e">
        <f t="shared" si="75"/>
        <v>#N/A</v>
      </c>
      <c r="L774" s="41" t="e">
        <f ca="1">IFERROR(INDEX(INDIRECT("Data!C"&amp;'1-Year'!$K$4,FALSE),MATCH(K774,Data!$A:$A,0)),NA())</f>
        <v>#N/A</v>
      </c>
    </row>
    <row r="775" spans="11:12" x14ac:dyDescent="0.2">
      <c r="K775" s="56" t="e">
        <f t="shared" si="75"/>
        <v>#N/A</v>
      </c>
      <c r="L775" s="41" t="e">
        <f ca="1">IFERROR(INDEX(INDIRECT("Data!C"&amp;'1-Year'!$K$4,FALSE),MATCH(K775,Data!$A:$A,0)),NA())</f>
        <v>#N/A</v>
      </c>
    </row>
    <row r="776" spans="11:12" x14ac:dyDescent="0.2">
      <c r="K776" s="56" t="e">
        <f t="shared" ref="K776:K839" si="76">IF(K775+1&lt;=$C$7,K775+1,NA())</f>
        <v>#N/A</v>
      </c>
      <c r="L776" s="41" t="e">
        <f ca="1">IFERROR(INDEX(INDIRECT("Data!C"&amp;'1-Year'!$K$4,FALSE),MATCH(K776,Data!$A:$A,0)),NA())</f>
        <v>#N/A</v>
      </c>
    </row>
    <row r="777" spans="11:12" x14ac:dyDescent="0.2">
      <c r="K777" s="56" t="e">
        <f t="shared" si="76"/>
        <v>#N/A</v>
      </c>
      <c r="L777" s="41" t="e">
        <f ca="1">IFERROR(INDEX(INDIRECT("Data!C"&amp;'1-Year'!$K$4,FALSE),MATCH(K777,Data!$A:$A,0)),NA())</f>
        <v>#N/A</v>
      </c>
    </row>
    <row r="778" spans="11:12" x14ac:dyDescent="0.2">
      <c r="K778" s="56" t="e">
        <f t="shared" si="76"/>
        <v>#N/A</v>
      </c>
      <c r="L778" s="41" t="e">
        <f ca="1">IFERROR(INDEX(INDIRECT("Data!C"&amp;'1-Year'!$K$4,FALSE),MATCH(K778,Data!$A:$A,0)),NA())</f>
        <v>#N/A</v>
      </c>
    </row>
    <row r="779" spans="11:12" x14ac:dyDescent="0.2">
      <c r="K779" s="56" t="e">
        <f t="shared" si="76"/>
        <v>#N/A</v>
      </c>
      <c r="L779" s="41" t="e">
        <f ca="1">IFERROR(INDEX(INDIRECT("Data!C"&amp;'1-Year'!$K$4,FALSE),MATCH(K779,Data!$A:$A,0)),NA())</f>
        <v>#N/A</v>
      </c>
    </row>
    <row r="780" spans="11:12" x14ac:dyDescent="0.2">
      <c r="K780" s="56" t="e">
        <f t="shared" si="76"/>
        <v>#N/A</v>
      </c>
      <c r="L780" s="41" t="e">
        <f ca="1">IFERROR(INDEX(INDIRECT("Data!C"&amp;'1-Year'!$K$4,FALSE),MATCH(K780,Data!$A:$A,0)),NA())</f>
        <v>#N/A</v>
      </c>
    </row>
    <row r="781" spans="11:12" x14ac:dyDescent="0.2">
      <c r="K781" s="56" t="e">
        <f t="shared" si="76"/>
        <v>#N/A</v>
      </c>
      <c r="L781" s="41" t="e">
        <f ca="1">IFERROR(INDEX(INDIRECT("Data!C"&amp;'1-Year'!$K$4,FALSE),MATCH(K781,Data!$A:$A,0)),NA())</f>
        <v>#N/A</v>
      </c>
    </row>
    <row r="782" spans="11:12" x14ac:dyDescent="0.2">
      <c r="K782" s="56" t="e">
        <f t="shared" si="76"/>
        <v>#N/A</v>
      </c>
      <c r="L782" s="41" t="e">
        <f ca="1">IFERROR(INDEX(INDIRECT("Data!C"&amp;'1-Year'!$K$4,FALSE),MATCH(K782,Data!$A:$A,0)),NA())</f>
        <v>#N/A</v>
      </c>
    </row>
    <row r="783" spans="11:12" x14ac:dyDescent="0.2">
      <c r="K783" s="56" t="e">
        <f t="shared" si="76"/>
        <v>#N/A</v>
      </c>
      <c r="L783" s="41" t="e">
        <f ca="1">IFERROR(INDEX(INDIRECT("Data!C"&amp;'1-Year'!$K$4,FALSE),MATCH(K783,Data!$A:$A,0)),NA())</f>
        <v>#N/A</v>
      </c>
    </row>
    <row r="784" spans="11:12" x14ac:dyDescent="0.2">
      <c r="K784" s="56" t="e">
        <f t="shared" si="76"/>
        <v>#N/A</v>
      </c>
      <c r="L784" s="41" t="e">
        <f ca="1">IFERROR(INDEX(INDIRECT("Data!C"&amp;'1-Year'!$K$4,FALSE),MATCH(K784,Data!$A:$A,0)),NA())</f>
        <v>#N/A</v>
      </c>
    </row>
    <row r="785" spans="11:12" x14ac:dyDescent="0.2">
      <c r="K785" s="56" t="e">
        <f t="shared" si="76"/>
        <v>#N/A</v>
      </c>
      <c r="L785" s="41" t="e">
        <f ca="1">IFERROR(INDEX(INDIRECT("Data!C"&amp;'1-Year'!$K$4,FALSE),MATCH(K785,Data!$A:$A,0)),NA())</f>
        <v>#N/A</v>
      </c>
    </row>
    <row r="786" spans="11:12" x14ac:dyDescent="0.2">
      <c r="K786" s="56" t="e">
        <f t="shared" si="76"/>
        <v>#N/A</v>
      </c>
      <c r="L786" s="41" t="e">
        <f ca="1">IFERROR(INDEX(INDIRECT("Data!C"&amp;'1-Year'!$K$4,FALSE),MATCH(K786,Data!$A:$A,0)),NA())</f>
        <v>#N/A</v>
      </c>
    </row>
    <row r="787" spans="11:12" x14ac:dyDescent="0.2">
      <c r="K787" s="56" t="e">
        <f t="shared" si="76"/>
        <v>#N/A</v>
      </c>
      <c r="L787" s="41" t="e">
        <f ca="1">IFERROR(INDEX(INDIRECT("Data!C"&amp;'1-Year'!$K$4,FALSE),MATCH(K787,Data!$A:$A,0)),NA())</f>
        <v>#N/A</v>
      </c>
    </row>
    <row r="788" spans="11:12" x14ac:dyDescent="0.2">
      <c r="K788" s="56" t="e">
        <f t="shared" si="76"/>
        <v>#N/A</v>
      </c>
      <c r="L788" s="41" t="e">
        <f ca="1">IFERROR(INDEX(INDIRECT("Data!C"&amp;'1-Year'!$K$4,FALSE),MATCH(K788,Data!$A:$A,0)),NA())</f>
        <v>#N/A</v>
      </c>
    </row>
    <row r="789" spans="11:12" x14ac:dyDescent="0.2">
      <c r="K789" s="56" t="e">
        <f t="shared" si="76"/>
        <v>#N/A</v>
      </c>
      <c r="L789" s="41" t="e">
        <f ca="1">IFERROR(INDEX(INDIRECT("Data!C"&amp;'1-Year'!$K$4,FALSE),MATCH(K789,Data!$A:$A,0)),NA())</f>
        <v>#N/A</v>
      </c>
    </row>
    <row r="790" spans="11:12" x14ac:dyDescent="0.2">
      <c r="K790" s="56" t="e">
        <f t="shared" si="76"/>
        <v>#N/A</v>
      </c>
      <c r="L790" s="41" t="e">
        <f ca="1">IFERROR(INDEX(INDIRECT("Data!C"&amp;'1-Year'!$K$4,FALSE),MATCH(K790,Data!$A:$A,0)),NA())</f>
        <v>#N/A</v>
      </c>
    </row>
    <row r="791" spans="11:12" x14ac:dyDescent="0.2">
      <c r="K791" s="56" t="e">
        <f t="shared" si="76"/>
        <v>#N/A</v>
      </c>
      <c r="L791" s="41" t="e">
        <f ca="1">IFERROR(INDEX(INDIRECT("Data!C"&amp;'1-Year'!$K$4,FALSE),MATCH(K791,Data!$A:$A,0)),NA())</f>
        <v>#N/A</v>
      </c>
    </row>
    <row r="792" spans="11:12" x14ac:dyDescent="0.2">
      <c r="K792" s="56" t="e">
        <f t="shared" si="76"/>
        <v>#N/A</v>
      </c>
      <c r="L792" s="41" t="e">
        <f ca="1">IFERROR(INDEX(INDIRECT("Data!C"&amp;'1-Year'!$K$4,FALSE),MATCH(K792,Data!$A:$A,0)),NA())</f>
        <v>#N/A</v>
      </c>
    </row>
    <row r="793" spans="11:12" x14ac:dyDescent="0.2">
      <c r="K793" s="56" t="e">
        <f t="shared" si="76"/>
        <v>#N/A</v>
      </c>
      <c r="L793" s="41" t="e">
        <f ca="1">IFERROR(INDEX(INDIRECT("Data!C"&amp;'1-Year'!$K$4,FALSE),MATCH(K793,Data!$A:$A,0)),NA())</f>
        <v>#N/A</v>
      </c>
    </row>
    <row r="794" spans="11:12" x14ac:dyDescent="0.2">
      <c r="K794" s="56" t="e">
        <f t="shared" si="76"/>
        <v>#N/A</v>
      </c>
      <c r="L794" s="41" t="e">
        <f ca="1">IFERROR(INDEX(INDIRECT("Data!C"&amp;'1-Year'!$K$4,FALSE),MATCH(K794,Data!$A:$A,0)),NA())</f>
        <v>#N/A</v>
      </c>
    </row>
    <row r="795" spans="11:12" x14ac:dyDescent="0.2">
      <c r="K795" s="56" t="e">
        <f t="shared" si="76"/>
        <v>#N/A</v>
      </c>
      <c r="L795" s="41" t="e">
        <f ca="1">IFERROR(INDEX(INDIRECT("Data!C"&amp;'1-Year'!$K$4,FALSE),MATCH(K795,Data!$A:$A,0)),NA())</f>
        <v>#N/A</v>
      </c>
    </row>
    <row r="796" spans="11:12" x14ac:dyDescent="0.2">
      <c r="K796" s="56" t="e">
        <f t="shared" si="76"/>
        <v>#N/A</v>
      </c>
      <c r="L796" s="41" t="e">
        <f ca="1">IFERROR(INDEX(INDIRECT("Data!C"&amp;'1-Year'!$K$4,FALSE),MATCH(K796,Data!$A:$A,0)),NA())</f>
        <v>#N/A</v>
      </c>
    </row>
    <row r="797" spans="11:12" x14ac:dyDescent="0.2">
      <c r="K797" s="56" t="e">
        <f t="shared" si="76"/>
        <v>#N/A</v>
      </c>
      <c r="L797" s="41" t="e">
        <f ca="1">IFERROR(INDEX(INDIRECT("Data!C"&amp;'1-Year'!$K$4,FALSE),MATCH(K797,Data!$A:$A,0)),NA())</f>
        <v>#N/A</v>
      </c>
    </row>
    <row r="798" spans="11:12" x14ac:dyDescent="0.2">
      <c r="K798" s="56" t="e">
        <f t="shared" si="76"/>
        <v>#N/A</v>
      </c>
      <c r="L798" s="41" t="e">
        <f ca="1">IFERROR(INDEX(INDIRECT("Data!C"&amp;'1-Year'!$K$4,FALSE),MATCH(K798,Data!$A:$A,0)),NA())</f>
        <v>#N/A</v>
      </c>
    </row>
    <row r="799" spans="11:12" x14ac:dyDescent="0.2">
      <c r="K799" s="56" t="e">
        <f t="shared" si="76"/>
        <v>#N/A</v>
      </c>
      <c r="L799" s="41" t="e">
        <f ca="1">IFERROR(INDEX(INDIRECT("Data!C"&amp;'1-Year'!$K$4,FALSE),MATCH(K799,Data!$A:$A,0)),NA())</f>
        <v>#N/A</v>
      </c>
    </row>
    <row r="800" spans="11:12" x14ac:dyDescent="0.2">
      <c r="K800" s="56" t="e">
        <f t="shared" si="76"/>
        <v>#N/A</v>
      </c>
      <c r="L800" s="41" t="e">
        <f ca="1">IFERROR(INDEX(INDIRECT("Data!C"&amp;'1-Year'!$K$4,FALSE),MATCH(K800,Data!$A:$A,0)),NA())</f>
        <v>#N/A</v>
      </c>
    </row>
    <row r="801" spans="11:12" x14ac:dyDescent="0.2">
      <c r="K801" s="56" t="e">
        <f t="shared" si="76"/>
        <v>#N/A</v>
      </c>
      <c r="L801" s="41" t="e">
        <f ca="1">IFERROR(INDEX(INDIRECT("Data!C"&amp;'1-Year'!$K$4,FALSE),MATCH(K801,Data!$A:$A,0)),NA())</f>
        <v>#N/A</v>
      </c>
    </row>
    <row r="802" spans="11:12" x14ac:dyDescent="0.2">
      <c r="K802" s="56" t="e">
        <f t="shared" si="76"/>
        <v>#N/A</v>
      </c>
      <c r="L802" s="41" t="e">
        <f ca="1">IFERROR(INDEX(INDIRECT("Data!C"&amp;'1-Year'!$K$4,FALSE),MATCH(K802,Data!$A:$A,0)),NA())</f>
        <v>#N/A</v>
      </c>
    </row>
    <row r="803" spans="11:12" x14ac:dyDescent="0.2">
      <c r="K803" s="56" t="e">
        <f t="shared" si="76"/>
        <v>#N/A</v>
      </c>
      <c r="L803" s="41" t="e">
        <f ca="1">IFERROR(INDEX(INDIRECT("Data!C"&amp;'1-Year'!$K$4,FALSE),MATCH(K803,Data!$A:$A,0)),NA())</f>
        <v>#N/A</v>
      </c>
    </row>
    <row r="804" spans="11:12" x14ac:dyDescent="0.2">
      <c r="K804" s="56" t="e">
        <f t="shared" si="76"/>
        <v>#N/A</v>
      </c>
      <c r="L804" s="41" t="e">
        <f ca="1">IFERROR(INDEX(INDIRECT("Data!C"&amp;'1-Year'!$K$4,FALSE),MATCH(K804,Data!$A:$A,0)),NA())</f>
        <v>#N/A</v>
      </c>
    </row>
    <row r="805" spans="11:12" x14ac:dyDescent="0.2">
      <c r="K805" s="56" t="e">
        <f t="shared" si="76"/>
        <v>#N/A</v>
      </c>
      <c r="L805" s="41" t="e">
        <f ca="1">IFERROR(INDEX(INDIRECT("Data!C"&amp;'1-Year'!$K$4,FALSE),MATCH(K805,Data!$A:$A,0)),NA())</f>
        <v>#N/A</v>
      </c>
    </row>
    <row r="806" spans="11:12" x14ac:dyDescent="0.2">
      <c r="K806" s="56" t="e">
        <f t="shared" si="76"/>
        <v>#N/A</v>
      </c>
      <c r="L806" s="41" t="e">
        <f ca="1">IFERROR(INDEX(INDIRECT("Data!C"&amp;'1-Year'!$K$4,FALSE),MATCH(K806,Data!$A:$A,0)),NA())</f>
        <v>#N/A</v>
      </c>
    </row>
    <row r="807" spans="11:12" x14ac:dyDescent="0.2">
      <c r="K807" s="56" t="e">
        <f t="shared" si="76"/>
        <v>#N/A</v>
      </c>
      <c r="L807" s="41" t="e">
        <f ca="1">IFERROR(INDEX(INDIRECT("Data!C"&amp;'1-Year'!$K$4,FALSE),MATCH(K807,Data!$A:$A,0)),NA())</f>
        <v>#N/A</v>
      </c>
    </row>
    <row r="808" spans="11:12" x14ac:dyDescent="0.2">
      <c r="K808" s="56" t="e">
        <f t="shared" si="76"/>
        <v>#N/A</v>
      </c>
      <c r="L808" s="41" t="e">
        <f ca="1">IFERROR(INDEX(INDIRECT("Data!C"&amp;'1-Year'!$K$4,FALSE),MATCH(K808,Data!$A:$A,0)),NA())</f>
        <v>#N/A</v>
      </c>
    </row>
    <row r="809" spans="11:12" x14ac:dyDescent="0.2">
      <c r="K809" s="56" t="e">
        <f t="shared" si="76"/>
        <v>#N/A</v>
      </c>
      <c r="L809" s="41" t="e">
        <f ca="1">IFERROR(INDEX(INDIRECT("Data!C"&amp;'1-Year'!$K$4,FALSE),MATCH(K809,Data!$A:$A,0)),NA())</f>
        <v>#N/A</v>
      </c>
    </row>
    <row r="810" spans="11:12" x14ac:dyDescent="0.2">
      <c r="K810" s="56" t="e">
        <f t="shared" si="76"/>
        <v>#N/A</v>
      </c>
      <c r="L810" s="41" t="e">
        <f ca="1">IFERROR(INDEX(INDIRECT("Data!C"&amp;'1-Year'!$K$4,FALSE),MATCH(K810,Data!$A:$A,0)),NA())</f>
        <v>#N/A</v>
      </c>
    </row>
    <row r="811" spans="11:12" x14ac:dyDescent="0.2">
      <c r="K811" s="56" t="e">
        <f t="shared" si="76"/>
        <v>#N/A</v>
      </c>
      <c r="L811" s="41" t="e">
        <f ca="1">IFERROR(INDEX(INDIRECT("Data!C"&amp;'1-Year'!$K$4,FALSE),MATCH(K811,Data!$A:$A,0)),NA())</f>
        <v>#N/A</v>
      </c>
    </row>
    <row r="812" spans="11:12" x14ac:dyDescent="0.2">
      <c r="K812" s="56" t="e">
        <f t="shared" si="76"/>
        <v>#N/A</v>
      </c>
      <c r="L812" s="41" t="e">
        <f ca="1">IFERROR(INDEX(INDIRECT("Data!C"&amp;'1-Year'!$K$4,FALSE),MATCH(K812,Data!$A:$A,0)),NA())</f>
        <v>#N/A</v>
      </c>
    </row>
    <row r="813" spans="11:12" x14ac:dyDescent="0.2">
      <c r="K813" s="56" t="e">
        <f t="shared" si="76"/>
        <v>#N/A</v>
      </c>
      <c r="L813" s="41" t="e">
        <f ca="1">IFERROR(INDEX(INDIRECT("Data!C"&amp;'1-Year'!$K$4,FALSE),MATCH(K813,Data!$A:$A,0)),NA())</f>
        <v>#N/A</v>
      </c>
    </row>
    <row r="814" spans="11:12" x14ac:dyDescent="0.2">
      <c r="K814" s="56" t="e">
        <f t="shared" si="76"/>
        <v>#N/A</v>
      </c>
      <c r="L814" s="41" t="e">
        <f ca="1">IFERROR(INDEX(INDIRECT("Data!C"&amp;'1-Year'!$K$4,FALSE),MATCH(K814,Data!$A:$A,0)),NA())</f>
        <v>#N/A</v>
      </c>
    </row>
    <row r="815" spans="11:12" x14ac:dyDescent="0.2">
      <c r="K815" s="56" t="e">
        <f t="shared" si="76"/>
        <v>#N/A</v>
      </c>
      <c r="L815" s="41" t="e">
        <f ca="1">IFERROR(INDEX(INDIRECT("Data!C"&amp;'1-Year'!$K$4,FALSE),MATCH(K815,Data!$A:$A,0)),NA())</f>
        <v>#N/A</v>
      </c>
    </row>
    <row r="816" spans="11:12" x14ac:dyDescent="0.2">
      <c r="K816" s="56" t="e">
        <f t="shared" si="76"/>
        <v>#N/A</v>
      </c>
      <c r="L816" s="41" t="e">
        <f ca="1">IFERROR(INDEX(INDIRECT("Data!C"&amp;'1-Year'!$K$4,FALSE),MATCH(K816,Data!$A:$A,0)),NA())</f>
        <v>#N/A</v>
      </c>
    </row>
    <row r="817" spans="11:12" x14ac:dyDescent="0.2">
      <c r="K817" s="56" t="e">
        <f t="shared" si="76"/>
        <v>#N/A</v>
      </c>
      <c r="L817" s="41" t="e">
        <f ca="1">IFERROR(INDEX(INDIRECT("Data!C"&amp;'1-Year'!$K$4,FALSE),MATCH(K817,Data!$A:$A,0)),NA())</f>
        <v>#N/A</v>
      </c>
    </row>
    <row r="818" spans="11:12" x14ac:dyDescent="0.2">
      <c r="K818" s="56" t="e">
        <f t="shared" si="76"/>
        <v>#N/A</v>
      </c>
      <c r="L818" s="41" t="e">
        <f ca="1">IFERROR(INDEX(INDIRECT("Data!C"&amp;'1-Year'!$K$4,FALSE),MATCH(K818,Data!$A:$A,0)),NA())</f>
        <v>#N/A</v>
      </c>
    </row>
    <row r="819" spans="11:12" x14ac:dyDescent="0.2">
      <c r="K819" s="56" t="e">
        <f t="shared" si="76"/>
        <v>#N/A</v>
      </c>
      <c r="L819" s="41" t="e">
        <f ca="1">IFERROR(INDEX(INDIRECT("Data!C"&amp;'1-Year'!$K$4,FALSE),MATCH(K819,Data!$A:$A,0)),NA())</f>
        <v>#N/A</v>
      </c>
    </row>
    <row r="820" spans="11:12" x14ac:dyDescent="0.2">
      <c r="K820" s="56" t="e">
        <f t="shared" si="76"/>
        <v>#N/A</v>
      </c>
      <c r="L820" s="41" t="e">
        <f ca="1">IFERROR(INDEX(INDIRECT("Data!C"&amp;'1-Year'!$K$4,FALSE),MATCH(K820,Data!$A:$A,0)),NA())</f>
        <v>#N/A</v>
      </c>
    </row>
    <row r="821" spans="11:12" x14ac:dyDescent="0.2">
      <c r="K821" s="56" t="e">
        <f t="shared" si="76"/>
        <v>#N/A</v>
      </c>
      <c r="L821" s="41" t="e">
        <f ca="1">IFERROR(INDEX(INDIRECT("Data!C"&amp;'1-Year'!$K$4,FALSE),MATCH(K821,Data!$A:$A,0)),NA())</f>
        <v>#N/A</v>
      </c>
    </row>
    <row r="822" spans="11:12" x14ac:dyDescent="0.2">
      <c r="K822" s="56" t="e">
        <f t="shared" si="76"/>
        <v>#N/A</v>
      </c>
      <c r="L822" s="41" t="e">
        <f ca="1">IFERROR(INDEX(INDIRECT("Data!C"&amp;'1-Year'!$K$4,FALSE),MATCH(K822,Data!$A:$A,0)),NA())</f>
        <v>#N/A</v>
      </c>
    </row>
    <row r="823" spans="11:12" x14ac:dyDescent="0.2">
      <c r="K823" s="56" t="e">
        <f t="shared" si="76"/>
        <v>#N/A</v>
      </c>
      <c r="L823" s="41" t="e">
        <f ca="1">IFERROR(INDEX(INDIRECT("Data!C"&amp;'1-Year'!$K$4,FALSE),MATCH(K823,Data!$A:$A,0)),NA())</f>
        <v>#N/A</v>
      </c>
    </row>
    <row r="824" spans="11:12" x14ac:dyDescent="0.2">
      <c r="K824" s="56" t="e">
        <f t="shared" si="76"/>
        <v>#N/A</v>
      </c>
      <c r="L824" s="41" t="e">
        <f ca="1">IFERROR(INDEX(INDIRECT("Data!C"&amp;'1-Year'!$K$4,FALSE),MATCH(K824,Data!$A:$A,0)),NA())</f>
        <v>#N/A</v>
      </c>
    </row>
    <row r="825" spans="11:12" x14ac:dyDescent="0.2">
      <c r="K825" s="56" t="e">
        <f t="shared" si="76"/>
        <v>#N/A</v>
      </c>
      <c r="L825" s="41" t="e">
        <f ca="1">IFERROR(INDEX(INDIRECT("Data!C"&amp;'1-Year'!$K$4,FALSE),MATCH(K825,Data!$A:$A,0)),NA())</f>
        <v>#N/A</v>
      </c>
    </row>
    <row r="826" spans="11:12" x14ac:dyDescent="0.2">
      <c r="K826" s="56" t="e">
        <f t="shared" si="76"/>
        <v>#N/A</v>
      </c>
      <c r="L826" s="41" t="e">
        <f ca="1">IFERROR(INDEX(INDIRECT("Data!C"&amp;'1-Year'!$K$4,FALSE),MATCH(K826,Data!$A:$A,0)),NA())</f>
        <v>#N/A</v>
      </c>
    </row>
    <row r="827" spans="11:12" x14ac:dyDescent="0.2">
      <c r="K827" s="56" t="e">
        <f t="shared" si="76"/>
        <v>#N/A</v>
      </c>
      <c r="L827" s="41" t="e">
        <f ca="1">IFERROR(INDEX(INDIRECT("Data!C"&amp;'1-Year'!$K$4,FALSE),MATCH(K827,Data!$A:$A,0)),NA())</f>
        <v>#N/A</v>
      </c>
    </row>
    <row r="828" spans="11:12" x14ac:dyDescent="0.2">
      <c r="K828" s="56" t="e">
        <f t="shared" si="76"/>
        <v>#N/A</v>
      </c>
      <c r="L828" s="41" t="e">
        <f ca="1">IFERROR(INDEX(INDIRECT("Data!C"&amp;'1-Year'!$K$4,FALSE),MATCH(K828,Data!$A:$A,0)),NA())</f>
        <v>#N/A</v>
      </c>
    </row>
    <row r="829" spans="11:12" x14ac:dyDescent="0.2">
      <c r="K829" s="56" t="e">
        <f t="shared" si="76"/>
        <v>#N/A</v>
      </c>
      <c r="L829" s="41" t="e">
        <f ca="1">IFERROR(INDEX(INDIRECT("Data!C"&amp;'1-Year'!$K$4,FALSE),MATCH(K829,Data!$A:$A,0)),NA())</f>
        <v>#N/A</v>
      </c>
    </row>
    <row r="830" spans="11:12" x14ac:dyDescent="0.2">
      <c r="K830" s="56" t="e">
        <f t="shared" si="76"/>
        <v>#N/A</v>
      </c>
      <c r="L830" s="41" t="e">
        <f ca="1">IFERROR(INDEX(INDIRECT("Data!C"&amp;'1-Year'!$K$4,FALSE),MATCH(K830,Data!$A:$A,0)),NA())</f>
        <v>#N/A</v>
      </c>
    </row>
    <row r="831" spans="11:12" x14ac:dyDescent="0.2">
      <c r="K831" s="56" t="e">
        <f t="shared" si="76"/>
        <v>#N/A</v>
      </c>
      <c r="L831" s="41" t="e">
        <f ca="1">IFERROR(INDEX(INDIRECT("Data!C"&amp;'1-Year'!$K$4,FALSE),MATCH(K831,Data!$A:$A,0)),NA())</f>
        <v>#N/A</v>
      </c>
    </row>
    <row r="832" spans="11:12" x14ac:dyDescent="0.2">
      <c r="K832" s="56" t="e">
        <f t="shared" si="76"/>
        <v>#N/A</v>
      </c>
      <c r="L832" s="41" t="e">
        <f ca="1">IFERROR(INDEX(INDIRECT("Data!C"&amp;'1-Year'!$K$4,FALSE),MATCH(K832,Data!$A:$A,0)),NA())</f>
        <v>#N/A</v>
      </c>
    </row>
    <row r="833" spans="11:12" x14ac:dyDescent="0.2">
      <c r="K833" s="56" t="e">
        <f t="shared" si="76"/>
        <v>#N/A</v>
      </c>
      <c r="L833" s="41" t="e">
        <f ca="1">IFERROR(INDEX(INDIRECT("Data!C"&amp;'1-Year'!$K$4,FALSE),MATCH(K833,Data!$A:$A,0)),NA())</f>
        <v>#N/A</v>
      </c>
    </row>
    <row r="834" spans="11:12" x14ac:dyDescent="0.2">
      <c r="K834" s="56" t="e">
        <f t="shared" si="76"/>
        <v>#N/A</v>
      </c>
      <c r="L834" s="41" t="e">
        <f ca="1">IFERROR(INDEX(INDIRECT("Data!C"&amp;'1-Year'!$K$4,FALSE),MATCH(K834,Data!$A:$A,0)),NA())</f>
        <v>#N/A</v>
      </c>
    </row>
    <row r="835" spans="11:12" x14ac:dyDescent="0.2">
      <c r="K835" s="56" t="e">
        <f t="shared" si="76"/>
        <v>#N/A</v>
      </c>
      <c r="L835" s="41" t="e">
        <f ca="1">IFERROR(INDEX(INDIRECT("Data!C"&amp;'1-Year'!$K$4,FALSE),MATCH(K835,Data!$A:$A,0)),NA())</f>
        <v>#N/A</v>
      </c>
    </row>
    <row r="836" spans="11:12" x14ac:dyDescent="0.2">
      <c r="K836" s="56" t="e">
        <f t="shared" si="76"/>
        <v>#N/A</v>
      </c>
      <c r="L836" s="41" t="e">
        <f ca="1">IFERROR(INDEX(INDIRECT("Data!C"&amp;'1-Year'!$K$4,FALSE),MATCH(K836,Data!$A:$A,0)),NA())</f>
        <v>#N/A</v>
      </c>
    </row>
    <row r="837" spans="11:12" x14ac:dyDescent="0.2">
      <c r="K837" s="56" t="e">
        <f t="shared" si="76"/>
        <v>#N/A</v>
      </c>
      <c r="L837" s="41" t="e">
        <f ca="1">IFERROR(INDEX(INDIRECT("Data!C"&amp;'1-Year'!$K$4,FALSE),MATCH(K837,Data!$A:$A,0)),NA())</f>
        <v>#N/A</v>
      </c>
    </row>
    <row r="838" spans="11:12" x14ac:dyDescent="0.2">
      <c r="K838" s="56" t="e">
        <f t="shared" si="76"/>
        <v>#N/A</v>
      </c>
      <c r="L838" s="41" t="e">
        <f ca="1">IFERROR(INDEX(INDIRECT("Data!C"&amp;'1-Year'!$K$4,FALSE),MATCH(K838,Data!$A:$A,0)),NA())</f>
        <v>#N/A</v>
      </c>
    </row>
    <row r="839" spans="11:12" x14ac:dyDescent="0.2">
      <c r="K839" s="56" t="e">
        <f t="shared" si="76"/>
        <v>#N/A</v>
      </c>
      <c r="L839" s="41" t="e">
        <f ca="1">IFERROR(INDEX(INDIRECT("Data!C"&amp;'1-Year'!$K$4,FALSE),MATCH(K839,Data!$A:$A,0)),NA())</f>
        <v>#N/A</v>
      </c>
    </row>
    <row r="840" spans="11:12" x14ac:dyDescent="0.2">
      <c r="K840" s="56" t="e">
        <f t="shared" ref="K840:K1092" si="77">IF(K839+1&lt;=$C$7,K839+1,NA())</f>
        <v>#N/A</v>
      </c>
      <c r="L840" s="41" t="e">
        <f ca="1">IFERROR(INDEX(INDIRECT("Data!C"&amp;'1-Year'!$K$4,FALSE),MATCH(K840,Data!$A:$A,0)),NA())</f>
        <v>#N/A</v>
      </c>
    </row>
    <row r="841" spans="11:12" x14ac:dyDescent="0.2">
      <c r="K841" s="56" t="e">
        <f t="shared" si="77"/>
        <v>#N/A</v>
      </c>
      <c r="L841" s="41" t="e">
        <f ca="1">IFERROR(INDEX(INDIRECT("Data!C"&amp;'1-Year'!$K$4,FALSE),MATCH(K841,Data!$A:$A,0)),NA())</f>
        <v>#N/A</v>
      </c>
    </row>
    <row r="842" spans="11:12" x14ac:dyDescent="0.2">
      <c r="K842" s="56" t="e">
        <f t="shared" si="77"/>
        <v>#N/A</v>
      </c>
      <c r="L842" s="41" t="e">
        <f ca="1">IFERROR(INDEX(INDIRECT("Data!C"&amp;'1-Year'!$K$4,FALSE),MATCH(K842,Data!$A:$A,0)),NA())</f>
        <v>#N/A</v>
      </c>
    </row>
    <row r="843" spans="11:12" x14ac:dyDescent="0.2">
      <c r="K843" s="56" t="e">
        <f t="shared" si="77"/>
        <v>#N/A</v>
      </c>
      <c r="L843" s="41" t="e">
        <f ca="1">IFERROR(INDEX(INDIRECT("Data!C"&amp;'1-Year'!$K$4,FALSE),MATCH(K843,Data!$A:$A,0)),NA())</f>
        <v>#N/A</v>
      </c>
    </row>
    <row r="844" spans="11:12" x14ac:dyDescent="0.2">
      <c r="K844" s="56" t="e">
        <f t="shared" si="77"/>
        <v>#N/A</v>
      </c>
      <c r="L844" s="41" t="e">
        <f ca="1">IFERROR(INDEX(INDIRECT("Data!C"&amp;'1-Year'!$K$4,FALSE),MATCH(K844,Data!$A:$A,0)),NA())</f>
        <v>#N/A</v>
      </c>
    </row>
    <row r="845" spans="11:12" x14ac:dyDescent="0.2">
      <c r="K845" s="56" t="e">
        <f t="shared" si="77"/>
        <v>#N/A</v>
      </c>
      <c r="L845" s="41" t="e">
        <f ca="1">IFERROR(INDEX(INDIRECT("Data!C"&amp;'1-Year'!$K$4,FALSE),MATCH(K845,Data!$A:$A,0)),NA())</f>
        <v>#N/A</v>
      </c>
    </row>
    <row r="846" spans="11:12" x14ac:dyDescent="0.2">
      <c r="K846" s="56" t="e">
        <f t="shared" si="77"/>
        <v>#N/A</v>
      </c>
      <c r="L846" s="41" t="e">
        <f ca="1">IFERROR(INDEX(INDIRECT("Data!C"&amp;'1-Year'!$K$4,FALSE),MATCH(K846,Data!$A:$A,0)),NA())</f>
        <v>#N/A</v>
      </c>
    </row>
    <row r="847" spans="11:12" x14ac:dyDescent="0.2">
      <c r="K847" s="56" t="e">
        <f t="shared" si="77"/>
        <v>#N/A</v>
      </c>
      <c r="L847" s="41" t="e">
        <f ca="1">IFERROR(INDEX(INDIRECT("Data!C"&amp;'1-Year'!$K$4,FALSE),MATCH(K847,Data!$A:$A,0)),NA())</f>
        <v>#N/A</v>
      </c>
    </row>
    <row r="848" spans="11:12" x14ac:dyDescent="0.2">
      <c r="K848" s="56" t="e">
        <f t="shared" si="77"/>
        <v>#N/A</v>
      </c>
      <c r="L848" s="41" t="e">
        <f ca="1">IFERROR(INDEX(INDIRECT("Data!C"&amp;'1-Year'!$K$4,FALSE),MATCH(K848,Data!$A:$A,0)),NA())</f>
        <v>#N/A</v>
      </c>
    </row>
    <row r="849" spans="11:12" x14ac:dyDescent="0.2">
      <c r="K849" s="56" t="e">
        <f t="shared" si="77"/>
        <v>#N/A</v>
      </c>
      <c r="L849" s="41" t="e">
        <f ca="1">IFERROR(INDEX(INDIRECT("Data!C"&amp;'1-Year'!$K$4,FALSE),MATCH(K849,Data!$A:$A,0)),NA())</f>
        <v>#N/A</v>
      </c>
    </row>
    <row r="850" spans="11:12" x14ac:dyDescent="0.2">
      <c r="K850" s="56" t="e">
        <f t="shared" si="77"/>
        <v>#N/A</v>
      </c>
      <c r="L850" s="41" t="e">
        <f ca="1">IFERROR(INDEX(INDIRECT("Data!C"&amp;'1-Year'!$K$4,FALSE),MATCH(K850,Data!$A:$A,0)),NA())</f>
        <v>#N/A</v>
      </c>
    </row>
    <row r="851" spans="11:12" x14ac:dyDescent="0.2">
      <c r="K851" s="56" t="e">
        <f t="shared" si="77"/>
        <v>#N/A</v>
      </c>
      <c r="L851" s="41" t="e">
        <f ca="1">IFERROR(INDEX(INDIRECT("Data!C"&amp;'1-Year'!$K$4,FALSE),MATCH(K851,Data!$A:$A,0)),NA())</f>
        <v>#N/A</v>
      </c>
    </row>
    <row r="852" spans="11:12" x14ac:dyDescent="0.2">
      <c r="K852" s="56" t="e">
        <f t="shared" si="77"/>
        <v>#N/A</v>
      </c>
      <c r="L852" s="41" t="e">
        <f ca="1">IFERROR(INDEX(INDIRECT("Data!C"&amp;'1-Year'!$K$4,FALSE),MATCH(K852,Data!$A:$A,0)),NA())</f>
        <v>#N/A</v>
      </c>
    </row>
    <row r="853" spans="11:12" x14ac:dyDescent="0.2">
      <c r="K853" s="56" t="e">
        <f t="shared" si="77"/>
        <v>#N/A</v>
      </c>
      <c r="L853" s="41" t="e">
        <f ca="1">IFERROR(INDEX(INDIRECT("Data!C"&amp;'1-Year'!$K$4,FALSE),MATCH(K853,Data!$A:$A,0)),NA())</f>
        <v>#N/A</v>
      </c>
    </row>
    <row r="854" spans="11:12" x14ac:dyDescent="0.2">
      <c r="K854" s="56" t="e">
        <f t="shared" si="77"/>
        <v>#N/A</v>
      </c>
      <c r="L854" s="41" t="e">
        <f ca="1">IFERROR(INDEX(INDIRECT("Data!C"&amp;'1-Year'!$K$4,FALSE),MATCH(K854,Data!$A:$A,0)),NA())</f>
        <v>#N/A</v>
      </c>
    </row>
    <row r="855" spans="11:12" x14ac:dyDescent="0.2">
      <c r="K855" s="56" t="e">
        <f t="shared" si="77"/>
        <v>#N/A</v>
      </c>
      <c r="L855" s="41" t="e">
        <f ca="1">IFERROR(INDEX(INDIRECT("Data!C"&amp;'1-Year'!$K$4,FALSE),MATCH(K855,Data!$A:$A,0)),NA())</f>
        <v>#N/A</v>
      </c>
    </row>
    <row r="856" spans="11:12" x14ac:dyDescent="0.2">
      <c r="K856" s="56" t="e">
        <f t="shared" si="77"/>
        <v>#N/A</v>
      </c>
      <c r="L856" s="41" t="e">
        <f ca="1">IFERROR(INDEX(INDIRECT("Data!C"&amp;'1-Year'!$K$4,FALSE),MATCH(K856,Data!$A:$A,0)),NA())</f>
        <v>#N/A</v>
      </c>
    </row>
    <row r="857" spans="11:12" x14ac:dyDescent="0.2">
      <c r="K857" s="56" t="e">
        <f t="shared" si="77"/>
        <v>#N/A</v>
      </c>
      <c r="L857" s="41" t="e">
        <f ca="1">IFERROR(INDEX(INDIRECT("Data!C"&amp;'1-Year'!$K$4,FALSE),MATCH(K857,Data!$A:$A,0)),NA())</f>
        <v>#N/A</v>
      </c>
    </row>
    <row r="858" spans="11:12" x14ac:dyDescent="0.2">
      <c r="K858" s="56" t="e">
        <f t="shared" si="77"/>
        <v>#N/A</v>
      </c>
      <c r="L858" s="41" t="e">
        <f ca="1">IFERROR(INDEX(INDIRECT("Data!C"&amp;'1-Year'!$K$4,FALSE),MATCH(K858,Data!$A:$A,0)),NA())</f>
        <v>#N/A</v>
      </c>
    </row>
    <row r="859" spans="11:12" x14ac:dyDescent="0.2">
      <c r="K859" s="56" t="e">
        <f t="shared" si="77"/>
        <v>#N/A</v>
      </c>
      <c r="L859" s="41" t="e">
        <f ca="1">IFERROR(INDEX(INDIRECT("Data!C"&amp;'1-Year'!$K$4,FALSE),MATCH(K859,Data!$A:$A,0)),NA())</f>
        <v>#N/A</v>
      </c>
    </row>
    <row r="860" spans="11:12" x14ac:dyDescent="0.2">
      <c r="K860" s="56" t="e">
        <f t="shared" si="77"/>
        <v>#N/A</v>
      </c>
      <c r="L860" s="41" t="e">
        <f ca="1">IFERROR(INDEX(INDIRECT("Data!C"&amp;'1-Year'!$K$4,FALSE),MATCH(K860,Data!$A:$A,0)),NA())</f>
        <v>#N/A</v>
      </c>
    </row>
    <row r="861" spans="11:12" x14ac:dyDescent="0.2">
      <c r="K861" s="56" t="e">
        <f t="shared" si="77"/>
        <v>#N/A</v>
      </c>
      <c r="L861" s="41" t="e">
        <f ca="1">IFERROR(INDEX(INDIRECT("Data!C"&amp;'1-Year'!$K$4,FALSE),MATCH(K861,Data!$A:$A,0)),NA())</f>
        <v>#N/A</v>
      </c>
    </row>
    <row r="862" spans="11:12" x14ac:dyDescent="0.2">
      <c r="K862" s="56" t="e">
        <f t="shared" si="77"/>
        <v>#N/A</v>
      </c>
      <c r="L862" s="41" t="e">
        <f ca="1">IFERROR(INDEX(INDIRECT("Data!C"&amp;'1-Year'!$K$4,FALSE),MATCH(K862,Data!$A:$A,0)),NA())</f>
        <v>#N/A</v>
      </c>
    </row>
    <row r="863" spans="11:12" x14ac:dyDescent="0.2">
      <c r="K863" s="56" t="e">
        <f t="shared" si="77"/>
        <v>#N/A</v>
      </c>
      <c r="L863" s="41" t="e">
        <f ca="1">IFERROR(INDEX(INDIRECT("Data!C"&amp;'1-Year'!$K$4,FALSE),MATCH(K863,Data!$A:$A,0)),NA())</f>
        <v>#N/A</v>
      </c>
    </row>
    <row r="864" spans="11:12" x14ac:dyDescent="0.2">
      <c r="K864" s="56" t="e">
        <f t="shared" si="77"/>
        <v>#N/A</v>
      </c>
      <c r="L864" s="41" t="e">
        <f ca="1">IFERROR(INDEX(INDIRECT("Data!C"&amp;'1-Year'!$K$4,FALSE),MATCH(K864,Data!$A:$A,0)),NA())</f>
        <v>#N/A</v>
      </c>
    </row>
    <row r="865" spans="11:12" x14ac:dyDescent="0.2">
      <c r="K865" s="56" t="e">
        <f t="shared" si="77"/>
        <v>#N/A</v>
      </c>
      <c r="L865" s="41" t="e">
        <f ca="1">IFERROR(INDEX(INDIRECT("Data!C"&amp;'1-Year'!$K$4,FALSE),MATCH(K865,Data!$A:$A,0)),NA())</f>
        <v>#N/A</v>
      </c>
    </row>
    <row r="866" spans="11:12" x14ac:dyDescent="0.2">
      <c r="K866" s="56" t="e">
        <f t="shared" si="77"/>
        <v>#N/A</v>
      </c>
      <c r="L866" s="41" t="e">
        <f ca="1">IFERROR(INDEX(INDIRECT("Data!C"&amp;'1-Year'!$K$4,FALSE),MATCH(K866,Data!$A:$A,0)),NA())</f>
        <v>#N/A</v>
      </c>
    </row>
    <row r="867" spans="11:12" x14ac:dyDescent="0.2">
      <c r="K867" s="56" t="e">
        <f t="shared" si="77"/>
        <v>#N/A</v>
      </c>
      <c r="L867" s="41" t="e">
        <f ca="1">IFERROR(INDEX(INDIRECT("Data!C"&amp;'1-Year'!$K$4,FALSE),MATCH(K867,Data!$A:$A,0)),NA())</f>
        <v>#N/A</v>
      </c>
    </row>
    <row r="868" spans="11:12" x14ac:dyDescent="0.2">
      <c r="K868" s="56" t="e">
        <f t="shared" si="77"/>
        <v>#N/A</v>
      </c>
      <c r="L868" s="41" t="e">
        <f ca="1">IFERROR(INDEX(INDIRECT("Data!C"&amp;'1-Year'!$K$4,FALSE),MATCH(K868,Data!$A:$A,0)),NA())</f>
        <v>#N/A</v>
      </c>
    </row>
    <row r="869" spans="11:12" x14ac:dyDescent="0.2">
      <c r="K869" s="56" t="e">
        <f t="shared" si="77"/>
        <v>#N/A</v>
      </c>
      <c r="L869" s="41" t="e">
        <f ca="1">IFERROR(INDEX(INDIRECT("Data!C"&amp;'1-Year'!$K$4,FALSE),MATCH(K869,Data!$A:$A,0)),NA())</f>
        <v>#N/A</v>
      </c>
    </row>
    <row r="870" spans="11:12" x14ac:dyDescent="0.2">
      <c r="K870" s="56" t="e">
        <f t="shared" si="77"/>
        <v>#N/A</v>
      </c>
      <c r="L870" s="41" t="e">
        <f ca="1">IFERROR(INDEX(INDIRECT("Data!C"&amp;'1-Year'!$K$4,FALSE),MATCH(K870,Data!$A:$A,0)),NA())</f>
        <v>#N/A</v>
      </c>
    </row>
    <row r="871" spans="11:12" x14ac:dyDescent="0.2">
      <c r="K871" s="56" t="e">
        <f t="shared" si="77"/>
        <v>#N/A</v>
      </c>
      <c r="L871" s="41" t="e">
        <f ca="1">IFERROR(INDEX(INDIRECT("Data!C"&amp;'1-Year'!$K$4,FALSE),MATCH(K871,Data!$A:$A,0)),NA())</f>
        <v>#N/A</v>
      </c>
    </row>
    <row r="872" spans="11:12" x14ac:dyDescent="0.2">
      <c r="K872" s="56" t="e">
        <f t="shared" si="77"/>
        <v>#N/A</v>
      </c>
      <c r="L872" s="41" t="e">
        <f ca="1">IFERROR(INDEX(INDIRECT("Data!C"&amp;'1-Year'!$K$4,FALSE),MATCH(K872,Data!$A:$A,0)),NA())</f>
        <v>#N/A</v>
      </c>
    </row>
    <row r="873" spans="11:12" x14ac:dyDescent="0.2">
      <c r="K873" s="56" t="e">
        <f t="shared" si="77"/>
        <v>#N/A</v>
      </c>
      <c r="L873" s="41" t="e">
        <f ca="1">IFERROR(INDEX(INDIRECT("Data!C"&amp;'1-Year'!$K$4,FALSE),MATCH(K873,Data!$A:$A,0)),NA())</f>
        <v>#N/A</v>
      </c>
    </row>
    <row r="874" spans="11:12" x14ac:dyDescent="0.2">
      <c r="K874" s="56" t="e">
        <f t="shared" si="77"/>
        <v>#N/A</v>
      </c>
      <c r="L874" s="41" t="e">
        <f ca="1">IFERROR(INDEX(INDIRECT("Data!C"&amp;'1-Year'!$K$4,FALSE),MATCH(K874,Data!$A:$A,0)),NA())</f>
        <v>#N/A</v>
      </c>
    </row>
    <row r="875" spans="11:12" x14ac:dyDescent="0.2">
      <c r="K875" s="56" t="e">
        <f t="shared" si="77"/>
        <v>#N/A</v>
      </c>
      <c r="L875" s="41" t="e">
        <f ca="1">IFERROR(INDEX(INDIRECT("Data!C"&amp;'1-Year'!$K$4,FALSE),MATCH(K875,Data!$A:$A,0)),NA())</f>
        <v>#N/A</v>
      </c>
    </row>
    <row r="876" spans="11:12" x14ac:dyDescent="0.2">
      <c r="K876" s="56" t="e">
        <f t="shared" si="77"/>
        <v>#N/A</v>
      </c>
      <c r="L876" s="41" t="e">
        <f ca="1">IFERROR(INDEX(INDIRECT("Data!C"&amp;'1-Year'!$K$4,FALSE),MATCH(K876,Data!$A:$A,0)),NA())</f>
        <v>#N/A</v>
      </c>
    </row>
    <row r="877" spans="11:12" x14ac:dyDescent="0.2">
      <c r="K877" s="56" t="e">
        <f t="shared" si="77"/>
        <v>#N/A</v>
      </c>
      <c r="L877" s="41" t="e">
        <f ca="1">IFERROR(INDEX(INDIRECT("Data!C"&amp;'1-Year'!$K$4,FALSE),MATCH(K877,Data!$A:$A,0)),NA())</f>
        <v>#N/A</v>
      </c>
    </row>
    <row r="878" spans="11:12" x14ac:dyDescent="0.2">
      <c r="K878" s="56" t="e">
        <f t="shared" si="77"/>
        <v>#N/A</v>
      </c>
      <c r="L878" s="41" t="e">
        <f ca="1">IFERROR(INDEX(INDIRECT("Data!C"&amp;'1-Year'!$K$4,FALSE),MATCH(K878,Data!$A:$A,0)),NA())</f>
        <v>#N/A</v>
      </c>
    </row>
    <row r="879" spans="11:12" x14ac:dyDescent="0.2">
      <c r="K879" s="56" t="e">
        <f t="shared" si="77"/>
        <v>#N/A</v>
      </c>
      <c r="L879" s="41" t="e">
        <f ca="1">IFERROR(INDEX(INDIRECT("Data!C"&amp;'1-Year'!$K$4,FALSE),MATCH(K879,Data!$A:$A,0)),NA())</f>
        <v>#N/A</v>
      </c>
    </row>
    <row r="880" spans="11:12" x14ac:dyDescent="0.2">
      <c r="K880" s="56" t="e">
        <f t="shared" si="77"/>
        <v>#N/A</v>
      </c>
      <c r="L880" s="41" t="e">
        <f ca="1">IFERROR(INDEX(INDIRECT("Data!C"&amp;'1-Year'!$K$4,FALSE),MATCH(K880,Data!$A:$A,0)),NA())</f>
        <v>#N/A</v>
      </c>
    </row>
    <row r="881" spans="11:12" x14ac:dyDescent="0.2">
      <c r="K881" s="56" t="e">
        <f t="shared" si="77"/>
        <v>#N/A</v>
      </c>
      <c r="L881" s="41" t="e">
        <f ca="1">IFERROR(INDEX(INDIRECT("Data!C"&amp;'1-Year'!$K$4,FALSE),MATCH(K881,Data!$A:$A,0)),NA())</f>
        <v>#N/A</v>
      </c>
    </row>
    <row r="882" spans="11:12" x14ac:dyDescent="0.2">
      <c r="K882" s="56" t="e">
        <f t="shared" si="77"/>
        <v>#N/A</v>
      </c>
      <c r="L882" s="41" t="e">
        <f ca="1">IFERROR(INDEX(INDIRECT("Data!C"&amp;'1-Year'!$K$4,FALSE),MATCH(K882,Data!$A:$A,0)),NA())</f>
        <v>#N/A</v>
      </c>
    </row>
    <row r="883" spans="11:12" x14ac:dyDescent="0.2">
      <c r="K883" s="56" t="e">
        <f t="shared" si="77"/>
        <v>#N/A</v>
      </c>
      <c r="L883" s="41" t="e">
        <f ca="1">IFERROR(INDEX(INDIRECT("Data!C"&amp;'1-Year'!$K$4,FALSE),MATCH(K883,Data!$A:$A,0)),NA())</f>
        <v>#N/A</v>
      </c>
    </row>
    <row r="884" spans="11:12" x14ac:dyDescent="0.2">
      <c r="K884" s="56" t="e">
        <f t="shared" si="77"/>
        <v>#N/A</v>
      </c>
      <c r="L884" s="41" t="e">
        <f ca="1">IFERROR(INDEX(INDIRECT("Data!C"&amp;'1-Year'!$K$4,FALSE),MATCH(K884,Data!$A:$A,0)),NA())</f>
        <v>#N/A</v>
      </c>
    </row>
    <row r="885" spans="11:12" x14ac:dyDescent="0.2">
      <c r="K885" s="56" t="e">
        <f t="shared" si="77"/>
        <v>#N/A</v>
      </c>
      <c r="L885" s="41" t="e">
        <f ca="1">IFERROR(INDEX(INDIRECT("Data!C"&amp;'1-Year'!$K$4,FALSE),MATCH(K885,Data!$A:$A,0)),NA())</f>
        <v>#N/A</v>
      </c>
    </row>
    <row r="886" spans="11:12" x14ac:dyDescent="0.2">
      <c r="K886" s="56" t="e">
        <f t="shared" si="77"/>
        <v>#N/A</v>
      </c>
      <c r="L886" s="41" t="e">
        <f ca="1">IFERROR(INDEX(INDIRECT("Data!C"&amp;'1-Year'!$K$4,FALSE),MATCH(K886,Data!$A:$A,0)),NA())</f>
        <v>#N/A</v>
      </c>
    </row>
    <row r="887" spans="11:12" x14ac:dyDescent="0.2">
      <c r="K887" s="56" t="e">
        <f t="shared" si="77"/>
        <v>#N/A</v>
      </c>
      <c r="L887" s="41" t="e">
        <f ca="1">IFERROR(INDEX(INDIRECT("Data!C"&amp;'1-Year'!$K$4,FALSE),MATCH(K887,Data!$A:$A,0)),NA())</f>
        <v>#N/A</v>
      </c>
    </row>
    <row r="888" spans="11:12" x14ac:dyDescent="0.2">
      <c r="K888" s="56" t="e">
        <f t="shared" si="77"/>
        <v>#N/A</v>
      </c>
      <c r="L888" s="41" t="e">
        <f ca="1">IFERROR(INDEX(INDIRECT("Data!C"&amp;'1-Year'!$K$4,FALSE),MATCH(K888,Data!$A:$A,0)),NA())</f>
        <v>#N/A</v>
      </c>
    </row>
    <row r="889" spans="11:12" x14ac:dyDescent="0.2">
      <c r="K889" s="56" t="e">
        <f t="shared" si="77"/>
        <v>#N/A</v>
      </c>
      <c r="L889" s="41" t="e">
        <f ca="1">IFERROR(INDEX(INDIRECT("Data!C"&amp;'1-Year'!$K$4,FALSE),MATCH(K889,Data!$A:$A,0)),NA())</f>
        <v>#N/A</v>
      </c>
    </row>
    <row r="890" spans="11:12" x14ac:dyDescent="0.2">
      <c r="K890" s="56" t="e">
        <f t="shared" si="77"/>
        <v>#N/A</v>
      </c>
      <c r="L890" s="41" t="e">
        <f ca="1">IFERROR(INDEX(INDIRECT("Data!C"&amp;'1-Year'!$K$4,FALSE),MATCH(K890,Data!$A:$A,0)),NA())</f>
        <v>#N/A</v>
      </c>
    </row>
    <row r="891" spans="11:12" x14ac:dyDescent="0.2">
      <c r="K891" s="56" t="e">
        <f t="shared" si="77"/>
        <v>#N/A</v>
      </c>
      <c r="L891" s="41" t="e">
        <f ca="1">IFERROR(INDEX(INDIRECT("Data!C"&amp;'1-Year'!$K$4,FALSE),MATCH(K891,Data!$A:$A,0)),NA())</f>
        <v>#N/A</v>
      </c>
    </row>
    <row r="892" spans="11:12" x14ac:dyDescent="0.2">
      <c r="K892" s="56" t="e">
        <f t="shared" si="77"/>
        <v>#N/A</v>
      </c>
      <c r="L892" s="41" t="e">
        <f ca="1">IFERROR(INDEX(INDIRECT("Data!C"&amp;'1-Year'!$K$4,FALSE),MATCH(K892,Data!$A:$A,0)),NA())</f>
        <v>#N/A</v>
      </c>
    </row>
    <row r="893" spans="11:12" x14ac:dyDescent="0.2">
      <c r="K893" s="56" t="e">
        <f t="shared" si="77"/>
        <v>#N/A</v>
      </c>
      <c r="L893" s="41" t="e">
        <f ca="1">IFERROR(INDEX(INDIRECT("Data!C"&amp;'1-Year'!$K$4,FALSE),MATCH(K893,Data!$A:$A,0)),NA())</f>
        <v>#N/A</v>
      </c>
    </row>
    <row r="894" spans="11:12" x14ac:dyDescent="0.2">
      <c r="K894" s="56" t="e">
        <f t="shared" si="77"/>
        <v>#N/A</v>
      </c>
      <c r="L894" s="41" t="e">
        <f ca="1">IFERROR(INDEX(INDIRECT("Data!C"&amp;'1-Year'!$K$4,FALSE),MATCH(K894,Data!$A:$A,0)),NA())</f>
        <v>#N/A</v>
      </c>
    </row>
    <row r="895" spans="11:12" x14ac:dyDescent="0.2">
      <c r="K895" s="56" t="e">
        <f t="shared" si="77"/>
        <v>#N/A</v>
      </c>
      <c r="L895" s="41" t="e">
        <f ca="1">IFERROR(INDEX(INDIRECT("Data!C"&amp;'1-Year'!$K$4,FALSE),MATCH(K895,Data!$A:$A,0)),NA())</f>
        <v>#N/A</v>
      </c>
    </row>
    <row r="896" spans="11:12" x14ac:dyDescent="0.2">
      <c r="K896" s="56" t="e">
        <f t="shared" si="77"/>
        <v>#N/A</v>
      </c>
      <c r="L896" s="41" t="e">
        <f ca="1">IFERROR(INDEX(INDIRECT("Data!C"&amp;'1-Year'!$K$4,FALSE),MATCH(K896,Data!$A:$A,0)),NA())</f>
        <v>#N/A</v>
      </c>
    </row>
    <row r="897" spans="11:12" x14ac:dyDescent="0.2">
      <c r="K897" s="56" t="e">
        <f t="shared" si="77"/>
        <v>#N/A</v>
      </c>
      <c r="L897" s="41" t="e">
        <f ca="1">IFERROR(INDEX(INDIRECT("Data!C"&amp;'1-Year'!$K$4,FALSE),MATCH(K897,Data!$A:$A,0)),NA())</f>
        <v>#N/A</v>
      </c>
    </row>
    <row r="898" spans="11:12" x14ac:dyDescent="0.2">
      <c r="K898" s="56" t="e">
        <f t="shared" si="77"/>
        <v>#N/A</v>
      </c>
      <c r="L898" s="41" t="e">
        <f ca="1">IFERROR(INDEX(INDIRECT("Data!C"&amp;'1-Year'!$K$4,FALSE),MATCH(K898,Data!$A:$A,0)),NA())</f>
        <v>#N/A</v>
      </c>
    </row>
    <row r="899" spans="11:12" x14ac:dyDescent="0.2">
      <c r="K899" s="56" t="e">
        <f t="shared" si="77"/>
        <v>#N/A</v>
      </c>
      <c r="L899" s="41" t="e">
        <f ca="1">IFERROR(INDEX(INDIRECT("Data!C"&amp;'1-Year'!$K$4,FALSE),MATCH(K899,Data!$A:$A,0)),NA())</f>
        <v>#N/A</v>
      </c>
    </row>
    <row r="900" spans="11:12" x14ac:dyDescent="0.2">
      <c r="K900" s="56" t="e">
        <f t="shared" si="77"/>
        <v>#N/A</v>
      </c>
      <c r="L900" s="41" t="e">
        <f ca="1">IFERROR(INDEX(INDIRECT("Data!C"&amp;'1-Year'!$K$4,FALSE),MATCH(K900,Data!$A:$A,0)),NA())</f>
        <v>#N/A</v>
      </c>
    </row>
    <row r="901" spans="11:12" x14ac:dyDescent="0.2">
      <c r="K901" s="56" t="e">
        <f t="shared" si="77"/>
        <v>#N/A</v>
      </c>
      <c r="L901" s="41" t="e">
        <f ca="1">IFERROR(INDEX(INDIRECT("Data!C"&amp;'1-Year'!$K$4,FALSE),MATCH(K901,Data!$A:$A,0)),NA())</f>
        <v>#N/A</v>
      </c>
    </row>
    <row r="902" spans="11:12" x14ac:dyDescent="0.2">
      <c r="K902" s="56" t="e">
        <f t="shared" si="77"/>
        <v>#N/A</v>
      </c>
      <c r="L902" s="41" t="e">
        <f ca="1">IFERROR(INDEX(INDIRECT("Data!C"&amp;'1-Year'!$K$4,FALSE),MATCH(K902,Data!$A:$A,0)),NA())</f>
        <v>#N/A</v>
      </c>
    </row>
    <row r="903" spans="11:12" x14ac:dyDescent="0.2">
      <c r="K903" s="56" t="e">
        <f t="shared" si="77"/>
        <v>#N/A</v>
      </c>
      <c r="L903" s="41" t="e">
        <f ca="1">IFERROR(INDEX(INDIRECT("Data!C"&amp;'1-Year'!$K$4,FALSE),MATCH(K903,Data!$A:$A,0)),NA())</f>
        <v>#N/A</v>
      </c>
    </row>
    <row r="904" spans="11:12" x14ac:dyDescent="0.2">
      <c r="K904" s="56" t="e">
        <f t="shared" si="77"/>
        <v>#N/A</v>
      </c>
      <c r="L904" s="41" t="e">
        <f ca="1">IFERROR(INDEX(INDIRECT("Data!C"&amp;'1-Year'!$K$4,FALSE),MATCH(K904,Data!$A:$A,0)),NA())</f>
        <v>#N/A</v>
      </c>
    </row>
    <row r="905" spans="11:12" x14ac:dyDescent="0.2">
      <c r="K905" s="56" t="e">
        <f t="shared" si="77"/>
        <v>#N/A</v>
      </c>
      <c r="L905" s="41" t="e">
        <f ca="1">IFERROR(INDEX(INDIRECT("Data!C"&amp;'1-Year'!$K$4,FALSE),MATCH(K905,Data!$A:$A,0)),NA())</f>
        <v>#N/A</v>
      </c>
    </row>
    <row r="906" spans="11:12" x14ac:dyDescent="0.2">
      <c r="K906" s="56" t="e">
        <f t="shared" si="77"/>
        <v>#N/A</v>
      </c>
      <c r="L906" s="41" t="e">
        <f ca="1">IFERROR(INDEX(INDIRECT("Data!C"&amp;'1-Year'!$K$4,FALSE),MATCH(K906,Data!$A:$A,0)),NA())</f>
        <v>#N/A</v>
      </c>
    </row>
    <row r="907" spans="11:12" x14ac:dyDescent="0.2">
      <c r="K907" s="56" t="e">
        <f t="shared" si="77"/>
        <v>#N/A</v>
      </c>
      <c r="L907" s="41" t="e">
        <f ca="1">IFERROR(INDEX(INDIRECT("Data!C"&amp;'1-Year'!$K$4,FALSE),MATCH(K907,Data!$A:$A,0)),NA())</f>
        <v>#N/A</v>
      </c>
    </row>
    <row r="908" spans="11:12" x14ac:dyDescent="0.2">
      <c r="K908" s="56" t="e">
        <f t="shared" si="77"/>
        <v>#N/A</v>
      </c>
      <c r="L908" s="41" t="e">
        <f ca="1">IFERROR(INDEX(INDIRECT("Data!C"&amp;'1-Year'!$K$4,FALSE),MATCH(K908,Data!$A:$A,0)),NA())</f>
        <v>#N/A</v>
      </c>
    </row>
    <row r="909" spans="11:12" x14ac:dyDescent="0.2">
      <c r="K909" s="56" t="e">
        <f t="shared" si="77"/>
        <v>#N/A</v>
      </c>
      <c r="L909" s="41" t="e">
        <f ca="1">IFERROR(INDEX(INDIRECT("Data!C"&amp;'1-Year'!$K$4,FALSE),MATCH(K909,Data!$A:$A,0)),NA())</f>
        <v>#N/A</v>
      </c>
    </row>
    <row r="910" spans="11:12" x14ac:dyDescent="0.2">
      <c r="K910" s="56" t="e">
        <f t="shared" si="77"/>
        <v>#N/A</v>
      </c>
      <c r="L910" s="41" t="e">
        <f ca="1">IFERROR(INDEX(INDIRECT("Data!C"&amp;'1-Year'!$K$4,FALSE),MATCH(K910,Data!$A:$A,0)),NA())</f>
        <v>#N/A</v>
      </c>
    </row>
    <row r="911" spans="11:12" x14ac:dyDescent="0.2">
      <c r="K911" s="56" t="e">
        <f t="shared" si="77"/>
        <v>#N/A</v>
      </c>
      <c r="L911" s="41" t="e">
        <f ca="1">IFERROR(INDEX(INDIRECT("Data!C"&amp;'1-Year'!$K$4,FALSE),MATCH(K911,Data!$A:$A,0)),NA())</f>
        <v>#N/A</v>
      </c>
    </row>
    <row r="912" spans="11:12" x14ac:dyDescent="0.2">
      <c r="K912" s="56" t="e">
        <f t="shared" si="77"/>
        <v>#N/A</v>
      </c>
      <c r="L912" s="41" t="e">
        <f ca="1">IFERROR(INDEX(INDIRECT("Data!C"&amp;'1-Year'!$K$4,FALSE),MATCH(K912,Data!$A:$A,0)),NA())</f>
        <v>#N/A</v>
      </c>
    </row>
    <row r="913" spans="11:12" x14ac:dyDescent="0.2">
      <c r="K913" s="56" t="e">
        <f t="shared" si="77"/>
        <v>#N/A</v>
      </c>
      <c r="L913" s="41" t="e">
        <f ca="1">IFERROR(INDEX(INDIRECT("Data!C"&amp;'1-Year'!$K$4,FALSE),MATCH(K913,Data!$A:$A,0)),NA())</f>
        <v>#N/A</v>
      </c>
    </row>
    <row r="914" spans="11:12" x14ac:dyDescent="0.2">
      <c r="K914" s="56" t="e">
        <f t="shared" si="77"/>
        <v>#N/A</v>
      </c>
      <c r="L914" s="41" t="e">
        <f ca="1">IFERROR(INDEX(INDIRECT("Data!C"&amp;'1-Year'!$K$4,FALSE),MATCH(K914,Data!$A:$A,0)),NA())</f>
        <v>#N/A</v>
      </c>
    </row>
    <row r="915" spans="11:12" x14ac:dyDescent="0.2">
      <c r="K915" s="56" t="e">
        <f t="shared" si="77"/>
        <v>#N/A</v>
      </c>
      <c r="L915" s="41" t="e">
        <f ca="1">IFERROR(INDEX(INDIRECT("Data!C"&amp;'1-Year'!$K$4,FALSE),MATCH(K915,Data!$A:$A,0)),NA())</f>
        <v>#N/A</v>
      </c>
    </row>
    <row r="916" spans="11:12" x14ac:dyDescent="0.2">
      <c r="K916" s="56" t="e">
        <f t="shared" si="77"/>
        <v>#N/A</v>
      </c>
      <c r="L916" s="41" t="e">
        <f ca="1">IFERROR(INDEX(INDIRECT("Data!C"&amp;'1-Year'!$K$4,FALSE),MATCH(K916,Data!$A:$A,0)),NA())</f>
        <v>#N/A</v>
      </c>
    </row>
    <row r="917" spans="11:12" x14ac:dyDescent="0.2">
      <c r="K917" s="56" t="e">
        <f t="shared" si="77"/>
        <v>#N/A</v>
      </c>
      <c r="L917" s="41" t="e">
        <f ca="1">IFERROR(INDEX(INDIRECT("Data!C"&amp;'1-Year'!$K$4,FALSE),MATCH(K917,Data!$A:$A,0)),NA())</f>
        <v>#N/A</v>
      </c>
    </row>
    <row r="918" spans="11:12" x14ac:dyDescent="0.2">
      <c r="K918" s="56" t="e">
        <f t="shared" si="77"/>
        <v>#N/A</v>
      </c>
      <c r="L918" s="41" t="e">
        <f ca="1">IFERROR(INDEX(INDIRECT("Data!C"&amp;'1-Year'!$K$4,FALSE),MATCH(K918,Data!$A:$A,0)),NA())</f>
        <v>#N/A</v>
      </c>
    </row>
    <row r="919" spans="11:12" x14ac:dyDescent="0.2">
      <c r="K919" s="56" t="e">
        <f t="shared" si="77"/>
        <v>#N/A</v>
      </c>
      <c r="L919" s="41" t="e">
        <f ca="1">IFERROR(INDEX(INDIRECT("Data!C"&amp;'1-Year'!$K$4,FALSE),MATCH(K919,Data!$A:$A,0)),NA())</f>
        <v>#N/A</v>
      </c>
    </row>
    <row r="920" spans="11:12" x14ac:dyDescent="0.2">
      <c r="K920" s="56" t="e">
        <f t="shared" si="77"/>
        <v>#N/A</v>
      </c>
      <c r="L920" s="41" t="e">
        <f ca="1">IFERROR(INDEX(INDIRECT("Data!C"&amp;'1-Year'!$K$4,FALSE),MATCH(K920,Data!$A:$A,0)),NA())</f>
        <v>#N/A</v>
      </c>
    </row>
    <row r="921" spans="11:12" x14ac:dyDescent="0.2">
      <c r="K921" s="56" t="e">
        <f t="shared" si="77"/>
        <v>#N/A</v>
      </c>
      <c r="L921" s="41" t="e">
        <f ca="1">IFERROR(INDEX(INDIRECT("Data!C"&amp;'1-Year'!$K$4,FALSE),MATCH(K921,Data!$A:$A,0)),NA())</f>
        <v>#N/A</v>
      </c>
    </row>
    <row r="922" spans="11:12" x14ac:dyDescent="0.2">
      <c r="K922" s="56" t="e">
        <f t="shared" si="77"/>
        <v>#N/A</v>
      </c>
      <c r="L922" s="41" t="e">
        <f ca="1">IFERROR(INDEX(INDIRECT("Data!C"&amp;'1-Year'!$K$4,FALSE),MATCH(K922,Data!$A:$A,0)),NA())</f>
        <v>#N/A</v>
      </c>
    </row>
    <row r="923" spans="11:12" x14ac:dyDescent="0.2">
      <c r="K923" s="56" t="e">
        <f t="shared" si="77"/>
        <v>#N/A</v>
      </c>
      <c r="L923" s="41" t="e">
        <f ca="1">IFERROR(INDEX(INDIRECT("Data!C"&amp;'1-Year'!$K$4,FALSE),MATCH(K923,Data!$A:$A,0)),NA())</f>
        <v>#N/A</v>
      </c>
    </row>
    <row r="924" spans="11:12" x14ac:dyDescent="0.2">
      <c r="K924" s="56" t="e">
        <f t="shared" si="77"/>
        <v>#N/A</v>
      </c>
      <c r="L924" s="41" t="e">
        <f ca="1">IFERROR(INDEX(INDIRECT("Data!C"&amp;'1-Year'!$K$4,FALSE),MATCH(K924,Data!$A:$A,0)),NA())</f>
        <v>#N/A</v>
      </c>
    </row>
    <row r="925" spans="11:12" x14ac:dyDescent="0.2">
      <c r="K925" s="56" t="e">
        <f t="shared" si="77"/>
        <v>#N/A</v>
      </c>
      <c r="L925" s="41" t="e">
        <f ca="1">IFERROR(INDEX(INDIRECT("Data!C"&amp;'1-Year'!$K$4,FALSE),MATCH(K925,Data!$A:$A,0)),NA())</f>
        <v>#N/A</v>
      </c>
    </row>
    <row r="926" spans="11:12" x14ac:dyDescent="0.2">
      <c r="K926" s="56" t="e">
        <f t="shared" si="77"/>
        <v>#N/A</v>
      </c>
      <c r="L926" s="41" t="e">
        <f ca="1">IFERROR(INDEX(INDIRECT("Data!C"&amp;'1-Year'!$K$4,FALSE),MATCH(K926,Data!$A:$A,0)),NA())</f>
        <v>#N/A</v>
      </c>
    </row>
    <row r="927" spans="11:12" x14ac:dyDescent="0.2">
      <c r="K927" s="56" t="e">
        <f t="shared" si="77"/>
        <v>#N/A</v>
      </c>
      <c r="L927" s="41" t="e">
        <f ca="1">IFERROR(INDEX(INDIRECT("Data!C"&amp;'1-Year'!$K$4,FALSE),MATCH(K927,Data!$A:$A,0)),NA())</f>
        <v>#N/A</v>
      </c>
    </row>
    <row r="928" spans="11:12" x14ac:dyDescent="0.2">
      <c r="K928" s="56" t="e">
        <f t="shared" si="77"/>
        <v>#N/A</v>
      </c>
      <c r="L928" s="41" t="e">
        <f ca="1">IFERROR(INDEX(INDIRECT("Data!C"&amp;'1-Year'!$K$4,FALSE),MATCH(K928,Data!$A:$A,0)),NA())</f>
        <v>#N/A</v>
      </c>
    </row>
    <row r="929" spans="11:12" x14ac:dyDescent="0.2">
      <c r="K929" s="56" t="e">
        <f t="shared" si="77"/>
        <v>#N/A</v>
      </c>
      <c r="L929" s="41" t="e">
        <f ca="1">IFERROR(INDEX(INDIRECT("Data!C"&amp;'1-Year'!$K$4,FALSE),MATCH(K929,Data!$A:$A,0)),NA())</f>
        <v>#N/A</v>
      </c>
    </row>
    <row r="930" spans="11:12" x14ac:dyDescent="0.2">
      <c r="K930" s="56" t="e">
        <f t="shared" si="77"/>
        <v>#N/A</v>
      </c>
      <c r="L930" s="41" t="e">
        <f ca="1">IFERROR(INDEX(INDIRECT("Data!C"&amp;'1-Year'!$K$4,FALSE),MATCH(K930,Data!$A:$A,0)),NA())</f>
        <v>#N/A</v>
      </c>
    </row>
    <row r="931" spans="11:12" x14ac:dyDescent="0.2">
      <c r="K931" s="56" t="e">
        <f t="shared" si="77"/>
        <v>#N/A</v>
      </c>
      <c r="L931" s="41" t="e">
        <f ca="1">IFERROR(INDEX(INDIRECT("Data!C"&amp;'1-Year'!$K$4,FALSE),MATCH(K931,Data!$A:$A,0)),NA())</f>
        <v>#N/A</v>
      </c>
    </row>
    <row r="932" spans="11:12" x14ac:dyDescent="0.2">
      <c r="K932" s="56" t="e">
        <f t="shared" si="77"/>
        <v>#N/A</v>
      </c>
      <c r="L932" s="41" t="e">
        <f ca="1">IFERROR(INDEX(INDIRECT("Data!C"&amp;'1-Year'!$K$4,FALSE),MATCH(K932,Data!$A:$A,0)),NA())</f>
        <v>#N/A</v>
      </c>
    </row>
    <row r="933" spans="11:12" x14ac:dyDescent="0.2">
      <c r="K933" s="56" t="e">
        <f t="shared" si="77"/>
        <v>#N/A</v>
      </c>
      <c r="L933" s="41" t="e">
        <f ca="1">IFERROR(INDEX(INDIRECT("Data!C"&amp;'1-Year'!$K$4,FALSE),MATCH(K933,Data!$A:$A,0)),NA())</f>
        <v>#N/A</v>
      </c>
    </row>
    <row r="934" spans="11:12" x14ac:dyDescent="0.2">
      <c r="K934" s="56" t="e">
        <f t="shared" si="77"/>
        <v>#N/A</v>
      </c>
      <c r="L934" s="41" t="e">
        <f ca="1">IFERROR(INDEX(INDIRECT("Data!C"&amp;'1-Year'!$K$4,FALSE),MATCH(K934,Data!$A:$A,0)),NA())</f>
        <v>#N/A</v>
      </c>
    </row>
    <row r="935" spans="11:12" x14ac:dyDescent="0.2">
      <c r="K935" s="56" t="e">
        <f t="shared" si="77"/>
        <v>#N/A</v>
      </c>
      <c r="L935" s="41" t="e">
        <f ca="1">IFERROR(INDEX(INDIRECT("Data!C"&amp;'1-Year'!$K$4,FALSE),MATCH(K935,Data!$A:$A,0)),NA())</f>
        <v>#N/A</v>
      </c>
    </row>
    <row r="936" spans="11:12" x14ac:dyDescent="0.2">
      <c r="K936" s="56" t="e">
        <f t="shared" si="77"/>
        <v>#N/A</v>
      </c>
      <c r="L936" s="41" t="e">
        <f ca="1">IFERROR(INDEX(INDIRECT("Data!C"&amp;'1-Year'!$K$4,FALSE),MATCH(K936,Data!$A:$A,0)),NA())</f>
        <v>#N/A</v>
      </c>
    </row>
    <row r="937" spans="11:12" x14ac:dyDescent="0.2">
      <c r="K937" s="56" t="e">
        <f t="shared" si="77"/>
        <v>#N/A</v>
      </c>
      <c r="L937" s="41" t="e">
        <f ca="1">IFERROR(INDEX(INDIRECT("Data!C"&amp;'1-Year'!$K$4,FALSE),MATCH(K937,Data!$A:$A,0)),NA())</f>
        <v>#N/A</v>
      </c>
    </row>
    <row r="938" spans="11:12" x14ac:dyDescent="0.2">
      <c r="K938" s="56" t="e">
        <f t="shared" si="77"/>
        <v>#N/A</v>
      </c>
      <c r="L938" s="41" t="e">
        <f ca="1">IFERROR(INDEX(INDIRECT("Data!C"&amp;'1-Year'!$K$4,FALSE),MATCH(K938,Data!$A:$A,0)),NA())</f>
        <v>#N/A</v>
      </c>
    </row>
    <row r="939" spans="11:12" x14ac:dyDescent="0.2">
      <c r="K939" s="56" t="e">
        <f t="shared" si="77"/>
        <v>#N/A</v>
      </c>
      <c r="L939" s="41" t="e">
        <f ca="1">IFERROR(INDEX(INDIRECT("Data!C"&amp;'1-Year'!$K$4,FALSE),MATCH(K939,Data!$A:$A,0)),NA())</f>
        <v>#N/A</v>
      </c>
    </row>
    <row r="940" spans="11:12" x14ac:dyDescent="0.2">
      <c r="K940" s="56" t="e">
        <f t="shared" si="77"/>
        <v>#N/A</v>
      </c>
      <c r="L940" s="41" t="e">
        <f ca="1">IFERROR(INDEX(INDIRECT("Data!C"&amp;'1-Year'!$K$4,FALSE),MATCH(K940,Data!$A:$A,0)),NA())</f>
        <v>#N/A</v>
      </c>
    </row>
    <row r="941" spans="11:12" x14ac:dyDescent="0.2">
      <c r="K941" s="56" t="e">
        <f t="shared" si="77"/>
        <v>#N/A</v>
      </c>
      <c r="L941" s="41" t="e">
        <f ca="1">IFERROR(INDEX(INDIRECT("Data!C"&amp;'1-Year'!$K$4,FALSE),MATCH(K941,Data!$A:$A,0)),NA())</f>
        <v>#N/A</v>
      </c>
    </row>
    <row r="942" spans="11:12" x14ac:dyDescent="0.2">
      <c r="K942" s="56" t="e">
        <f t="shared" si="77"/>
        <v>#N/A</v>
      </c>
      <c r="L942" s="41" t="e">
        <f ca="1">IFERROR(INDEX(INDIRECT("Data!C"&amp;'1-Year'!$K$4,FALSE),MATCH(K942,Data!$A:$A,0)),NA())</f>
        <v>#N/A</v>
      </c>
    </row>
    <row r="943" spans="11:12" x14ac:dyDescent="0.2">
      <c r="K943" s="56" t="e">
        <f t="shared" si="77"/>
        <v>#N/A</v>
      </c>
      <c r="L943" s="41" t="e">
        <f ca="1">IFERROR(INDEX(INDIRECT("Data!C"&amp;'1-Year'!$K$4,FALSE),MATCH(K943,Data!$A:$A,0)),NA())</f>
        <v>#N/A</v>
      </c>
    </row>
    <row r="944" spans="11:12" x14ac:dyDescent="0.2">
      <c r="K944" s="56" t="e">
        <f t="shared" si="77"/>
        <v>#N/A</v>
      </c>
      <c r="L944" s="41" t="e">
        <f ca="1">IFERROR(INDEX(INDIRECT("Data!C"&amp;'1-Year'!$K$4,FALSE),MATCH(K944,Data!$A:$A,0)),NA())</f>
        <v>#N/A</v>
      </c>
    </row>
    <row r="945" spans="11:12" x14ac:dyDescent="0.2">
      <c r="K945" s="56" t="e">
        <f t="shared" si="77"/>
        <v>#N/A</v>
      </c>
      <c r="L945" s="41" t="e">
        <f ca="1">IFERROR(INDEX(INDIRECT("Data!C"&amp;'1-Year'!$K$4,FALSE),MATCH(K945,Data!$A:$A,0)),NA())</f>
        <v>#N/A</v>
      </c>
    </row>
    <row r="946" spans="11:12" x14ac:dyDescent="0.2">
      <c r="K946" s="56" t="e">
        <f t="shared" si="77"/>
        <v>#N/A</v>
      </c>
      <c r="L946" s="41" t="e">
        <f ca="1">IFERROR(INDEX(INDIRECT("Data!C"&amp;'1-Year'!$K$4,FALSE),MATCH(K946,Data!$A:$A,0)),NA())</f>
        <v>#N/A</v>
      </c>
    </row>
    <row r="947" spans="11:12" x14ac:dyDescent="0.2">
      <c r="K947" s="56" t="e">
        <f t="shared" si="77"/>
        <v>#N/A</v>
      </c>
      <c r="L947" s="41" t="e">
        <f ca="1">IFERROR(INDEX(INDIRECT("Data!C"&amp;'1-Year'!$K$4,FALSE),MATCH(K947,Data!$A:$A,0)),NA())</f>
        <v>#N/A</v>
      </c>
    </row>
    <row r="948" spans="11:12" x14ac:dyDescent="0.2">
      <c r="K948" s="56" t="e">
        <f t="shared" si="77"/>
        <v>#N/A</v>
      </c>
      <c r="L948" s="41" t="e">
        <f ca="1">IFERROR(INDEX(INDIRECT("Data!C"&amp;'1-Year'!$K$4,FALSE),MATCH(K948,Data!$A:$A,0)),NA())</f>
        <v>#N/A</v>
      </c>
    </row>
    <row r="949" spans="11:12" x14ac:dyDescent="0.2">
      <c r="K949" s="56" t="e">
        <f t="shared" si="77"/>
        <v>#N/A</v>
      </c>
      <c r="L949" s="41" t="e">
        <f ca="1">IFERROR(INDEX(INDIRECT("Data!C"&amp;'1-Year'!$K$4,FALSE),MATCH(K949,Data!$A:$A,0)),NA())</f>
        <v>#N/A</v>
      </c>
    </row>
    <row r="950" spans="11:12" x14ac:dyDescent="0.2">
      <c r="K950" s="56" t="e">
        <f t="shared" si="77"/>
        <v>#N/A</v>
      </c>
      <c r="L950" s="41" t="e">
        <f ca="1">IFERROR(INDEX(INDIRECT("Data!C"&amp;'1-Year'!$K$4,FALSE),MATCH(K950,Data!$A:$A,0)),NA())</f>
        <v>#N/A</v>
      </c>
    </row>
    <row r="951" spans="11:12" x14ac:dyDescent="0.2">
      <c r="K951" s="56" t="e">
        <f t="shared" si="77"/>
        <v>#N/A</v>
      </c>
      <c r="L951" s="41" t="e">
        <f ca="1">IFERROR(INDEX(INDIRECT("Data!C"&amp;'1-Year'!$K$4,FALSE),MATCH(K951,Data!$A:$A,0)),NA())</f>
        <v>#N/A</v>
      </c>
    </row>
    <row r="952" spans="11:12" x14ac:dyDescent="0.2">
      <c r="K952" s="56" t="e">
        <f t="shared" si="77"/>
        <v>#N/A</v>
      </c>
      <c r="L952" s="41" t="e">
        <f ca="1">IFERROR(INDEX(INDIRECT("Data!C"&amp;'1-Year'!$K$4,FALSE),MATCH(K952,Data!$A:$A,0)),NA())</f>
        <v>#N/A</v>
      </c>
    </row>
    <row r="953" spans="11:12" x14ac:dyDescent="0.2">
      <c r="K953" s="56" t="e">
        <f t="shared" si="77"/>
        <v>#N/A</v>
      </c>
      <c r="L953" s="41" t="e">
        <f ca="1">IFERROR(INDEX(INDIRECT("Data!C"&amp;'1-Year'!$K$4,FALSE),MATCH(K953,Data!$A:$A,0)),NA())</f>
        <v>#N/A</v>
      </c>
    </row>
    <row r="954" spans="11:12" x14ac:dyDescent="0.2">
      <c r="K954" s="56" t="e">
        <f t="shared" si="77"/>
        <v>#N/A</v>
      </c>
      <c r="L954" s="41" t="e">
        <f ca="1">IFERROR(INDEX(INDIRECT("Data!C"&amp;'1-Year'!$K$4,FALSE),MATCH(K954,Data!$A:$A,0)),NA())</f>
        <v>#N/A</v>
      </c>
    </row>
    <row r="955" spans="11:12" x14ac:dyDescent="0.2">
      <c r="K955" s="56" t="e">
        <f t="shared" si="77"/>
        <v>#N/A</v>
      </c>
      <c r="L955" s="41" t="e">
        <f ca="1">IFERROR(INDEX(INDIRECT("Data!C"&amp;'1-Year'!$K$4,FALSE),MATCH(K955,Data!$A:$A,0)),NA())</f>
        <v>#N/A</v>
      </c>
    </row>
    <row r="956" spans="11:12" x14ac:dyDescent="0.2">
      <c r="K956" s="56" t="e">
        <f t="shared" si="77"/>
        <v>#N/A</v>
      </c>
      <c r="L956" s="41" t="e">
        <f ca="1">IFERROR(INDEX(INDIRECT("Data!C"&amp;'1-Year'!$K$4,FALSE),MATCH(K956,Data!$A:$A,0)),NA())</f>
        <v>#N/A</v>
      </c>
    </row>
    <row r="957" spans="11:12" x14ac:dyDescent="0.2">
      <c r="K957" s="56" t="e">
        <f t="shared" si="77"/>
        <v>#N/A</v>
      </c>
      <c r="L957" s="41" t="e">
        <f ca="1">IFERROR(INDEX(INDIRECT("Data!C"&amp;'1-Year'!$K$4,FALSE),MATCH(K957,Data!$A:$A,0)),NA())</f>
        <v>#N/A</v>
      </c>
    </row>
    <row r="958" spans="11:12" x14ac:dyDescent="0.2">
      <c r="K958" s="56" t="e">
        <f t="shared" si="77"/>
        <v>#N/A</v>
      </c>
      <c r="L958" s="41" t="e">
        <f ca="1">IFERROR(INDEX(INDIRECT("Data!C"&amp;'1-Year'!$K$4,FALSE),MATCH(K958,Data!$A:$A,0)),NA())</f>
        <v>#N/A</v>
      </c>
    </row>
    <row r="959" spans="11:12" x14ac:dyDescent="0.2">
      <c r="K959" s="56" t="e">
        <f t="shared" si="77"/>
        <v>#N/A</v>
      </c>
      <c r="L959" s="41" t="e">
        <f ca="1">IFERROR(INDEX(INDIRECT("Data!C"&amp;'1-Year'!$K$4,FALSE),MATCH(K959,Data!$A:$A,0)),NA())</f>
        <v>#N/A</v>
      </c>
    </row>
    <row r="960" spans="11:12" x14ac:dyDescent="0.2">
      <c r="K960" s="56" t="e">
        <f t="shared" si="77"/>
        <v>#N/A</v>
      </c>
      <c r="L960" s="41" t="e">
        <f ca="1">IFERROR(INDEX(INDIRECT("Data!C"&amp;'1-Year'!$K$4,FALSE),MATCH(K960,Data!$A:$A,0)),NA())</f>
        <v>#N/A</v>
      </c>
    </row>
    <row r="961" spans="11:12" x14ac:dyDescent="0.2">
      <c r="K961" s="56" t="e">
        <f t="shared" si="77"/>
        <v>#N/A</v>
      </c>
      <c r="L961" s="41" t="e">
        <f ca="1">IFERROR(INDEX(INDIRECT("Data!C"&amp;'1-Year'!$K$4,FALSE),MATCH(K961,Data!$A:$A,0)),NA())</f>
        <v>#N/A</v>
      </c>
    </row>
    <row r="962" spans="11:12" x14ac:dyDescent="0.2">
      <c r="K962" s="56" t="e">
        <f t="shared" si="77"/>
        <v>#N/A</v>
      </c>
      <c r="L962" s="41" t="e">
        <f ca="1">IFERROR(INDEX(INDIRECT("Data!C"&amp;'1-Year'!$K$4,FALSE),MATCH(K962,Data!$A:$A,0)),NA())</f>
        <v>#N/A</v>
      </c>
    </row>
    <row r="963" spans="11:12" x14ac:dyDescent="0.2">
      <c r="K963" s="56" t="e">
        <f t="shared" si="77"/>
        <v>#N/A</v>
      </c>
      <c r="L963" s="41" t="e">
        <f ca="1">IFERROR(INDEX(INDIRECT("Data!C"&amp;'1-Year'!$K$4,FALSE),MATCH(K963,Data!$A:$A,0)),NA())</f>
        <v>#N/A</v>
      </c>
    </row>
    <row r="964" spans="11:12" x14ac:dyDescent="0.2">
      <c r="K964" s="56" t="e">
        <f t="shared" si="77"/>
        <v>#N/A</v>
      </c>
      <c r="L964" s="41" t="e">
        <f ca="1">IFERROR(INDEX(INDIRECT("Data!C"&amp;'1-Year'!$K$4,FALSE),MATCH(K964,Data!$A:$A,0)),NA())</f>
        <v>#N/A</v>
      </c>
    </row>
    <row r="965" spans="11:12" x14ac:dyDescent="0.2">
      <c r="K965" s="56" t="e">
        <f t="shared" si="77"/>
        <v>#N/A</v>
      </c>
      <c r="L965" s="41" t="e">
        <f ca="1">IFERROR(INDEX(INDIRECT("Data!C"&amp;'1-Year'!$K$4,FALSE),MATCH(K965,Data!$A:$A,0)),NA())</f>
        <v>#N/A</v>
      </c>
    </row>
    <row r="966" spans="11:12" x14ac:dyDescent="0.2">
      <c r="K966" s="56" t="e">
        <f t="shared" si="77"/>
        <v>#N/A</v>
      </c>
      <c r="L966" s="41" t="e">
        <f ca="1">IFERROR(INDEX(INDIRECT("Data!C"&amp;'1-Year'!$K$4,FALSE),MATCH(K966,Data!$A:$A,0)),NA())</f>
        <v>#N/A</v>
      </c>
    </row>
    <row r="967" spans="11:12" x14ac:dyDescent="0.2">
      <c r="K967" s="56" t="e">
        <f t="shared" si="77"/>
        <v>#N/A</v>
      </c>
      <c r="L967" s="41" t="e">
        <f ca="1">IFERROR(INDEX(INDIRECT("Data!C"&amp;'1-Year'!$K$4,FALSE),MATCH(K967,Data!$A:$A,0)),NA())</f>
        <v>#N/A</v>
      </c>
    </row>
    <row r="968" spans="11:12" x14ac:dyDescent="0.2">
      <c r="K968" s="56" t="e">
        <f t="shared" si="77"/>
        <v>#N/A</v>
      </c>
      <c r="L968" s="41" t="e">
        <f ca="1">IFERROR(INDEX(INDIRECT("Data!C"&amp;'1-Year'!$K$4,FALSE),MATCH(K968,Data!$A:$A,0)),NA())</f>
        <v>#N/A</v>
      </c>
    </row>
    <row r="969" spans="11:12" x14ac:dyDescent="0.2">
      <c r="K969" s="56" t="e">
        <f t="shared" si="77"/>
        <v>#N/A</v>
      </c>
      <c r="L969" s="41" t="e">
        <f ca="1">IFERROR(INDEX(INDIRECT("Data!C"&amp;'1-Year'!$K$4,FALSE),MATCH(K969,Data!$A:$A,0)),NA())</f>
        <v>#N/A</v>
      </c>
    </row>
    <row r="970" spans="11:12" x14ac:dyDescent="0.2">
      <c r="K970" s="56" t="e">
        <f t="shared" si="77"/>
        <v>#N/A</v>
      </c>
      <c r="L970" s="41" t="e">
        <f ca="1">IFERROR(INDEX(INDIRECT("Data!C"&amp;'1-Year'!$K$4,FALSE),MATCH(K970,Data!$A:$A,0)),NA())</f>
        <v>#N/A</v>
      </c>
    </row>
    <row r="971" spans="11:12" x14ac:dyDescent="0.2">
      <c r="K971" s="56" t="e">
        <f t="shared" si="77"/>
        <v>#N/A</v>
      </c>
      <c r="L971" s="41" t="e">
        <f ca="1">IFERROR(INDEX(INDIRECT("Data!C"&amp;'1-Year'!$K$4,FALSE),MATCH(K971,Data!$A:$A,0)),NA())</f>
        <v>#N/A</v>
      </c>
    </row>
    <row r="972" spans="11:12" x14ac:dyDescent="0.2">
      <c r="K972" s="56" t="e">
        <f t="shared" si="77"/>
        <v>#N/A</v>
      </c>
      <c r="L972" s="41" t="e">
        <f ca="1">IFERROR(INDEX(INDIRECT("Data!C"&amp;'1-Year'!$K$4,FALSE),MATCH(K972,Data!$A:$A,0)),NA())</f>
        <v>#N/A</v>
      </c>
    </row>
    <row r="973" spans="11:12" x14ac:dyDescent="0.2">
      <c r="K973" s="56" t="e">
        <f t="shared" si="77"/>
        <v>#N/A</v>
      </c>
      <c r="L973" s="41" t="e">
        <f ca="1">IFERROR(INDEX(INDIRECT("Data!C"&amp;'1-Year'!$K$4,FALSE),MATCH(K973,Data!$A:$A,0)),NA())</f>
        <v>#N/A</v>
      </c>
    </row>
    <row r="974" spans="11:12" x14ac:dyDescent="0.2">
      <c r="K974" s="56" t="e">
        <f t="shared" si="77"/>
        <v>#N/A</v>
      </c>
      <c r="L974" s="41" t="e">
        <f ca="1">IFERROR(INDEX(INDIRECT("Data!C"&amp;'1-Year'!$K$4,FALSE),MATCH(K974,Data!$A:$A,0)),NA())</f>
        <v>#N/A</v>
      </c>
    </row>
    <row r="975" spans="11:12" x14ac:dyDescent="0.2">
      <c r="K975" s="56" t="e">
        <f t="shared" si="77"/>
        <v>#N/A</v>
      </c>
      <c r="L975" s="41" t="e">
        <f ca="1">IFERROR(INDEX(INDIRECT("Data!C"&amp;'1-Year'!$K$4,FALSE),MATCH(K975,Data!$A:$A,0)),NA())</f>
        <v>#N/A</v>
      </c>
    </row>
    <row r="976" spans="11:12" x14ac:dyDescent="0.2">
      <c r="K976" s="56" t="e">
        <f t="shared" si="77"/>
        <v>#N/A</v>
      </c>
      <c r="L976" s="41" t="e">
        <f ca="1">IFERROR(INDEX(INDIRECT("Data!C"&amp;'1-Year'!$K$4,FALSE),MATCH(K976,Data!$A:$A,0)),NA())</f>
        <v>#N/A</v>
      </c>
    </row>
    <row r="977" spans="11:12" x14ac:dyDescent="0.2">
      <c r="K977" s="56" t="e">
        <f t="shared" si="77"/>
        <v>#N/A</v>
      </c>
      <c r="L977" s="41" t="e">
        <f ca="1">IFERROR(INDEX(INDIRECT("Data!C"&amp;'1-Year'!$K$4,FALSE),MATCH(K977,Data!$A:$A,0)),NA())</f>
        <v>#N/A</v>
      </c>
    </row>
    <row r="978" spans="11:12" x14ac:dyDescent="0.2">
      <c r="K978" s="56" t="e">
        <f t="shared" si="77"/>
        <v>#N/A</v>
      </c>
      <c r="L978" s="41" t="e">
        <f ca="1">IFERROR(INDEX(INDIRECT("Data!C"&amp;'1-Year'!$K$4,FALSE),MATCH(K978,Data!$A:$A,0)),NA())</f>
        <v>#N/A</v>
      </c>
    </row>
    <row r="979" spans="11:12" x14ac:dyDescent="0.2">
      <c r="K979" s="56" t="e">
        <f t="shared" si="77"/>
        <v>#N/A</v>
      </c>
      <c r="L979" s="41" t="e">
        <f ca="1">IFERROR(INDEX(INDIRECT("Data!C"&amp;'1-Year'!$K$4,FALSE),MATCH(K979,Data!$A:$A,0)),NA())</f>
        <v>#N/A</v>
      </c>
    </row>
    <row r="980" spans="11:12" x14ac:dyDescent="0.2">
      <c r="K980" s="56" t="e">
        <f t="shared" si="77"/>
        <v>#N/A</v>
      </c>
      <c r="L980" s="41" t="e">
        <f ca="1">IFERROR(INDEX(INDIRECT("Data!C"&amp;'1-Year'!$K$4,FALSE),MATCH(K980,Data!$A:$A,0)),NA())</f>
        <v>#N/A</v>
      </c>
    </row>
    <row r="981" spans="11:12" x14ac:dyDescent="0.2">
      <c r="K981" s="56" t="e">
        <f t="shared" si="77"/>
        <v>#N/A</v>
      </c>
      <c r="L981" s="41" t="e">
        <f ca="1">IFERROR(INDEX(INDIRECT("Data!C"&amp;'1-Year'!$K$4,FALSE),MATCH(K981,Data!$A:$A,0)),NA())</f>
        <v>#N/A</v>
      </c>
    </row>
    <row r="982" spans="11:12" x14ac:dyDescent="0.2">
      <c r="K982" s="56" t="e">
        <f t="shared" si="77"/>
        <v>#N/A</v>
      </c>
      <c r="L982" s="41" t="e">
        <f ca="1">IFERROR(INDEX(INDIRECT("Data!C"&amp;'1-Year'!$K$4,FALSE),MATCH(K982,Data!$A:$A,0)),NA())</f>
        <v>#N/A</v>
      </c>
    </row>
    <row r="983" spans="11:12" x14ac:dyDescent="0.2">
      <c r="K983" s="56" t="e">
        <f t="shared" si="77"/>
        <v>#N/A</v>
      </c>
      <c r="L983" s="41" t="e">
        <f ca="1">IFERROR(INDEX(INDIRECT("Data!C"&amp;'1-Year'!$K$4,FALSE),MATCH(K983,Data!$A:$A,0)),NA())</f>
        <v>#N/A</v>
      </c>
    </row>
    <row r="984" spans="11:12" x14ac:dyDescent="0.2">
      <c r="K984" s="56" t="e">
        <f t="shared" si="77"/>
        <v>#N/A</v>
      </c>
      <c r="L984" s="41" t="e">
        <f ca="1">IFERROR(INDEX(INDIRECT("Data!C"&amp;'1-Year'!$K$4,FALSE),MATCH(K984,Data!$A:$A,0)),NA())</f>
        <v>#N/A</v>
      </c>
    </row>
    <row r="985" spans="11:12" x14ac:dyDescent="0.2">
      <c r="K985" s="56" t="e">
        <f t="shared" si="77"/>
        <v>#N/A</v>
      </c>
      <c r="L985" s="41" t="e">
        <f ca="1">IFERROR(INDEX(INDIRECT("Data!C"&amp;'1-Year'!$K$4,FALSE),MATCH(K985,Data!$A:$A,0)),NA())</f>
        <v>#N/A</v>
      </c>
    </row>
    <row r="986" spans="11:12" x14ac:dyDescent="0.2">
      <c r="K986" s="56" t="e">
        <f t="shared" si="77"/>
        <v>#N/A</v>
      </c>
      <c r="L986" s="41" t="e">
        <f ca="1">IFERROR(INDEX(INDIRECT("Data!C"&amp;'1-Year'!$K$4,FALSE),MATCH(K986,Data!$A:$A,0)),NA())</f>
        <v>#N/A</v>
      </c>
    </row>
    <row r="987" spans="11:12" x14ac:dyDescent="0.2">
      <c r="K987" s="56" t="e">
        <f t="shared" si="77"/>
        <v>#N/A</v>
      </c>
      <c r="L987" s="41" t="e">
        <f ca="1">IFERROR(INDEX(INDIRECT("Data!C"&amp;'1-Year'!$K$4,FALSE),MATCH(K987,Data!$A:$A,0)),NA())</f>
        <v>#N/A</v>
      </c>
    </row>
    <row r="988" spans="11:12" x14ac:dyDescent="0.2">
      <c r="K988" s="56" t="e">
        <f t="shared" si="77"/>
        <v>#N/A</v>
      </c>
      <c r="L988" s="41" t="e">
        <f ca="1">IFERROR(INDEX(INDIRECT("Data!C"&amp;'1-Year'!$K$4,FALSE),MATCH(K988,Data!$A:$A,0)),NA())</f>
        <v>#N/A</v>
      </c>
    </row>
    <row r="989" spans="11:12" x14ac:dyDescent="0.2">
      <c r="K989" s="56" t="e">
        <f t="shared" si="77"/>
        <v>#N/A</v>
      </c>
      <c r="L989" s="41" t="e">
        <f ca="1">IFERROR(INDEX(INDIRECT("Data!C"&amp;'1-Year'!$K$4,FALSE),MATCH(K989,Data!$A:$A,0)),NA())</f>
        <v>#N/A</v>
      </c>
    </row>
    <row r="990" spans="11:12" x14ac:dyDescent="0.2">
      <c r="K990" s="56" t="e">
        <f t="shared" si="77"/>
        <v>#N/A</v>
      </c>
      <c r="L990" s="41" t="e">
        <f ca="1">IFERROR(INDEX(INDIRECT("Data!C"&amp;'1-Year'!$K$4,FALSE),MATCH(K990,Data!$A:$A,0)),NA())</f>
        <v>#N/A</v>
      </c>
    </row>
    <row r="991" spans="11:12" x14ac:dyDescent="0.2">
      <c r="K991" s="56" t="e">
        <f t="shared" si="77"/>
        <v>#N/A</v>
      </c>
      <c r="L991" s="41" t="e">
        <f ca="1">IFERROR(INDEX(INDIRECT("Data!C"&amp;'1-Year'!$K$4,FALSE),MATCH(K991,Data!$A:$A,0)),NA())</f>
        <v>#N/A</v>
      </c>
    </row>
    <row r="992" spans="11:12" x14ac:dyDescent="0.2">
      <c r="K992" s="56" t="e">
        <f t="shared" si="77"/>
        <v>#N/A</v>
      </c>
      <c r="L992" s="41" t="e">
        <f ca="1">IFERROR(INDEX(INDIRECT("Data!C"&amp;'1-Year'!$K$4,FALSE),MATCH(K992,Data!$A:$A,0)),NA())</f>
        <v>#N/A</v>
      </c>
    </row>
    <row r="993" spans="11:12" x14ac:dyDescent="0.2">
      <c r="K993" s="56" t="e">
        <f t="shared" si="77"/>
        <v>#N/A</v>
      </c>
      <c r="L993" s="41" t="e">
        <f ca="1">IFERROR(INDEX(INDIRECT("Data!C"&amp;'1-Year'!$K$4,FALSE),MATCH(K993,Data!$A:$A,0)),NA())</f>
        <v>#N/A</v>
      </c>
    </row>
    <row r="994" spans="11:12" x14ac:dyDescent="0.2">
      <c r="K994" s="56" t="e">
        <f t="shared" si="77"/>
        <v>#N/A</v>
      </c>
      <c r="L994" s="41" t="e">
        <f ca="1">IFERROR(INDEX(INDIRECT("Data!C"&amp;'1-Year'!$K$4,FALSE),MATCH(K994,Data!$A:$A,0)),NA())</f>
        <v>#N/A</v>
      </c>
    </row>
    <row r="995" spans="11:12" x14ac:dyDescent="0.2">
      <c r="K995" s="56" t="e">
        <f t="shared" si="77"/>
        <v>#N/A</v>
      </c>
      <c r="L995" s="41" t="e">
        <f ca="1">IFERROR(INDEX(INDIRECT("Data!C"&amp;'1-Year'!$K$4,FALSE),MATCH(K995,Data!$A:$A,0)),NA())</f>
        <v>#N/A</v>
      </c>
    </row>
    <row r="996" spans="11:12" x14ac:dyDescent="0.2">
      <c r="K996" s="56" t="e">
        <f t="shared" si="77"/>
        <v>#N/A</v>
      </c>
      <c r="L996" s="41" t="e">
        <f ca="1">IFERROR(INDEX(INDIRECT("Data!C"&amp;'1-Year'!$K$4,FALSE),MATCH(K996,Data!$A:$A,0)),NA())</f>
        <v>#N/A</v>
      </c>
    </row>
    <row r="997" spans="11:12" x14ac:dyDescent="0.2">
      <c r="K997" s="56" t="e">
        <f t="shared" si="77"/>
        <v>#N/A</v>
      </c>
      <c r="L997" s="41" t="e">
        <f ca="1">IFERROR(INDEX(INDIRECT("Data!C"&amp;'1-Year'!$K$4,FALSE),MATCH(K997,Data!$A:$A,0)),NA())</f>
        <v>#N/A</v>
      </c>
    </row>
    <row r="998" spans="11:12" x14ac:dyDescent="0.2">
      <c r="K998" s="56" t="e">
        <f t="shared" si="77"/>
        <v>#N/A</v>
      </c>
      <c r="L998" s="41" t="e">
        <f ca="1">IFERROR(INDEX(INDIRECT("Data!C"&amp;'1-Year'!$K$4,FALSE),MATCH(K998,Data!$A:$A,0)),NA())</f>
        <v>#N/A</v>
      </c>
    </row>
    <row r="999" spans="11:12" x14ac:dyDescent="0.2">
      <c r="K999" s="56" t="e">
        <f t="shared" si="77"/>
        <v>#N/A</v>
      </c>
      <c r="L999" s="41" t="e">
        <f ca="1">IFERROR(INDEX(INDIRECT("Data!C"&amp;'1-Year'!$K$4,FALSE),MATCH(K999,Data!$A:$A,0)),NA())</f>
        <v>#N/A</v>
      </c>
    </row>
    <row r="1000" spans="11:12" x14ac:dyDescent="0.2">
      <c r="K1000" s="56" t="e">
        <f t="shared" si="77"/>
        <v>#N/A</v>
      </c>
      <c r="L1000" s="41" t="e">
        <f ca="1">IFERROR(INDEX(INDIRECT("Data!C"&amp;'1-Year'!$K$4,FALSE),MATCH(K1000,Data!$A:$A,0)),NA())</f>
        <v>#N/A</v>
      </c>
    </row>
    <row r="1001" spans="11:12" x14ac:dyDescent="0.2">
      <c r="K1001" s="56" t="e">
        <f t="shared" si="77"/>
        <v>#N/A</v>
      </c>
      <c r="L1001" s="41" t="e">
        <f ca="1">IFERROR(INDEX(INDIRECT("Data!C"&amp;'1-Year'!$K$4,FALSE),MATCH(K1001,Data!$A:$A,0)),NA())</f>
        <v>#N/A</v>
      </c>
    </row>
    <row r="1002" spans="11:12" x14ac:dyDescent="0.2">
      <c r="K1002" s="56" t="e">
        <f t="shared" si="77"/>
        <v>#N/A</v>
      </c>
      <c r="L1002" s="41" t="e">
        <f ca="1">IFERROR(INDEX(INDIRECT("Data!C"&amp;'1-Year'!$K$4,FALSE),MATCH(K1002,Data!$A:$A,0)),NA())</f>
        <v>#N/A</v>
      </c>
    </row>
    <row r="1003" spans="11:12" x14ac:dyDescent="0.2">
      <c r="K1003" s="56" t="e">
        <f t="shared" si="77"/>
        <v>#N/A</v>
      </c>
      <c r="L1003" s="41" t="e">
        <f ca="1">IFERROR(INDEX(INDIRECT("Data!C"&amp;'1-Year'!$K$4,FALSE),MATCH(K1003,Data!$A:$A,0)),NA())</f>
        <v>#N/A</v>
      </c>
    </row>
    <row r="1004" spans="11:12" x14ac:dyDescent="0.2">
      <c r="K1004" s="56" t="e">
        <f t="shared" si="77"/>
        <v>#N/A</v>
      </c>
      <c r="L1004" s="41" t="e">
        <f ca="1">IFERROR(INDEX(INDIRECT("Data!C"&amp;'1-Year'!$K$4,FALSE),MATCH(K1004,Data!$A:$A,0)),NA())</f>
        <v>#N/A</v>
      </c>
    </row>
    <row r="1005" spans="11:12" x14ac:dyDescent="0.2">
      <c r="K1005" s="56" t="e">
        <f t="shared" si="77"/>
        <v>#N/A</v>
      </c>
      <c r="L1005" s="41" t="e">
        <f ca="1">IFERROR(INDEX(INDIRECT("Data!C"&amp;'1-Year'!$K$4,FALSE),MATCH(K1005,Data!$A:$A,0)),NA())</f>
        <v>#N/A</v>
      </c>
    </row>
    <row r="1006" spans="11:12" x14ac:dyDescent="0.2">
      <c r="K1006" s="56" t="e">
        <f t="shared" si="77"/>
        <v>#N/A</v>
      </c>
      <c r="L1006" s="41" t="e">
        <f ca="1">IFERROR(INDEX(INDIRECT("Data!C"&amp;'1-Year'!$K$4,FALSE),MATCH(K1006,Data!$A:$A,0)),NA())</f>
        <v>#N/A</v>
      </c>
    </row>
    <row r="1007" spans="11:12" x14ac:dyDescent="0.2">
      <c r="K1007" s="56" t="e">
        <f t="shared" si="77"/>
        <v>#N/A</v>
      </c>
      <c r="L1007" s="41" t="e">
        <f ca="1">IFERROR(INDEX(INDIRECT("Data!C"&amp;'1-Year'!$K$4,FALSE),MATCH(K1007,Data!$A:$A,0)),NA())</f>
        <v>#N/A</v>
      </c>
    </row>
    <row r="1008" spans="11:12" x14ac:dyDescent="0.2">
      <c r="K1008" s="56" t="e">
        <f t="shared" si="77"/>
        <v>#N/A</v>
      </c>
      <c r="L1008" s="41" t="e">
        <f ca="1">IFERROR(INDEX(INDIRECT("Data!C"&amp;'1-Year'!$K$4,FALSE),MATCH(K1008,Data!$A:$A,0)),NA())</f>
        <v>#N/A</v>
      </c>
    </row>
    <row r="1009" spans="11:12" x14ac:dyDescent="0.2">
      <c r="K1009" s="56" t="e">
        <f t="shared" si="77"/>
        <v>#N/A</v>
      </c>
      <c r="L1009" s="41" t="e">
        <f ca="1">IFERROR(INDEX(INDIRECT("Data!C"&amp;'1-Year'!$K$4,FALSE),MATCH(K1009,Data!$A:$A,0)),NA())</f>
        <v>#N/A</v>
      </c>
    </row>
    <row r="1010" spans="11:12" x14ac:dyDescent="0.2">
      <c r="K1010" s="56" t="e">
        <f t="shared" si="77"/>
        <v>#N/A</v>
      </c>
      <c r="L1010" s="41" t="e">
        <f ca="1">IFERROR(INDEX(INDIRECT("Data!C"&amp;'1-Year'!$K$4,FALSE),MATCH(K1010,Data!$A:$A,0)),NA())</f>
        <v>#N/A</v>
      </c>
    </row>
    <row r="1011" spans="11:12" x14ac:dyDescent="0.2">
      <c r="K1011" s="56" t="e">
        <f t="shared" si="77"/>
        <v>#N/A</v>
      </c>
      <c r="L1011" s="41" t="e">
        <f ca="1">IFERROR(INDEX(INDIRECT("Data!C"&amp;'1-Year'!$K$4,FALSE),MATCH(K1011,Data!$A:$A,0)),NA())</f>
        <v>#N/A</v>
      </c>
    </row>
    <row r="1012" spans="11:12" x14ac:dyDescent="0.2">
      <c r="K1012" s="56" t="e">
        <f t="shared" si="77"/>
        <v>#N/A</v>
      </c>
      <c r="L1012" s="41" t="e">
        <f ca="1">IFERROR(INDEX(INDIRECT("Data!C"&amp;'1-Year'!$K$4,FALSE),MATCH(K1012,Data!$A:$A,0)),NA())</f>
        <v>#N/A</v>
      </c>
    </row>
    <row r="1013" spans="11:12" x14ac:dyDescent="0.2">
      <c r="K1013" s="56" t="e">
        <f t="shared" si="77"/>
        <v>#N/A</v>
      </c>
      <c r="L1013" s="41" t="e">
        <f ca="1">IFERROR(INDEX(INDIRECT("Data!C"&amp;'1-Year'!$K$4,FALSE),MATCH(K1013,Data!$A:$A,0)),NA())</f>
        <v>#N/A</v>
      </c>
    </row>
    <row r="1014" spans="11:12" x14ac:dyDescent="0.2">
      <c r="K1014" s="56" t="e">
        <f t="shared" si="77"/>
        <v>#N/A</v>
      </c>
      <c r="L1014" s="41" t="e">
        <f ca="1">IFERROR(INDEX(INDIRECT("Data!C"&amp;'1-Year'!$K$4,FALSE),MATCH(K1014,Data!$A:$A,0)),NA())</f>
        <v>#N/A</v>
      </c>
    </row>
    <row r="1015" spans="11:12" x14ac:dyDescent="0.2">
      <c r="K1015" s="56" t="e">
        <f t="shared" si="77"/>
        <v>#N/A</v>
      </c>
      <c r="L1015" s="41" t="e">
        <f ca="1">IFERROR(INDEX(INDIRECT("Data!C"&amp;'1-Year'!$K$4,FALSE),MATCH(K1015,Data!$A:$A,0)),NA())</f>
        <v>#N/A</v>
      </c>
    </row>
    <row r="1016" spans="11:12" x14ac:dyDescent="0.2">
      <c r="K1016" s="56" t="e">
        <f t="shared" si="77"/>
        <v>#N/A</v>
      </c>
      <c r="L1016" s="41" t="e">
        <f ca="1">IFERROR(INDEX(INDIRECT("Data!C"&amp;'1-Year'!$K$4,FALSE),MATCH(K1016,Data!$A:$A,0)),NA())</f>
        <v>#N/A</v>
      </c>
    </row>
    <row r="1017" spans="11:12" x14ac:dyDescent="0.2">
      <c r="K1017" s="56" t="e">
        <f t="shared" si="77"/>
        <v>#N/A</v>
      </c>
      <c r="L1017" s="41" t="e">
        <f ca="1">IFERROR(INDEX(INDIRECT("Data!C"&amp;'1-Year'!$K$4,FALSE),MATCH(K1017,Data!$A:$A,0)),NA())</f>
        <v>#N/A</v>
      </c>
    </row>
    <row r="1018" spans="11:12" x14ac:dyDescent="0.2">
      <c r="K1018" s="56" t="e">
        <f t="shared" si="77"/>
        <v>#N/A</v>
      </c>
      <c r="L1018" s="41" t="e">
        <f ca="1">IFERROR(INDEX(INDIRECT("Data!C"&amp;'1-Year'!$K$4,FALSE),MATCH(K1018,Data!$A:$A,0)),NA())</f>
        <v>#N/A</v>
      </c>
    </row>
    <row r="1019" spans="11:12" x14ac:dyDescent="0.2">
      <c r="K1019" s="56" t="e">
        <f t="shared" si="77"/>
        <v>#N/A</v>
      </c>
      <c r="L1019" s="41" t="e">
        <f ca="1">IFERROR(INDEX(INDIRECT("Data!C"&amp;'1-Year'!$K$4,FALSE),MATCH(K1019,Data!$A:$A,0)),NA())</f>
        <v>#N/A</v>
      </c>
    </row>
    <row r="1020" spans="11:12" x14ac:dyDescent="0.2">
      <c r="K1020" s="56" t="e">
        <f t="shared" si="77"/>
        <v>#N/A</v>
      </c>
      <c r="L1020" s="41" t="e">
        <f ca="1">IFERROR(INDEX(INDIRECT("Data!C"&amp;'1-Year'!$K$4,FALSE),MATCH(K1020,Data!$A:$A,0)),NA())</f>
        <v>#N/A</v>
      </c>
    </row>
    <row r="1021" spans="11:12" x14ac:dyDescent="0.2">
      <c r="K1021" s="56" t="e">
        <f t="shared" si="77"/>
        <v>#N/A</v>
      </c>
      <c r="L1021" s="41" t="e">
        <f ca="1">IFERROR(INDEX(INDIRECT("Data!C"&amp;'1-Year'!$K$4,FALSE),MATCH(K1021,Data!$A:$A,0)),NA())</f>
        <v>#N/A</v>
      </c>
    </row>
    <row r="1022" spans="11:12" x14ac:dyDescent="0.2">
      <c r="K1022" s="56" t="e">
        <f t="shared" si="77"/>
        <v>#N/A</v>
      </c>
      <c r="L1022" s="41" t="e">
        <f ca="1">IFERROR(INDEX(INDIRECT("Data!C"&amp;'1-Year'!$K$4,FALSE),MATCH(K1022,Data!$A:$A,0)),NA())</f>
        <v>#N/A</v>
      </c>
    </row>
    <row r="1023" spans="11:12" x14ac:dyDescent="0.2">
      <c r="K1023" s="56" t="e">
        <f t="shared" si="77"/>
        <v>#N/A</v>
      </c>
      <c r="L1023" s="41" t="e">
        <f ca="1">IFERROR(INDEX(INDIRECT("Data!C"&amp;'1-Year'!$K$4,FALSE),MATCH(K1023,Data!$A:$A,0)),NA())</f>
        <v>#N/A</v>
      </c>
    </row>
    <row r="1024" spans="11:12" x14ac:dyDescent="0.2">
      <c r="K1024" s="56" t="e">
        <f t="shared" si="77"/>
        <v>#N/A</v>
      </c>
      <c r="L1024" s="41" t="e">
        <f ca="1">IFERROR(INDEX(INDIRECT("Data!C"&amp;'1-Year'!$K$4,FALSE),MATCH(K1024,Data!$A:$A,0)),NA())</f>
        <v>#N/A</v>
      </c>
    </row>
    <row r="1025" spans="11:12" x14ac:dyDescent="0.2">
      <c r="K1025" s="56" t="e">
        <f t="shared" si="77"/>
        <v>#N/A</v>
      </c>
      <c r="L1025" s="41" t="e">
        <f ca="1">IFERROR(INDEX(INDIRECT("Data!C"&amp;'1-Year'!$K$4,FALSE),MATCH(K1025,Data!$A:$A,0)),NA())</f>
        <v>#N/A</v>
      </c>
    </row>
    <row r="1026" spans="11:12" x14ac:dyDescent="0.2">
      <c r="K1026" s="56" t="e">
        <f t="shared" si="77"/>
        <v>#N/A</v>
      </c>
      <c r="L1026" s="41" t="e">
        <f ca="1">IFERROR(INDEX(INDIRECT("Data!C"&amp;'1-Year'!$K$4,FALSE),MATCH(K1026,Data!$A:$A,0)),NA())</f>
        <v>#N/A</v>
      </c>
    </row>
    <row r="1027" spans="11:12" x14ac:dyDescent="0.2">
      <c r="K1027" s="56" t="e">
        <f t="shared" si="77"/>
        <v>#N/A</v>
      </c>
      <c r="L1027" s="41" t="e">
        <f ca="1">IFERROR(INDEX(INDIRECT("Data!C"&amp;'1-Year'!$K$4,FALSE),MATCH(K1027,Data!$A:$A,0)),NA())</f>
        <v>#N/A</v>
      </c>
    </row>
    <row r="1028" spans="11:12" x14ac:dyDescent="0.2">
      <c r="K1028" s="56" t="e">
        <f t="shared" si="77"/>
        <v>#N/A</v>
      </c>
      <c r="L1028" s="41" t="e">
        <f ca="1">IFERROR(INDEX(INDIRECT("Data!C"&amp;'1-Year'!$K$4,FALSE),MATCH(K1028,Data!$A:$A,0)),NA())</f>
        <v>#N/A</v>
      </c>
    </row>
    <row r="1029" spans="11:12" x14ac:dyDescent="0.2">
      <c r="K1029" s="56" t="e">
        <f t="shared" si="77"/>
        <v>#N/A</v>
      </c>
      <c r="L1029" s="41" t="e">
        <f ca="1">IFERROR(INDEX(INDIRECT("Data!C"&amp;'1-Year'!$K$4,FALSE),MATCH(K1029,Data!$A:$A,0)),NA())</f>
        <v>#N/A</v>
      </c>
    </row>
    <row r="1030" spans="11:12" x14ac:dyDescent="0.2">
      <c r="K1030" s="56" t="e">
        <f t="shared" si="77"/>
        <v>#N/A</v>
      </c>
      <c r="L1030" s="41" t="e">
        <f ca="1">IFERROR(INDEX(INDIRECT("Data!C"&amp;'1-Year'!$K$4,FALSE),MATCH(K1030,Data!$A:$A,0)),NA())</f>
        <v>#N/A</v>
      </c>
    </row>
    <row r="1031" spans="11:12" x14ac:dyDescent="0.2">
      <c r="K1031" s="56" t="e">
        <f t="shared" si="77"/>
        <v>#N/A</v>
      </c>
      <c r="L1031" s="41" t="e">
        <f ca="1">IFERROR(INDEX(INDIRECT("Data!C"&amp;'1-Year'!$K$4,FALSE),MATCH(K1031,Data!$A:$A,0)),NA())</f>
        <v>#N/A</v>
      </c>
    </row>
    <row r="1032" spans="11:12" x14ac:dyDescent="0.2">
      <c r="K1032" s="56" t="e">
        <f t="shared" si="77"/>
        <v>#N/A</v>
      </c>
      <c r="L1032" s="41" t="e">
        <f ca="1">IFERROR(INDEX(INDIRECT("Data!C"&amp;'1-Year'!$K$4,FALSE),MATCH(K1032,Data!$A:$A,0)),NA())</f>
        <v>#N/A</v>
      </c>
    </row>
    <row r="1033" spans="11:12" x14ac:dyDescent="0.2">
      <c r="K1033" s="56" t="e">
        <f t="shared" si="77"/>
        <v>#N/A</v>
      </c>
      <c r="L1033" s="41" t="e">
        <f ca="1">IFERROR(INDEX(INDIRECT("Data!C"&amp;'1-Year'!$K$4,FALSE),MATCH(K1033,Data!$A:$A,0)),NA())</f>
        <v>#N/A</v>
      </c>
    </row>
    <row r="1034" spans="11:12" x14ac:dyDescent="0.2">
      <c r="K1034" s="56" t="e">
        <f t="shared" si="77"/>
        <v>#N/A</v>
      </c>
      <c r="L1034" s="41" t="e">
        <f ca="1">IFERROR(INDEX(INDIRECT("Data!C"&amp;'1-Year'!$K$4,FALSE),MATCH(K1034,Data!$A:$A,0)),NA())</f>
        <v>#N/A</v>
      </c>
    </row>
    <row r="1035" spans="11:12" x14ac:dyDescent="0.2">
      <c r="K1035" s="56" t="e">
        <f t="shared" si="77"/>
        <v>#N/A</v>
      </c>
      <c r="L1035" s="41" t="e">
        <f ca="1">IFERROR(INDEX(INDIRECT("Data!C"&amp;'1-Year'!$K$4,FALSE),MATCH(K1035,Data!$A:$A,0)),NA())</f>
        <v>#N/A</v>
      </c>
    </row>
    <row r="1036" spans="11:12" x14ac:dyDescent="0.2">
      <c r="K1036" s="56" t="e">
        <f t="shared" si="77"/>
        <v>#N/A</v>
      </c>
      <c r="L1036" s="41" t="e">
        <f ca="1">IFERROR(INDEX(INDIRECT("Data!C"&amp;'1-Year'!$K$4,FALSE),MATCH(K1036,Data!$A:$A,0)),NA())</f>
        <v>#N/A</v>
      </c>
    </row>
    <row r="1037" spans="11:12" x14ac:dyDescent="0.2">
      <c r="K1037" s="56" t="e">
        <f t="shared" si="77"/>
        <v>#N/A</v>
      </c>
      <c r="L1037" s="41" t="e">
        <f ca="1">IFERROR(INDEX(INDIRECT("Data!C"&amp;'1-Year'!$K$4,FALSE),MATCH(K1037,Data!$A:$A,0)),NA())</f>
        <v>#N/A</v>
      </c>
    </row>
    <row r="1038" spans="11:12" x14ac:dyDescent="0.2">
      <c r="K1038" s="56" t="e">
        <f t="shared" si="77"/>
        <v>#N/A</v>
      </c>
      <c r="L1038" s="41" t="e">
        <f ca="1">IFERROR(INDEX(INDIRECT("Data!C"&amp;'1-Year'!$K$4,FALSE),MATCH(K1038,Data!$A:$A,0)),NA())</f>
        <v>#N/A</v>
      </c>
    </row>
    <row r="1039" spans="11:12" x14ac:dyDescent="0.2">
      <c r="K1039" s="56" t="e">
        <f t="shared" si="77"/>
        <v>#N/A</v>
      </c>
      <c r="L1039" s="41" t="e">
        <f ca="1">IFERROR(INDEX(INDIRECT("Data!C"&amp;'1-Year'!$K$4,FALSE),MATCH(K1039,Data!$A:$A,0)),NA())</f>
        <v>#N/A</v>
      </c>
    </row>
    <row r="1040" spans="11:12" x14ac:dyDescent="0.2">
      <c r="K1040" s="56" t="e">
        <f t="shared" si="77"/>
        <v>#N/A</v>
      </c>
      <c r="L1040" s="41" t="e">
        <f ca="1">IFERROR(INDEX(INDIRECT("Data!C"&amp;'1-Year'!$K$4,FALSE),MATCH(K1040,Data!$A:$A,0)),NA())</f>
        <v>#N/A</v>
      </c>
    </row>
    <row r="1041" spans="11:12" x14ac:dyDescent="0.2">
      <c r="K1041" s="56" t="e">
        <f t="shared" si="77"/>
        <v>#N/A</v>
      </c>
      <c r="L1041" s="41" t="e">
        <f ca="1">IFERROR(INDEX(INDIRECT("Data!C"&amp;'1-Year'!$K$4,FALSE),MATCH(K1041,Data!$A:$A,0)),NA())</f>
        <v>#N/A</v>
      </c>
    </row>
    <row r="1042" spans="11:12" x14ac:dyDescent="0.2">
      <c r="K1042" s="56" t="e">
        <f t="shared" si="77"/>
        <v>#N/A</v>
      </c>
      <c r="L1042" s="41" t="e">
        <f ca="1">IFERROR(INDEX(INDIRECT("Data!C"&amp;'1-Year'!$K$4,FALSE),MATCH(K1042,Data!$A:$A,0)),NA())</f>
        <v>#N/A</v>
      </c>
    </row>
    <row r="1043" spans="11:12" x14ac:dyDescent="0.2">
      <c r="K1043" s="56" t="e">
        <f t="shared" si="77"/>
        <v>#N/A</v>
      </c>
      <c r="L1043" s="41" t="e">
        <f ca="1">IFERROR(INDEX(INDIRECT("Data!C"&amp;'1-Year'!$K$4,FALSE),MATCH(K1043,Data!$A:$A,0)),NA())</f>
        <v>#N/A</v>
      </c>
    </row>
    <row r="1044" spans="11:12" x14ac:dyDescent="0.2">
      <c r="K1044" s="56" t="e">
        <f t="shared" si="77"/>
        <v>#N/A</v>
      </c>
      <c r="L1044" s="41" t="e">
        <f ca="1">IFERROR(INDEX(INDIRECT("Data!C"&amp;'1-Year'!$K$4,FALSE),MATCH(K1044,Data!$A:$A,0)),NA())</f>
        <v>#N/A</v>
      </c>
    </row>
    <row r="1045" spans="11:12" x14ac:dyDescent="0.2">
      <c r="K1045" s="56" t="e">
        <f t="shared" si="77"/>
        <v>#N/A</v>
      </c>
      <c r="L1045" s="41" t="e">
        <f ca="1">IFERROR(INDEX(INDIRECT("Data!C"&amp;'1-Year'!$K$4,FALSE),MATCH(K1045,Data!$A:$A,0)),NA())</f>
        <v>#N/A</v>
      </c>
    </row>
    <row r="1046" spans="11:12" x14ac:dyDescent="0.2">
      <c r="K1046" s="56" t="e">
        <f t="shared" si="77"/>
        <v>#N/A</v>
      </c>
      <c r="L1046" s="41" t="e">
        <f ca="1">IFERROR(INDEX(INDIRECT("Data!C"&amp;'1-Year'!$K$4,FALSE),MATCH(K1046,Data!$A:$A,0)),NA())</f>
        <v>#N/A</v>
      </c>
    </row>
    <row r="1047" spans="11:12" x14ac:dyDescent="0.2">
      <c r="K1047" s="56" t="e">
        <f t="shared" si="77"/>
        <v>#N/A</v>
      </c>
      <c r="L1047" s="41" t="e">
        <f ca="1">IFERROR(INDEX(INDIRECT("Data!C"&amp;'1-Year'!$K$4,FALSE),MATCH(K1047,Data!$A:$A,0)),NA())</f>
        <v>#N/A</v>
      </c>
    </row>
    <row r="1048" spans="11:12" x14ac:dyDescent="0.2">
      <c r="K1048" s="56" t="e">
        <f t="shared" si="77"/>
        <v>#N/A</v>
      </c>
      <c r="L1048" s="41" t="e">
        <f ca="1">IFERROR(INDEX(INDIRECT("Data!C"&amp;'1-Year'!$K$4,FALSE),MATCH(K1048,Data!$A:$A,0)),NA())</f>
        <v>#N/A</v>
      </c>
    </row>
    <row r="1049" spans="11:12" x14ac:dyDescent="0.2">
      <c r="K1049" s="56" t="e">
        <f t="shared" si="77"/>
        <v>#N/A</v>
      </c>
      <c r="L1049" s="41" t="e">
        <f ca="1">IFERROR(INDEX(INDIRECT("Data!C"&amp;'1-Year'!$K$4,FALSE),MATCH(K1049,Data!$A:$A,0)),NA())</f>
        <v>#N/A</v>
      </c>
    </row>
    <row r="1050" spans="11:12" x14ac:dyDescent="0.2">
      <c r="K1050" s="56" t="e">
        <f t="shared" si="77"/>
        <v>#N/A</v>
      </c>
      <c r="L1050" s="41" t="e">
        <f ca="1">IFERROR(INDEX(INDIRECT("Data!C"&amp;'1-Year'!$K$4,FALSE),MATCH(K1050,Data!$A:$A,0)),NA())</f>
        <v>#N/A</v>
      </c>
    </row>
    <row r="1051" spans="11:12" x14ac:dyDescent="0.2">
      <c r="K1051" s="56" t="e">
        <f t="shared" si="77"/>
        <v>#N/A</v>
      </c>
      <c r="L1051" s="41" t="e">
        <f ca="1">IFERROR(INDEX(INDIRECT("Data!C"&amp;'1-Year'!$K$4,FALSE),MATCH(K1051,Data!$A:$A,0)),NA())</f>
        <v>#N/A</v>
      </c>
    </row>
    <row r="1052" spans="11:12" x14ac:dyDescent="0.2">
      <c r="K1052" s="56" t="e">
        <f t="shared" si="77"/>
        <v>#N/A</v>
      </c>
      <c r="L1052" s="41" t="e">
        <f ca="1">IFERROR(INDEX(INDIRECT("Data!C"&amp;'1-Year'!$K$4,FALSE),MATCH(K1052,Data!$A:$A,0)),NA())</f>
        <v>#N/A</v>
      </c>
    </row>
    <row r="1053" spans="11:12" x14ac:dyDescent="0.2">
      <c r="K1053" s="56" t="e">
        <f t="shared" si="77"/>
        <v>#N/A</v>
      </c>
      <c r="L1053" s="41" t="e">
        <f ca="1">IFERROR(INDEX(INDIRECT("Data!C"&amp;'1-Year'!$K$4,FALSE),MATCH(K1053,Data!$A:$A,0)),NA())</f>
        <v>#N/A</v>
      </c>
    </row>
    <row r="1054" spans="11:12" x14ac:dyDescent="0.2">
      <c r="K1054" s="56" t="e">
        <f t="shared" si="77"/>
        <v>#N/A</v>
      </c>
      <c r="L1054" s="41" t="e">
        <f ca="1">IFERROR(INDEX(INDIRECT("Data!C"&amp;'1-Year'!$K$4,FALSE),MATCH(K1054,Data!$A:$A,0)),NA())</f>
        <v>#N/A</v>
      </c>
    </row>
    <row r="1055" spans="11:12" x14ac:dyDescent="0.2">
      <c r="K1055" s="56" t="e">
        <f t="shared" si="77"/>
        <v>#N/A</v>
      </c>
      <c r="L1055" s="41" t="e">
        <f ca="1">IFERROR(INDEX(INDIRECT("Data!C"&amp;'1-Year'!$K$4,FALSE),MATCH(K1055,Data!$A:$A,0)),NA())</f>
        <v>#N/A</v>
      </c>
    </row>
    <row r="1056" spans="11:12" x14ac:dyDescent="0.2">
      <c r="K1056" s="56" t="e">
        <f t="shared" si="77"/>
        <v>#N/A</v>
      </c>
      <c r="L1056" s="41" t="e">
        <f ca="1">IFERROR(INDEX(INDIRECT("Data!C"&amp;'1-Year'!$K$4,FALSE),MATCH(K1056,Data!$A:$A,0)),NA())</f>
        <v>#N/A</v>
      </c>
    </row>
    <row r="1057" spans="11:12" x14ac:dyDescent="0.2">
      <c r="K1057" s="56" t="e">
        <f t="shared" si="77"/>
        <v>#N/A</v>
      </c>
      <c r="L1057" s="41" t="e">
        <f ca="1">IFERROR(INDEX(INDIRECT("Data!C"&amp;'1-Year'!$K$4,FALSE),MATCH(K1057,Data!$A:$A,0)),NA())</f>
        <v>#N/A</v>
      </c>
    </row>
    <row r="1058" spans="11:12" x14ac:dyDescent="0.2">
      <c r="K1058" s="56" t="e">
        <f t="shared" si="77"/>
        <v>#N/A</v>
      </c>
      <c r="L1058" s="41" t="e">
        <f ca="1">IFERROR(INDEX(INDIRECT("Data!C"&amp;'1-Year'!$K$4,FALSE),MATCH(K1058,Data!$A:$A,0)),NA())</f>
        <v>#N/A</v>
      </c>
    </row>
    <row r="1059" spans="11:12" x14ac:dyDescent="0.2">
      <c r="K1059" s="56" t="e">
        <f t="shared" si="77"/>
        <v>#N/A</v>
      </c>
      <c r="L1059" s="41" t="e">
        <f ca="1">IFERROR(INDEX(INDIRECT("Data!C"&amp;'1-Year'!$K$4,FALSE),MATCH(K1059,Data!$A:$A,0)),NA())</f>
        <v>#N/A</v>
      </c>
    </row>
    <row r="1060" spans="11:12" x14ac:dyDescent="0.2">
      <c r="K1060" s="56" t="e">
        <f t="shared" si="77"/>
        <v>#N/A</v>
      </c>
      <c r="L1060" s="41" t="e">
        <f ca="1">IFERROR(INDEX(INDIRECT("Data!C"&amp;'1-Year'!$K$4,FALSE),MATCH(K1060,Data!$A:$A,0)),NA())</f>
        <v>#N/A</v>
      </c>
    </row>
    <row r="1061" spans="11:12" x14ac:dyDescent="0.2">
      <c r="K1061" s="56" t="e">
        <f t="shared" si="77"/>
        <v>#N/A</v>
      </c>
      <c r="L1061" s="41" t="e">
        <f ca="1">IFERROR(INDEX(INDIRECT("Data!C"&amp;'1-Year'!$K$4,FALSE),MATCH(K1061,Data!$A:$A,0)),NA())</f>
        <v>#N/A</v>
      </c>
    </row>
    <row r="1062" spans="11:12" x14ac:dyDescent="0.2">
      <c r="K1062" s="56" t="e">
        <f t="shared" si="77"/>
        <v>#N/A</v>
      </c>
      <c r="L1062" s="41" t="e">
        <f ca="1">IFERROR(INDEX(INDIRECT("Data!C"&amp;'1-Year'!$K$4,FALSE),MATCH(K1062,Data!$A:$A,0)),NA())</f>
        <v>#N/A</v>
      </c>
    </row>
    <row r="1063" spans="11:12" x14ac:dyDescent="0.2">
      <c r="K1063" s="56" t="e">
        <f t="shared" si="77"/>
        <v>#N/A</v>
      </c>
      <c r="L1063" s="41" t="e">
        <f ca="1">IFERROR(INDEX(INDIRECT("Data!C"&amp;'1-Year'!$K$4,FALSE),MATCH(K1063,Data!$A:$A,0)),NA())</f>
        <v>#N/A</v>
      </c>
    </row>
    <row r="1064" spans="11:12" x14ac:dyDescent="0.2">
      <c r="K1064" s="56" t="e">
        <f t="shared" si="77"/>
        <v>#N/A</v>
      </c>
      <c r="L1064" s="41" t="e">
        <f ca="1">IFERROR(INDEX(INDIRECT("Data!C"&amp;'1-Year'!$K$4,FALSE),MATCH(K1064,Data!$A:$A,0)),NA())</f>
        <v>#N/A</v>
      </c>
    </row>
    <row r="1065" spans="11:12" x14ac:dyDescent="0.2">
      <c r="K1065" s="56" t="e">
        <f t="shared" si="77"/>
        <v>#N/A</v>
      </c>
      <c r="L1065" s="41" t="e">
        <f ca="1">IFERROR(INDEX(INDIRECT("Data!C"&amp;'1-Year'!$K$4,FALSE),MATCH(K1065,Data!$A:$A,0)),NA())</f>
        <v>#N/A</v>
      </c>
    </row>
    <row r="1066" spans="11:12" x14ac:dyDescent="0.2">
      <c r="K1066" s="56" t="e">
        <f t="shared" si="77"/>
        <v>#N/A</v>
      </c>
      <c r="L1066" s="41" t="e">
        <f ca="1">IFERROR(INDEX(INDIRECT("Data!C"&amp;'1-Year'!$K$4,FALSE),MATCH(K1066,Data!$A:$A,0)),NA())</f>
        <v>#N/A</v>
      </c>
    </row>
    <row r="1067" spans="11:12" x14ac:dyDescent="0.2">
      <c r="K1067" s="56" t="e">
        <f t="shared" si="77"/>
        <v>#N/A</v>
      </c>
      <c r="L1067" s="41" t="e">
        <f ca="1">IFERROR(INDEX(INDIRECT("Data!C"&amp;'1-Year'!$K$4,FALSE),MATCH(K1067,Data!$A:$A,0)),NA())</f>
        <v>#N/A</v>
      </c>
    </row>
    <row r="1068" spans="11:12" x14ac:dyDescent="0.2">
      <c r="K1068" s="56" t="e">
        <f t="shared" si="77"/>
        <v>#N/A</v>
      </c>
      <c r="L1068" s="41" t="e">
        <f ca="1">IFERROR(INDEX(INDIRECT("Data!C"&amp;'1-Year'!$K$4,FALSE),MATCH(K1068,Data!$A:$A,0)),NA())</f>
        <v>#N/A</v>
      </c>
    </row>
    <row r="1069" spans="11:12" x14ac:dyDescent="0.2">
      <c r="K1069" s="56" t="e">
        <f t="shared" si="77"/>
        <v>#N/A</v>
      </c>
      <c r="L1069" s="41" t="e">
        <f ca="1">IFERROR(INDEX(INDIRECT("Data!C"&amp;'1-Year'!$K$4,FALSE),MATCH(K1069,Data!$A:$A,0)),NA())</f>
        <v>#N/A</v>
      </c>
    </row>
    <row r="1070" spans="11:12" x14ac:dyDescent="0.2">
      <c r="K1070" s="56" t="e">
        <f t="shared" si="77"/>
        <v>#N/A</v>
      </c>
      <c r="L1070" s="41" t="e">
        <f ca="1">IFERROR(INDEX(INDIRECT("Data!C"&amp;'1-Year'!$K$4,FALSE),MATCH(K1070,Data!$A:$A,0)),NA())</f>
        <v>#N/A</v>
      </c>
    </row>
    <row r="1071" spans="11:12" x14ac:dyDescent="0.2">
      <c r="K1071" s="56" t="e">
        <f t="shared" si="77"/>
        <v>#N/A</v>
      </c>
      <c r="L1071" s="41" t="e">
        <f ca="1">IFERROR(INDEX(INDIRECT("Data!C"&amp;'1-Year'!$K$4,FALSE),MATCH(K1071,Data!$A:$A,0)),NA())</f>
        <v>#N/A</v>
      </c>
    </row>
    <row r="1072" spans="11:12" x14ac:dyDescent="0.2">
      <c r="K1072" s="56" t="e">
        <f t="shared" si="77"/>
        <v>#N/A</v>
      </c>
      <c r="L1072" s="41" t="e">
        <f ca="1">IFERROR(INDEX(INDIRECT("Data!C"&amp;'1-Year'!$K$4,FALSE),MATCH(K1072,Data!$A:$A,0)),NA())</f>
        <v>#N/A</v>
      </c>
    </row>
    <row r="1073" spans="11:12" x14ac:dyDescent="0.2">
      <c r="K1073" s="56" t="e">
        <f t="shared" si="77"/>
        <v>#N/A</v>
      </c>
      <c r="L1073" s="41" t="e">
        <f ca="1">IFERROR(INDEX(INDIRECT("Data!C"&amp;'1-Year'!$K$4,FALSE),MATCH(K1073,Data!$A:$A,0)),NA())</f>
        <v>#N/A</v>
      </c>
    </row>
    <row r="1074" spans="11:12" x14ac:dyDescent="0.2">
      <c r="K1074" s="56" t="e">
        <f t="shared" si="77"/>
        <v>#N/A</v>
      </c>
      <c r="L1074" s="41" t="e">
        <f ca="1">IFERROR(INDEX(INDIRECT("Data!C"&amp;'1-Year'!$K$4,FALSE),MATCH(K1074,Data!$A:$A,0)),NA())</f>
        <v>#N/A</v>
      </c>
    </row>
    <row r="1075" spans="11:12" x14ac:dyDescent="0.2">
      <c r="K1075" s="56" t="e">
        <f t="shared" si="77"/>
        <v>#N/A</v>
      </c>
      <c r="L1075" s="41" t="e">
        <f ca="1">IFERROR(INDEX(INDIRECT("Data!C"&amp;'1-Year'!$K$4,FALSE),MATCH(K1075,Data!$A:$A,0)),NA())</f>
        <v>#N/A</v>
      </c>
    </row>
    <row r="1076" spans="11:12" x14ac:dyDescent="0.2">
      <c r="K1076" s="56" t="e">
        <f t="shared" si="77"/>
        <v>#N/A</v>
      </c>
      <c r="L1076" s="41" t="e">
        <f ca="1">IFERROR(INDEX(INDIRECT("Data!C"&amp;'1-Year'!$K$4,FALSE),MATCH(K1076,Data!$A:$A,0)),NA())</f>
        <v>#N/A</v>
      </c>
    </row>
    <row r="1077" spans="11:12" x14ac:dyDescent="0.2">
      <c r="K1077" s="56" t="e">
        <f t="shared" si="77"/>
        <v>#N/A</v>
      </c>
      <c r="L1077" s="41" t="e">
        <f ca="1">IFERROR(INDEX(INDIRECT("Data!C"&amp;'1-Year'!$K$4,FALSE),MATCH(K1077,Data!$A:$A,0)),NA())</f>
        <v>#N/A</v>
      </c>
    </row>
    <row r="1078" spans="11:12" x14ac:dyDescent="0.2">
      <c r="K1078" s="56" t="e">
        <f t="shared" si="77"/>
        <v>#N/A</v>
      </c>
      <c r="L1078" s="41" t="e">
        <f ca="1">IFERROR(INDEX(INDIRECT("Data!C"&amp;'1-Year'!$K$4,FALSE),MATCH(K1078,Data!$A:$A,0)),NA())</f>
        <v>#N/A</v>
      </c>
    </row>
    <row r="1079" spans="11:12" x14ac:dyDescent="0.2">
      <c r="K1079" s="56" t="e">
        <f t="shared" si="77"/>
        <v>#N/A</v>
      </c>
      <c r="L1079" s="41" t="e">
        <f ca="1">IFERROR(INDEX(INDIRECT("Data!C"&amp;'1-Year'!$K$4,FALSE),MATCH(K1079,Data!$A:$A,0)),NA())</f>
        <v>#N/A</v>
      </c>
    </row>
    <row r="1080" spans="11:12" x14ac:dyDescent="0.2">
      <c r="K1080" s="56" t="e">
        <f t="shared" si="77"/>
        <v>#N/A</v>
      </c>
      <c r="L1080" s="41" t="e">
        <f ca="1">IFERROR(INDEX(INDIRECT("Data!C"&amp;'1-Year'!$K$4,FALSE),MATCH(K1080,Data!$A:$A,0)),NA())</f>
        <v>#N/A</v>
      </c>
    </row>
    <row r="1081" spans="11:12" x14ac:dyDescent="0.2">
      <c r="K1081" s="56" t="e">
        <f t="shared" si="77"/>
        <v>#N/A</v>
      </c>
      <c r="L1081" s="41" t="e">
        <f ca="1">IFERROR(INDEX(INDIRECT("Data!C"&amp;'1-Year'!$K$4,FALSE),MATCH(K1081,Data!$A:$A,0)),NA())</f>
        <v>#N/A</v>
      </c>
    </row>
    <row r="1082" spans="11:12" x14ac:dyDescent="0.2">
      <c r="K1082" s="56" t="e">
        <f t="shared" si="77"/>
        <v>#N/A</v>
      </c>
      <c r="L1082" s="41" t="e">
        <f ca="1">IFERROR(INDEX(INDIRECT("Data!C"&amp;'1-Year'!$K$4,FALSE),MATCH(K1082,Data!$A:$A,0)),NA())</f>
        <v>#N/A</v>
      </c>
    </row>
    <row r="1083" spans="11:12" x14ac:dyDescent="0.2">
      <c r="K1083" s="56" t="e">
        <f t="shared" si="77"/>
        <v>#N/A</v>
      </c>
      <c r="L1083" s="41" t="e">
        <f ca="1">IFERROR(INDEX(INDIRECT("Data!C"&amp;'1-Year'!$K$4,FALSE),MATCH(K1083,Data!$A:$A,0)),NA())</f>
        <v>#N/A</v>
      </c>
    </row>
    <row r="1084" spans="11:12" x14ac:dyDescent="0.2">
      <c r="K1084" s="56" t="e">
        <f t="shared" si="77"/>
        <v>#N/A</v>
      </c>
      <c r="L1084" s="41" t="e">
        <f ca="1">IFERROR(INDEX(INDIRECT("Data!C"&amp;'1-Year'!$K$4,FALSE),MATCH(K1084,Data!$A:$A,0)),NA())</f>
        <v>#N/A</v>
      </c>
    </row>
    <row r="1085" spans="11:12" x14ac:dyDescent="0.2">
      <c r="K1085" s="56" t="e">
        <f t="shared" si="77"/>
        <v>#N/A</v>
      </c>
      <c r="L1085" s="41" t="e">
        <f ca="1">IFERROR(INDEX(INDIRECT("Data!C"&amp;'1-Year'!$K$4,FALSE),MATCH(K1085,Data!$A:$A,0)),NA())</f>
        <v>#N/A</v>
      </c>
    </row>
    <row r="1086" spans="11:12" x14ac:dyDescent="0.2">
      <c r="K1086" s="56" t="e">
        <f t="shared" si="77"/>
        <v>#N/A</v>
      </c>
      <c r="L1086" s="41" t="e">
        <f ca="1">IFERROR(INDEX(INDIRECT("Data!C"&amp;'1-Year'!$K$4,FALSE),MATCH(K1086,Data!$A:$A,0)),NA())</f>
        <v>#N/A</v>
      </c>
    </row>
    <row r="1087" spans="11:12" x14ac:dyDescent="0.2">
      <c r="K1087" s="56" t="e">
        <f t="shared" si="77"/>
        <v>#N/A</v>
      </c>
      <c r="L1087" s="41" t="e">
        <f ca="1">IFERROR(INDEX(INDIRECT("Data!C"&amp;'1-Year'!$K$4,FALSE),MATCH(K1087,Data!$A:$A,0)),NA())</f>
        <v>#N/A</v>
      </c>
    </row>
    <row r="1088" spans="11:12" x14ac:dyDescent="0.2">
      <c r="K1088" s="56" t="e">
        <f t="shared" si="77"/>
        <v>#N/A</v>
      </c>
      <c r="L1088" s="41" t="e">
        <f ca="1">IFERROR(INDEX(INDIRECT("Data!C"&amp;'1-Year'!$K$4,FALSE),MATCH(K1088,Data!$A:$A,0)),NA())</f>
        <v>#N/A</v>
      </c>
    </row>
    <row r="1089" spans="11:12" x14ac:dyDescent="0.2">
      <c r="K1089" s="56" t="e">
        <f t="shared" si="77"/>
        <v>#N/A</v>
      </c>
      <c r="L1089" s="41" t="e">
        <f ca="1">IFERROR(INDEX(INDIRECT("Data!C"&amp;'1-Year'!$K$4,FALSE),MATCH(K1089,Data!$A:$A,0)),NA())</f>
        <v>#N/A</v>
      </c>
    </row>
    <row r="1090" spans="11:12" x14ac:dyDescent="0.2">
      <c r="K1090" s="56" t="e">
        <f t="shared" si="77"/>
        <v>#N/A</v>
      </c>
      <c r="L1090" s="41" t="e">
        <f ca="1">IFERROR(INDEX(INDIRECT("Data!C"&amp;'1-Year'!$K$4,FALSE),MATCH(K1090,Data!$A:$A,0)),NA())</f>
        <v>#N/A</v>
      </c>
    </row>
    <row r="1091" spans="11:12" x14ac:dyDescent="0.2">
      <c r="K1091" s="56" t="e">
        <f t="shared" si="77"/>
        <v>#N/A</v>
      </c>
      <c r="L1091" s="41" t="e">
        <f ca="1">IFERROR(INDEX(INDIRECT("Data!C"&amp;'1-Year'!$K$4,FALSE),MATCH(K1091,Data!$A:$A,0)),NA())</f>
        <v>#N/A</v>
      </c>
    </row>
    <row r="1092" spans="11:12" x14ac:dyDescent="0.2">
      <c r="K1092" s="56" t="e">
        <f t="shared" si="77"/>
        <v>#N/A</v>
      </c>
      <c r="L1092" s="41" t="e">
        <f ca="1">IFERROR(INDEX(INDIRECT("Data!C"&amp;'1-Year'!$K$4,FALSE),MATCH(K1092,Data!$A:$A,0)),NA())</f>
        <v>#N/A</v>
      </c>
    </row>
    <row r="1093" spans="11:12" x14ac:dyDescent="0.2">
      <c r="K1093" s="56" t="e">
        <f t="shared" ref="K1093:K1156" si="78">IF(K1092+1&lt;=$C$7,K1092+1,NA())</f>
        <v>#N/A</v>
      </c>
      <c r="L1093" s="41" t="e">
        <f ca="1">IFERROR(INDEX(INDIRECT("Data!C"&amp;'1-Year'!$K$4,FALSE),MATCH(K1093,Data!$A:$A,0)),NA())</f>
        <v>#N/A</v>
      </c>
    </row>
    <row r="1094" spans="11:12" x14ac:dyDescent="0.2">
      <c r="K1094" s="56" t="e">
        <f t="shared" si="78"/>
        <v>#N/A</v>
      </c>
      <c r="L1094" s="41" t="e">
        <f ca="1">IFERROR(INDEX(INDIRECT("Data!C"&amp;'1-Year'!$K$4,FALSE),MATCH(K1094,Data!$A:$A,0)),NA())</f>
        <v>#N/A</v>
      </c>
    </row>
    <row r="1095" spans="11:12" x14ac:dyDescent="0.2">
      <c r="K1095" s="56" t="e">
        <f t="shared" si="78"/>
        <v>#N/A</v>
      </c>
      <c r="L1095" s="41" t="e">
        <f ca="1">IFERROR(INDEX(INDIRECT("Data!C"&amp;'1-Year'!$K$4,FALSE),MATCH(K1095,Data!$A:$A,0)),NA())</f>
        <v>#N/A</v>
      </c>
    </row>
    <row r="1096" spans="11:12" x14ac:dyDescent="0.2">
      <c r="K1096" s="56" t="e">
        <f t="shared" si="78"/>
        <v>#N/A</v>
      </c>
      <c r="L1096" s="41" t="e">
        <f ca="1">IFERROR(INDEX(INDIRECT("Data!C"&amp;'1-Year'!$K$4,FALSE),MATCH(K1096,Data!$A:$A,0)),NA())</f>
        <v>#N/A</v>
      </c>
    </row>
    <row r="1097" spans="11:12" x14ac:dyDescent="0.2">
      <c r="K1097" s="56" t="e">
        <f t="shared" si="78"/>
        <v>#N/A</v>
      </c>
      <c r="L1097" s="41" t="e">
        <f ca="1">IFERROR(INDEX(INDIRECT("Data!C"&amp;'1-Year'!$K$4,FALSE),MATCH(K1097,Data!$A:$A,0)),NA())</f>
        <v>#N/A</v>
      </c>
    </row>
    <row r="1098" spans="11:12" x14ac:dyDescent="0.2">
      <c r="K1098" s="56" t="e">
        <f t="shared" si="78"/>
        <v>#N/A</v>
      </c>
      <c r="L1098" s="41" t="e">
        <f ca="1">IFERROR(INDEX(INDIRECT("Data!C"&amp;'1-Year'!$K$4,FALSE),MATCH(K1098,Data!$A:$A,0)),NA())</f>
        <v>#N/A</v>
      </c>
    </row>
    <row r="1099" spans="11:12" x14ac:dyDescent="0.2">
      <c r="K1099" s="56" t="e">
        <f t="shared" si="78"/>
        <v>#N/A</v>
      </c>
      <c r="L1099" s="41" t="e">
        <f ca="1">IFERROR(INDEX(INDIRECT("Data!C"&amp;'1-Year'!$K$4,FALSE),MATCH(K1099,Data!$A:$A,0)),NA())</f>
        <v>#N/A</v>
      </c>
    </row>
    <row r="1100" spans="11:12" x14ac:dyDescent="0.2">
      <c r="K1100" s="56" t="e">
        <f t="shared" si="78"/>
        <v>#N/A</v>
      </c>
      <c r="L1100" s="41" t="e">
        <f ca="1">IFERROR(INDEX(INDIRECT("Data!C"&amp;'1-Year'!$K$4,FALSE),MATCH(K1100,Data!$A:$A,0)),NA())</f>
        <v>#N/A</v>
      </c>
    </row>
    <row r="1101" spans="11:12" x14ac:dyDescent="0.2">
      <c r="K1101" s="56" t="e">
        <f t="shared" si="78"/>
        <v>#N/A</v>
      </c>
      <c r="L1101" s="41" t="e">
        <f ca="1">IFERROR(INDEX(INDIRECT("Data!C"&amp;'1-Year'!$K$4,FALSE),MATCH(K1101,Data!$A:$A,0)),NA())</f>
        <v>#N/A</v>
      </c>
    </row>
    <row r="1102" spans="11:12" x14ac:dyDescent="0.2">
      <c r="K1102" s="56" t="e">
        <f t="shared" si="78"/>
        <v>#N/A</v>
      </c>
      <c r="L1102" s="41" t="e">
        <f ca="1">IFERROR(INDEX(INDIRECT("Data!C"&amp;'1-Year'!$K$4,FALSE),MATCH(K1102,Data!$A:$A,0)),NA())</f>
        <v>#N/A</v>
      </c>
    </row>
    <row r="1103" spans="11:12" x14ac:dyDescent="0.2">
      <c r="K1103" s="56" t="e">
        <f t="shared" si="78"/>
        <v>#N/A</v>
      </c>
      <c r="L1103" s="41" t="e">
        <f ca="1">IFERROR(INDEX(INDIRECT("Data!C"&amp;'1-Year'!$K$4,FALSE),MATCH(K1103,Data!$A:$A,0)),NA())</f>
        <v>#N/A</v>
      </c>
    </row>
    <row r="1104" spans="11:12" x14ac:dyDescent="0.2">
      <c r="K1104" s="56" t="e">
        <f t="shared" si="78"/>
        <v>#N/A</v>
      </c>
      <c r="L1104" s="41" t="e">
        <f ca="1">IFERROR(INDEX(INDIRECT("Data!C"&amp;'1-Year'!$K$4,FALSE),MATCH(K1104,Data!$A:$A,0)),NA())</f>
        <v>#N/A</v>
      </c>
    </row>
    <row r="1105" spans="11:12" x14ac:dyDescent="0.2">
      <c r="K1105" s="56" t="e">
        <f t="shared" si="78"/>
        <v>#N/A</v>
      </c>
      <c r="L1105" s="41" t="e">
        <f ca="1">IFERROR(INDEX(INDIRECT("Data!C"&amp;'1-Year'!$K$4,FALSE),MATCH(K1105,Data!$A:$A,0)),NA())</f>
        <v>#N/A</v>
      </c>
    </row>
    <row r="1106" spans="11:12" x14ac:dyDescent="0.2">
      <c r="K1106" s="56" t="e">
        <f t="shared" si="78"/>
        <v>#N/A</v>
      </c>
      <c r="L1106" s="41" t="e">
        <f ca="1">IFERROR(INDEX(INDIRECT("Data!C"&amp;'1-Year'!$K$4,FALSE),MATCH(K1106,Data!$A:$A,0)),NA())</f>
        <v>#N/A</v>
      </c>
    </row>
    <row r="1107" spans="11:12" x14ac:dyDescent="0.2">
      <c r="K1107" s="56" t="e">
        <f t="shared" si="78"/>
        <v>#N/A</v>
      </c>
      <c r="L1107" s="41" t="e">
        <f ca="1">IFERROR(INDEX(INDIRECT("Data!C"&amp;'1-Year'!$K$4,FALSE),MATCH(K1107,Data!$A:$A,0)),NA())</f>
        <v>#N/A</v>
      </c>
    </row>
    <row r="1108" spans="11:12" x14ac:dyDescent="0.2">
      <c r="K1108" s="56" t="e">
        <f t="shared" si="78"/>
        <v>#N/A</v>
      </c>
      <c r="L1108" s="41" t="e">
        <f ca="1">IFERROR(INDEX(INDIRECT("Data!C"&amp;'1-Year'!$K$4,FALSE),MATCH(K1108,Data!$A:$A,0)),NA())</f>
        <v>#N/A</v>
      </c>
    </row>
    <row r="1109" spans="11:12" x14ac:dyDescent="0.2">
      <c r="K1109" s="56" t="e">
        <f t="shared" si="78"/>
        <v>#N/A</v>
      </c>
      <c r="L1109" s="41" t="e">
        <f ca="1">IFERROR(INDEX(INDIRECT("Data!C"&amp;'1-Year'!$K$4,FALSE),MATCH(K1109,Data!$A:$A,0)),NA())</f>
        <v>#N/A</v>
      </c>
    </row>
    <row r="1110" spans="11:12" x14ac:dyDescent="0.2">
      <c r="K1110" s="56" t="e">
        <f t="shared" si="78"/>
        <v>#N/A</v>
      </c>
      <c r="L1110" s="41" t="e">
        <f ca="1">IFERROR(INDEX(INDIRECT("Data!C"&amp;'1-Year'!$K$4,FALSE),MATCH(K1110,Data!$A:$A,0)),NA())</f>
        <v>#N/A</v>
      </c>
    </row>
    <row r="1111" spans="11:12" x14ac:dyDescent="0.2">
      <c r="K1111" s="56" t="e">
        <f t="shared" si="78"/>
        <v>#N/A</v>
      </c>
      <c r="L1111" s="41" t="e">
        <f ca="1">IFERROR(INDEX(INDIRECT("Data!C"&amp;'1-Year'!$K$4,FALSE),MATCH(K1111,Data!$A:$A,0)),NA())</f>
        <v>#N/A</v>
      </c>
    </row>
    <row r="1112" spans="11:12" x14ac:dyDescent="0.2">
      <c r="K1112" s="56" t="e">
        <f t="shared" si="78"/>
        <v>#N/A</v>
      </c>
      <c r="L1112" s="41" t="e">
        <f ca="1">IFERROR(INDEX(INDIRECT("Data!C"&amp;'1-Year'!$K$4,FALSE),MATCH(K1112,Data!$A:$A,0)),NA())</f>
        <v>#N/A</v>
      </c>
    </row>
    <row r="1113" spans="11:12" x14ac:dyDescent="0.2">
      <c r="K1113" s="56" t="e">
        <f t="shared" si="78"/>
        <v>#N/A</v>
      </c>
      <c r="L1113" s="41" t="e">
        <f ca="1">IFERROR(INDEX(INDIRECT("Data!C"&amp;'1-Year'!$K$4,FALSE),MATCH(K1113,Data!$A:$A,0)),NA())</f>
        <v>#N/A</v>
      </c>
    </row>
    <row r="1114" spans="11:12" x14ac:dyDescent="0.2">
      <c r="K1114" s="56" t="e">
        <f t="shared" si="78"/>
        <v>#N/A</v>
      </c>
      <c r="L1114" s="41" t="e">
        <f ca="1">IFERROR(INDEX(INDIRECT("Data!C"&amp;'1-Year'!$K$4,FALSE),MATCH(K1114,Data!$A:$A,0)),NA())</f>
        <v>#N/A</v>
      </c>
    </row>
    <row r="1115" spans="11:12" x14ac:dyDescent="0.2">
      <c r="K1115" s="56" t="e">
        <f t="shared" si="78"/>
        <v>#N/A</v>
      </c>
      <c r="L1115" s="41" t="e">
        <f ca="1">IFERROR(INDEX(INDIRECT("Data!C"&amp;'1-Year'!$K$4,FALSE),MATCH(K1115,Data!$A:$A,0)),NA())</f>
        <v>#N/A</v>
      </c>
    </row>
    <row r="1116" spans="11:12" x14ac:dyDescent="0.2">
      <c r="K1116" s="56" t="e">
        <f t="shared" si="78"/>
        <v>#N/A</v>
      </c>
      <c r="L1116" s="41" t="e">
        <f ca="1">IFERROR(INDEX(INDIRECT("Data!C"&amp;'1-Year'!$K$4,FALSE),MATCH(K1116,Data!$A:$A,0)),NA())</f>
        <v>#N/A</v>
      </c>
    </row>
    <row r="1117" spans="11:12" x14ac:dyDescent="0.2">
      <c r="K1117" s="56" t="e">
        <f t="shared" si="78"/>
        <v>#N/A</v>
      </c>
      <c r="L1117" s="41" t="e">
        <f ca="1">IFERROR(INDEX(INDIRECT("Data!C"&amp;'1-Year'!$K$4,FALSE),MATCH(K1117,Data!$A:$A,0)),NA())</f>
        <v>#N/A</v>
      </c>
    </row>
    <row r="1118" spans="11:12" x14ac:dyDescent="0.2">
      <c r="K1118" s="56" t="e">
        <f t="shared" si="78"/>
        <v>#N/A</v>
      </c>
      <c r="L1118" s="41" t="e">
        <f ca="1">IFERROR(INDEX(INDIRECT("Data!C"&amp;'1-Year'!$K$4,FALSE),MATCH(K1118,Data!$A:$A,0)),NA())</f>
        <v>#N/A</v>
      </c>
    </row>
    <row r="1119" spans="11:12" x14ac:dyDescent="0.2">
      <c r="K1119" s="56" t="e">
        <f t="shared" si="78"/>
        <v>#N/A</v>
      </c>
      <c r="L1119" s="41" t="e">
        <f ca="1">IFERROR(INDEX(INDIRECT("Data!C"&amp;'1-Year'!$K$4,FALSE),MATCH(K1119,Data!$A:$A,0)),NA())</f>
        <v>#N/A</v>
      </c>
    </row>
    <row r="1120" spans="11:12" x14ac:dyDescent="0.2">
      <c r="K1120" s="56" t="e">
        <f t="shared" si="78"/>
        <v>#N/A</v>
      </c>
      <c r="L1120" s="41" t="e">
        <f ca="1">IFERROR(INDEX(INDIRECT("Data!C"&amp;'1-Year'!$K$4,FALSE),MATCH(K1120,Data!$A:$A,0)),NA())</f>
        <v>#N/A</v>
      </c>
    </row>
    <row r="1121" spans="11:12" x14ac:dyDescent="0.2">
      <c r="K1121" s="56" t="e">
        <f t="shared" si="78"/>
        <v>#N/A</v>
      </c>
      <c r="L1121" s="41" t="e">
        <f ca="1">IFERROR(INDEX(INDIRECT("Data!C"&amp;'1-Year'!$K$4,FALSE),MATCH(K1121,Data!$A:$A,0)),NA())</f>
        <v>#N/A</v>
      </c>
    </row>
    <row r="1122" spans="11:12" x14ac:dyDescent="0.2">
      <c r="K1122" s="56" t="e">
        <f t="shared" si="78"/>
        <v>#N/A</v>
      </c>
      <c r="L1122" s="41" t="e">
        <f ca="1">IFERROR(INDEX(INDIRECT("Data!C"&amp;'1-Year'!$K$4,FALSE),MATCH(K1122,Data!$A:$A,0)),NA())</f>
        <v>#N/A</v>
      </c>
    </row>
    <row r="1123" spans="11:12" x14ac:dyDescent="0.2">
      <c r="K1123" s="56" t="e">
        <f t="shared" si="78"/>
        <v>#N/A</v>
      </c>
      <c r="L1123" s="41" t="e">
        <f ca="1">IFERROR(INDEX(INDIRECT("Data!C"&amp;'1-Year'!$K$4,FALSE),MATCH(K1123,Data!$A:$A,0)),NA())</f>
        <v>#N/A</v>
      </c>
    </row>
    <row r="1124" spans="11:12" x14ac:dyDescent="0.2">
      <c r="K1124" s="56" t="e">
        <f t="shared" si="78"/>
        <v>#N/A</v>
      </c>
      <c r="L1124" s="41" t="e">
        <f ca="1">IFERROR(INDEX(INDIRECT("Data!C"&amp;'1-Year'!$K$4,FALSE),MATCH(K1124,Data!$A:$A,0)),NA())</f>
        <v>#N/A</v>
      </c>
    </row>
    <row r="1125" spans="11:12" x14ac:dyDescent="0.2">
      <c r="K1125" s="56" t="e">
        <f t="shared" si="78"/>
        <v>#N/A</v>
      </c>
      <c r="L1125" s="41" t="e">
        <f ca="1">IFERROR(INDEX(INDIRECT("Data!C"&amp;'1-Year'!$K$4,FALSE),MATCH(K1125,Data!$A:$A,0)),NA())</f>
        <v>#N/A</v>
      </c>
    </row>
    <row r="1126" spans="11:12" x14ac:dyDescent="0.2">
      <c r="K1126" s="56" t="e">
        <f t="shared" si="78"/>
        <v>#N/A</v>
      </c>
      <c r="L1126" s="41" t="e">
        <f ca="1">IFERROR(INDEX(INDIRECT("Data!C"&amp;'1-Year'!$K$4,FALSE),MATCH(K1126,Data!$A:$A,0)),NA())</f>
        <v>#N/A</v>
      </c>
    </row>
    <row r="1127" spans="11:12" x14ac:dyDescent="0.2">
      <c r="K1127" s="56" t="e">
        <f t="shared" si="78"/>
        <v>#N/A</v>
      </c>
      <c r="L1127" s="41" t="e">
        <f ca="1">IFERROR(INDEX(INDIRECT("Data!C"&amp;'1-Year'!$K$4,FALSE),MATCH(K1127,Data!$A:$A,0)),NA())</f>
        <v>#N/A</v>
      </c>
    </row>
    <row r="1128" spans="11:12" x14ac:dyDescent="0.2">
      <c r="K1128" s="56" t="e">
        <f t="shared" si="78"/>
        <v>#N/A</v>
      </c>
      <c r="L1128" s="41" t="e">
        <f ca="1">IFERROR(INDEX(INDIRECT("Data!C"&amp;'1-Year'!$K$4,FALSE),MATCH(K1128,Data!$A:$A,0)),NA())</f>
        <v>#N/A</v>
      </c>
    </row>
    <row r="1129" spans="11:12" x14ac:dyDescent="0.2">
      <c r="K1129" s="56" t="e">
        <f t="shared" si="78"/>
        <v>#N/A</v>
      </c>
      <c r="L1129" s="41" t="e">
        <f ca="1">IFERROR(INDEX(INDIRECT("Data!C"&amp;'1-Year'!$K$4,FALSE),MATCH(K1129,Data!$A:$A,0)),NA())</f>
        <v>#N/A</v>
      </c>
    </row>
    <row r="1130" spans="11:12" x14ac:dyDescent="0.2">
      <c r="K1130" s="56" t="e">
        <f t="shared" si="78"/>
        <v>#N/A</v>
      </c>
      <c r="L1130" s="41" t="e">
        <f ca="1">IFERROR(INDEX(INDIRECT("Data!C"&amp;'1-Year'!$K$4,FALSE),MATCH(K1130,Data!$A:$A,0)),NA())</f>
        <v>#N/A</v>
      </c>
    </row>
    <row r="1131" spans="11:12" x14ac:dyDescent="0.2">
      <c r="K1131" s="56" t="e">
        <f t="shared" si="78"/>
        <v>#N/A</v>
      </c>
      <c r="L1131" s="41" t="e">
        <f ca="1">IFERROR(INDEX(INDIRECT("Data!C"&amp;'1-Year'!$K$4,FALSE),MATCH(K1131,Data!$A:$A,0)),NA())</f>
        <v>#N/A</v>
      </c>
    </row>
    <row r="1132" spans="11:12" x14ac:dyDescent="0.2">
      <c r="K1132" s="56" t="e">
        <f t="shared" si="78"/>
        <v>#N/A</v>
      </c>
      <c r="L1132" s="41" t="e">
        <f ca="1">IFERROR(INDEX(INDIRECT("Data!C"&amp;'1-Year'!$K$4,FALSE),MATCH(K1132,Data!$A:$A,0)),NA())</f>
        <v>#N/A</v>
      </c>
    </row>
    <row r="1133" spans="11:12" x14ac:dyDescent="0.2">
      <c r="K1133" s="56" t="e">
        <f t="shared" si="78"/>
        <v>#N/A</v>
      </c>
      <c r="L1133" s="41" t="e">
        <f ca="1">IFERROR(INDEX(INDIRECT("Data!C"&amp;'1-Year'!$K$4,FALSE),MATCH(K1133,Data!$A:$A,0)),NA())</f>
        <v>#N/A</v>
      </c>
    </row>
    <row r="1134" spans="11:12" x14ac:dyDescent="0.2">
      <c r="K1134" s="56" t="e">
        <f t="shared" si="78"/>
        <v>#N/A</v>
      </c>
      <c r="L1134" s="41" t="e">
        <f ca="1">IFERROR(INDEX(INDIRECT("Data!C"&amp;'1-Year'!$K$4,FALSE),MATCH(K1134,Data!$A:$A,0)),NA())</f>
        <v>#N/A</v>
      </c>
    </row>
    <row r="1135" spans="11:12" x14ac:dyDescent="0.2">
      <c r="K1135" s="56" t="e">
        <f t="shared" si="78"/>
        <v>#N/A</v>
      </c>
      <c r="L1135" s="41" t="e">
        <f ca="1">IFERROR(INDEX(INDIRECT("Data!C"&amp;'1-Year'!$K$4,FALSE),MATCH(K1135,Data!$A:$A,0)),NA())</f>
        <v>#N/A</v>
      </c>
    </row>
    <row r="1136" spans="11:12" x14ac:dyDescent="0.2">
      <c r="K1136" s="56" t="e">
        <f t="shared" si="78"/>
        <v>#N/A</v>
      </c>
      <c r="L1136" s="41" t="e">
        <f ca="1">IFERROR(INDEX(INDIRECT("Data!C"&amp;'1-Year'!$K$4,FALSE),MATCH(K1136,Data!$A:$A,0)),NA())</f>
        <v>#N/A</v>
      </c>
    </row>
    <row r="1137" spans="11:12" x14ac:dyDescent="0.2">
      <c r="K1137" s="56" t="e">
        <f t="shared" si="78"/>
        <v>#N/A</v>
      </c>
      <c r="L1137" s="41" t="e">
        <f ca="1">IFERROR(INDEX(INDIRECT("Data!C"&amp;'1-Year'!$K$4,FALSE),MATCH(K1137,Data!$A:$A,0)),NA())</f>
        <v>#N/A</v>
      </c>
    </row>
    <row r="1138" spans="11:12" x14ac:dyDescent="0.2">
      <c r="K1138" s="56" t="e">
        <f t="shared" si="78"/>
        <v>#N/A</v>
      </c>
      <c r="L1138" s="41" t="e">
        <f ca="1">IFERROR(INDEX(INDIRECT("Data!C"&amp;'1-Year'!$K$4,FALSE),MATCH(K1138,Data!$A:$A,0)),NA())</f>
        <v>#N/A</v>
      </c>
    </row>
    <row r="1139" spans="11:12" x14ac:dyDescent="0.2">
      <c r="K1139" s="56" t="e">
        <f t="shared" si="78"/>
        <v>#N/A</v>
      </c>
      <c r="L1139" s="41" t="e">
        <f ca="1">IFERROR(INDEX(INDIRECT("Data!C"&amp;'1-Year'!$K$4,FALSE),MATCH(K1139,Data!$A:$A,0)),NA())</f>
        <v>#N/A</v>
      </c>
    </row>
    <row r="1140" spans="11:12" x14ac:dyDescent="0.2">
      <c r="K1140" s="56" t="e">
        <f t="shared" si="78"/>
        <v>#N/A</v>
      </c>
      <c r="L1140" s="41" t="e">
        <f ca="1">IFERROR(INDEX(INDIRECT("Data!C"&amp;'1-Year'!$K$4,FALSE),MATCH(K1140,Data!$A:$A,0)),NA())</f>
        <v>#N/A</v>
      </c>
    </row>
    <row r="1141" spans="11:12" x14ac:dyDescent="0.2">
      <c r="K1141" s="56" t="e">
        <f t="shared" si="78"/>
        <v>#N/A</v>
      </c>
      <c r="L1141" s="41" t="e">
        <f ca="1">IFERROR(INDEX(INDIRECT("Data!C"&amp;'1-Year'!$K$4,FALSE),MATCH(K1141,Data!$A:$A,0)),NA())</f>
        <v>#N/A</v>
      </c>
    </row>
    <row r="1142" spans="11:12" x14ac:dyDescent="0.2">
      <c r="K1142" s="56" t="e">
        <f t="shared" si="78"/>
        <v>#N/A</v>
      </c>
      <c r="L1142" s="41" t="e">
        <f ca="1">IFERROR(INDEX(INDIRECT("Data!C"&amp;'1-Year'!$K$4,FALSE),MATCH(K1142,Data!$A:$A,0)),NA())</f>
        <v>#N/A</v>
      </c>
    </row>
    <row r="1143" spans="11:12" x14ac:dyDescent="0.2">
      <c r="K1143" s="56" t="e">
        <f t="shared" si="78"/>
        <v>#N/A</v>
      </c>
      <c r="L1143" s="41" t="e">
        <f ca="1">IFERROR(INDEX(INDIRECT("Data!C"&amp;'1-Year'!$K$4,FALSE),MATCH(K1143,Data!$A:$A,0)),NA())</f>
        <v>#N/A</v>
      </c>
    </row>
    <row r="1144" spans="11:12" x14ac:dyDescent="0.2">
      <c r="K1144" s="56" t="e">
        <f t="shared" si="78"/>
        <v>#N/A</v>
      </c>
      <c r="L1144" s="41" t="e">
        <f ca="1">IFERROR(INDEX(INDIRECT("Data!C"&amp;'1-Year'!$K$4,FALSE),MATCH(K1144,Data!$A:$A,0)),NA())</f>
        <v>#N/A</v>
      </c>
    </row>
    <row r="1145" spans="11:12" x14ac:dyDescent="0.2">
      <c r="K1145" s="56" t="e">
        <f t="shared" si="78"/>
        <v>#N/A</v>
      </c>
      <c r="L1145" s="41" t="e">
        <f ca="1">IFERROR(INDEX(INDIRECT("Data!C"&amp;'1-Year'!$K$4,FALSE),MATCH(K1145,Data!$A:$A,0)),NA())</f>
        <v>#N/A</v>
      </c>
    </row>
    <row r="1146" spans="11:12" x14ac:dyDescent="0.2">
      <c r="K1146" s="56" t="e">
        <f t="shared" si="78"/>
        <v>#N/A</v>
      </c>
      <c r="L1146" s="41" t="e">
        <f ca="1">IFERROR(INDEX(INDIRECT("Data!C"&amp;'1-Year'!$K$4,FALSE),MATCH(K1146,Data!$A:$A,0)),NA())</f>
        <v>#N/A</v>
      </c>
    </row>
    <row r="1147" spans="11:12" x14ac:dyDescent="0.2">
      <c r="K1147" s="56" t="e">
        <f t="shared" si="78"/>
        <v>#N/A</v>
      </c>
      <c r="L1147" s="41" t="e">
        <f ca="1">IFERROR(INDEX(INDIRECT("Data!C"&amp;'1-Year'!$K$4,FALSE),MATCH(K1147,Data!$A:$A,0)),NA())</f>
        <v>#N/A</v>
      </c>
    </row>
    <row r="1148" spans="11:12" x14ac:dyDescent="0.2">
      <c r="K1148" s="56" t="e">
        <f t="shared" si="78"/>
        <v>#N/A</v>
      </c>
      <c r="L1148" s="41" t="e">
        <f ca="1">IFERROR(INDEX(INDIRECT("Data!C"&amp;'1-Year'!$K$4,FALSE),MATCH(K1148,Data!$A:$A,0)),NA())</f>
        <v>#N/A</v>
      </c>
    </row>
    <row r="1149" spans="11:12" x14ac:dyDescent="0.2">
      <c r="K1149" s="56" t="e">
        <f t="shared" si="78"/>
        <v>#N/A</v>
      </c>
      <c r="L1149" s="41" t="e">
        <f ca="1">IFERROR(INDEX(INDIRECT("Data!C"&amp;'1-Year'!$K$4,FALSE),MATCH(K1149,Data!$A:$A,0)),NA())</f>
        <v>#N/A</v>
      </c>
    </row>
    <row r="1150" spans="11:12" x14ac:dyDescent="0.2">
      <c r="K1150" s="56" t="e">
        <f t="shared" si="78"/>
        <v>#N/A</v>
      </c>
      <c r="L1150" s="41" t="e">
        <f ca="1">IFERROR(INDEX(INDIRECT("Data!C"&amp;'1-Year'!$K$4,FALSE),MATCH(K1150,Data!$A:$A,0)),NA())</f>
        <v>#N/A</v>
      </c>
    </row>
    <row r="1151" spans="11:12" x14ac:dyDescent="0.2">
      <c r="K1151" s="56" t="e">
        <f t="shared" si="78"/>
        <v>#N/A</v>
      </c>
      <c r="L1151" s="41" t="e">
        <f ca="1">IFERROR(INDEX(INDIRECT("Data!C"&amp;'1-Year'!$K$4,FALSE),MATCH(K1151,Data!$A:$A,0)),NA())</f>
        <v>#N/A</v>
      </c>
    </row>
    <row r="1152" spans="11:12" x14ac:dyDescent="0.2">
      <c r="K1152" s="56" t="e">
        <f t="shared" si="78"/>
        <v>#N/A</v>
      </c>
      <c r="L1152" s="41" t="e">
        <f ca="1">IFERROR(INDEX(INDIRECT("Data!C"&amp;'1-Year'!$K$4,FALSE),MATCH(K1152,Data!$A:$A,0)),NA())</f>
        <v>#N/A</v>
      </c>
    </row>
    <row r="1153" spans="11:12" x14ac:dyDescent="0.2">
      <c r="K1153" s="56" t="e">
        <f t="shared" si="78"/>
        <v>#N/A</v>
      </c>
      <c r="L1153" s="41" t="e">
        <f ca="1">IFERROR(INDEX(INDIRECT("Data!C"&amp;'1-Year'!$K$4,FALSE),MATCH(K1153,Data!$A:$A,0)),NA())</f>
        <v>#N/A</v>
      </c>
    </row>
    <row r="1154" spans="11:12" x14ac:dyDescent="0.2">
      <c r="K1154" s="56" t="e">
        <f t="shared" si="78"/>
        <v>#N/A</v>
      </c>
      <c r="L1154" s="41" t="e">
        <f ca="1">IFERROR(INDEX(INDIRECT("Data!C"&amp;'1-Year'!$K$4,FALSE),MATCH(K1154,Data!$A:$A,0)),NA())</f>
        <v>#N/A</v>
      </c>
    </row>
    <row r="1155" spans="11:12" x14ac:dyDescent="0.2">
      <c r="K1155" s="56" t="e">
        <f t="shared" si="78"/>
        <v>#N/A</v>
      </c>
      <c r="L1155" s="41" t="e">
        <f ca="1">IFERROR(INDEX(INDIRECT("Data!C"&amp;'1-Year'!$K$4,FALSE),MATCH(K1155,Data!$A:$A,0)),NA())</f>
        <v>#N/A</v>
      </c>
    </row>
    <row r="1156" spans="11:12" x14ac:dyDescent="0.2">
      <c r="K1156" s="56" t="e">
        <f t="shared" si="78"/>
        <v>#N/A</v>
      </c>
      <c r="L1156" s="41" t="e">
        <f ca="1">IFERROR(INDEX(INDIRECT("Data!C"&amp;'1-Year'!$K$4,FALSE),MATCH(K1156,Data!$A:$A,0)),NA())</f>
        <v>#N/A</v>
      </c>
    </row>
    <row r="1157" spans="11:12" x14ac:dyDescent="0.2">
      <c r="K1157" s="56" t="e">
        <f t="shared" ref="K1157:K1220" si="79">IF(K1156+1&lt;=$C$7,K1156+1,NA())</f>
        <v>#N/A</v>
      </c>
      <c r="L1157" s="41" t="e">
        <f ca="1">IFERROR(INDEX(INDIRECT("Data!C"&amp;'1-Year'!$K$4,FALSE),MATCH(K1157,Data!$A:$A,0)),NA())</f>
        <v>#N/A</v>
      </c>
    </row>
    <row r="1158" spans="11:12" x14ac:dyDescent="0.2">
      <c r="K1158" s="56" t="e">
        <f t="shared" si="79"/>
        <v>#N/A</v>
      </c>
      <c r="L1158" s="41" t="e">
        <f ca="1">IFERROR(INDEX(INDIRECT("Data!C"&amp;'1-Year'!$K$4,FALSE),MATCH(K1158,Data!$A:$A,0)),NA())</f>
        <v>#N/A</v>
      </c>
    </row>
    <row r="1159" spans="11:12" x14ac:dyDescent="0.2">
      <c r="K1159" s="56" t="e">
        <f t="shared" si="79"/>
        <v>#N/A</v>
      </c>
      <c r="L1159" s="41" t="e">
        <f ca="1">IFERROR(INDEX(INDIRECT("Data!C"&amp;'1-Year'!$K$4,FALSE),MATCH(K1159,Data!$A:$A,0)),NA())</f>
        <v>#N/A</v>
      </c>
    </row>
    <row r="1160" spans="11:12" x14ac:dyDescent="0.2">
      <c r="K1160" s="56" t="e">
        <f t="shared" si="79"/>
        <v>#N/A</v>
      </c>
      <c r="L1160" s="41" t="e">
        <f ca="1">IFERROR(INDEX(INDIRECT("Data!C"&amp;'1-Year'!$K$4,FALSE),MATCH(K1160,Data!$A:$A,0)),NA())</f>
        <v>#N/A</v>
      </c>
    </row>
    <row r="1161" spans="11:12" x14ac:dyDescent="0.2">
      <c r="K1161" s="56" t="e">
        <f t="shared" si="79"/>
        <v>#N/A</v>
      </c>
      <c r="L1161" s="41" t="e">
        <f ca="1">IFERROR(INDEX(INDIRECT("Data!C"&amp;'1-Year'!$K$4,FALSE),MATCH(K1161,Data!$A:$A,0)),NA())</f>
        <v>#N/A</v>
      </c>
    </row>
    <row r="1162" spans="11:12" x14ac:dyDescent="0.2">
      <c r="K1162" s="56" t="e">
        <f t="shared" si="79"/>
        <v>#N/A</v>
      </c>
      <c r="L1162" s="41" t="e">
        <f ca="1">IFERROR(INDEX(INDIRECT("Data!C"&amp;'1-Year'!$K$4,FALSE),MATCH(K1162,Data!$A:$A,0)),NA())</f>
        <v>#N/A</v>
      </c>
    </row>
    <row r="1163" spans="11:12" x14ac:dyDescent="0.2">
      <c r="K1163" s="56" t="e">
        <f t="shared" si="79"/>
        <v>#N/A</v>
      </c>
      <c r="L1163" s="41" t="e">
        <f ca="1">IFERROR(INDEX(INDIRECT("Data!C"&amp;'1-Year'!$K$4,FALSE),MATCH(K1163,Data!$A:$A,0)),NA())</f>
        <v>#N/A</v>
      </c>
    </row>
    <row r="1164" spans="11:12" x14ac:dyDescent="0.2">
      <c r="K1164" s="56" t="e">
        <f t="shared" si="79"/>
        <v>#N/A</v>
      </c>
      <c r="L1164" s="41" t="e">
        <f ca="1">IFERROR(INDEX(INDIRECT("Data!C"&amp;'1-Year'!$K$4,FALSE),MATCH(K1164,Data!$A:$A,0)),NA())</f>
        <v>#N/A</v>
      </c>
    </row>
    <row r="1165" spans="11:12" x14ac:dyDescent="0.2">
      <c r="K1165" s="56" t="e">
        <f t="shared" si="79"/>
        <v>#N/A</v>
      </c>
      <c r="L1165" s="41" t="e">
        <f ca="1">IFERROR(INDEX(INDIRECT("Data!C"&amp;'1-Year'!$K$4,FALSE),MATCH(K1165,Data!$A:$A,0)),NA())</f>
        <v>#N/A</v>
      </c>
    </row>
    <row r="1166" spans="11:12" x14ac:dyDescent="0.2">
      <c r="K1166" s="56" t="e">
        <f t="shared" si="79"/>
        <v>#N/A</v>
      </c>
      <c r="L1166" s="41" t="e">
        <f ca="1">IFERROR(INDEX(INDIRECT("Data!C"&amp;'1-Year'!$K$4,FALSE),MATCH(K1166,Data!$A:$A,0)),NA())</f>
        <v>#N/A</v>
      </c>
    </row>
    <row r="1167" spans="11:12" x14ac:dyDescent="0.2">
      <c r="K1167" s="56" t="e">
        <f t="shared" si="79"/>
        <v>#N/A</v>
      </c>
      <c r="L1167" s="41" t="e">
        <f ca="1">IFERROR(INDEX(INDIRECT("Data!C"&amp;'1-Year'!$K$4,FALSE),MATCH(K1167,Data!$A:$A,0)),NA())</f>
        <v>#N/A</v>
      </c>
    </row>
    <row r="1168" spans="11:12" x14ac:dyDescent="0.2">
      <c r="K1168" s="56" t="e">
        <f t="shared" si="79"/>
        <v>#N/A</v>
      </c>
      <c r="L1168" s="41" t="e">
        <f ca="1">IFERROR(INDEX(INDIRECT("Data!C"&amp;'1-Year'!$K$4,FALSE),MATCH(K1168,Data!$A:$A,0)),NA())</f>
        <v>#N/A</v>
      </c>
    </row>
    <row r="1169" spans="11:12" x14ac:dyDescent="0.2">
      <c r="K1169" s="56" t="e">
        <f t="shared" si="79"/>
        <v>#N/A</v>
      </c>
      <c r="L1169" s="41" t="e">
        <f ca="1">IFERROR(INDEX(INDIRECT("Data!C"&amp;'1-Year'!$K$4,FALSE),MATCH(K1169,Data!$A:$A,0)),NA())</f>
        <v>#N/A</v>
      </c>
    </row>
    <row r="1170" spans="11:12" x14ac:dyDescent="0.2">
      <c r="K1170" s="56" t="e">
        <f t="shared" si="79"/>
        <v>#N/A</v>
      </c>
      <c r="L1170" s="41" t="e">
        <f ca="1">IFERROR(INDEX(INDIRECT("Data!C"&amp;'1-Year'!$K$4,FALSE),MATCH(K1170,Data!$A:$A,0)),NA())</f>
        <v>#N/A</v>
      </c>
    </row>
    <row r="1171" spans="11:12" x14ac:dyDescent="0.2">
      <c r="K1171" s="56" t="e">
        <f t="shared" si="79"/>
        <v>#N/A</v>
      </c>
      <c r="L1171" s="41" t="e">
        <f ca="1">IFERROR(INDEX(INDIRECT("Data!C"&amp;'1-Year'!$K$4,FALSE),MATCH(K1171,Data!$A:$A,0)),NA())</f>
        <v>#N/A</v>
      </c>
    </row>
    <row r="1172" spans="11:12" x14ac:dyDescent="0.2">
      <c r="K1172" s="56" t="e">
        <f t="shared" si="79"/>
        <v>#N/A</v>
      </c>
      <c r="L1172" s="41" t="e">
        <f ca="1">IFERROR(INDEX(INDIRECT("Data!C"&amp;'1-Year'!$K$4,FALSE),MATCH(K1172,Data!$A:$A,0)),NA())</f>
        <v>#N/A</v>
      </c>
    </row>
    <row r="1173" spans="11:12" x14ac:dyDescent="0.2">
      <c r="K1173" s="56" t="e">
        <f t="shared" si="79"/>
        <v>#N/A</v>
      </c>
      <c r="L1173" s="41" t="e">
        <f ca="1">IFERROR(INDEX(INDIRECT("Data!C"&amp;'1-Year'!$K$4,FALSE),MATCH(K1173,Data!$A:$A,0)),NA())</f>
        <v>#N/A</v>
      </c>
    </row>
    <row r="1174" spans="11:12" x14ac:dyDescent="0.2">
      <c r="K1174" s="56" t="e">
        <f t="shared" si="79"/>
        <v>#N/A</v>
      </c>
      <c r="L1174" s="41" t="e">
        <f ca="1">IFERROR(INDEX(INDIRECT("Data!C"&amp;'1-Year'!$K$4,FALSE),MATCH(K1174,Data!$A:$A,0)),NA())</f>
        <v>#N/A</v>
      </c>
    </row>
    <row r="1175" spans="11:12" x14ac:dyDescent="0.2">
      <c r="K1175" s="56" t="e">
        <f t="shared" si="79"/>
        <v>#N/A</v>
      </c>
      <c r="L1175" s="41" t="e">
        <f ca="1">IFERROR(INDEX(INDIRECT("Data!C"&amp;'1-Year'!$K$4,FALSE),MATCH(K1175,Data!$A:$A,0)),NA())</f>
        <v>#N/A</v>
      </c>
    </row>
    <row r="1176" spans="11:12" x14ac:dyDescent="0.2">
      <c r="K1176" s="56" t="e">
        <f t="shared" si="79"/>
        <v>#N/A</v>
      </c>
      <c r="L1176" s="41" t="e">
        <f ca="1">IFERROR(INDEX(INDIRECT("Data!C"&amp;'1-Year'!$K$4,FALSE),MATCH(K1176,Data!$A:$A,0)),NA())</f>
        <v>#N/A</v>
      </c>
    </row>
    <row r="1177" spans="11:12" x14ac:dyDescent="0.2">
      <c r="K1177" s="56" t="e">
        <f t="shared" si="79"/>
        <v>#N/A</v>
      </c>
      <c r="L1177" s="41" t="e">
        <f ca="1">IFERROR(INDEX(INDIRECT("Data!C"&amp;'1-Year'!$K$4,FALSE),MATCH(K1177,Data!$A:$A,0)),NA())</f>
        <v>#N/A</v>
      </c>
    </row>
    <row r="1178" spans="11:12" x14ac:dyDescent="0.2">
      <c r="K1178" s="56" t="e">
        <f t="shared" si="79"/>
        <v>#N/A</v>
      </c>
      <c r="L1178" s="41" t="e">
        <f ca="1">IFERROR(INDEX(INDIRECT("Data!C"&amp;'1-Year'!$K$4,FALSE),MATCH(K1178,Data!$A:$A,0)),NA())</f>
        <v>#N/A</v>
      </c>
    </row>
    <row r="1179" spans="11:12" x14ac:dyDescent="0.2">
      <c r="K1179" s="56" t="e">
        <f t="shared" si="79"/>
        <v>#N/A</v>
      </c>
      <c r="L1179" s="41" t="e">
        <f ca="1">IFERROR(INDEX(INDIRECT("Data!C"&amp;'1-Year'!$K$4,FALSE),MATCH(K1179,Data!$A:$A,0)),NA())</f>
        <v>#N/A</v>
      </c>
    </row>
    <row r="1180" spans="11:12" x14ac:dyDescent="0.2">
      <c r="K1180" s="56" t="e">
        <f t="shared" si="79"/>
        <v>#N/A</v>
      </c>
      <c r="L1180" s="41" t="e">
        <f ca="1">IFERROR(INDEX(INDIRECT("Data!C"&amp;'1-Year'!$K$4,FALSE),MATCH(K1180,Data!$A:$A,0)),NA())</f>
        <v>#N/A</v>
      </c>
    </row>
    <row r="1181" spans="11:12" x14ac:dyDescent="0.2">
      <c r="K1181" s="56" t="e">
        <f t="shared" si="79"/>
        <v>#N/A</v>
      </c>
      <c r="L1181" s="41" t="e">
        <f ca="1">IFERROR(INDEX(INDIRECT("Data!C"&amp;'1-Year'!$K$4,FALSE),MATCH(K1181,Data!$A:$A,0)),NA())</f>
        <v>#N/A</v>
      </c>
    </row>
    <row r="1182" spans="11:12" x14ac:dyDescent="0.2">
      <c r="K1182" s="56" t="e">
        <f t="shared" si="79"/>
        <v>#N/A</v>
      </c>
      <c r="L1182" s="41" t="e">
        <f ca="1">IFERROR(INDEX(INDIRECT("Data!C"&amp;'1-Year'!$K$4,FALSE),MATCH(K1182,Data!$A:$A,0)),NA())</f>
        <v>#N/A</v>
      </c>
    </row>
    <row r="1183" spans="11:12" x14ac:dyDescent="0.2">
      <c r="K1183" s="56" t="e">
        <f t="shared" si="79"/>
        <v>#N/A</v>
      </c>
      <c r="L1183" s="41" t="e">
        <f ca="1">IFERROR(INDEX(INDIRECT("Data!C"&amp;'1-Year'!$K$4,FALSE),MATCH(K1183,Data!$A:$A,0)),NA())</f>
        <v>#N/A</v>
      </c>
    </row>
    <row r="1184" spans="11:12" x14ac:dyDescent="0.2">
      <c r="K1184" s="56" t="e">
        <f t="shared" si="79"/>
        <v>#N/A</v>
      </c>
      <c r="L1184" s="41" t="e">
        <f ca="1">IFERROR(INDEX(INDIRECT("Data!C"&amp;'1-Year'!$K$4,FALSE),MATCH(K1184,Data!$A:$A,0)),NA())</f>
        <v>#N/A</v>
      </c>
    </row>
    <row r="1185" spans="11:12" x14ac:dyDescent="0.2">
      <c r="K1185" s="56" t="e">
        <f t="shared" si="79"/>
        <v>#N/A</v>
      </c>
      <c r="L1185" s="41" t="e">
        <f ca="1">IFERROR(INDEX(INDIRECT("Data!C"&amp;'1-Year'!$K$4,FALSE),MATCH(K1185,Data!$A:$A,0)),NA())</f>
        <v>#N/A</v>
      </c>
    </row>
    <row r="1186" spans="11:12" x14ac:dyDescent="0.2">
      <c r="K1186" s="56" t="e">
        <f t="shared" si="79"/>
        <v>#N/A</v>
      </c>
      <c r="L1186" s="41" t="e">
        <f ca="1">IFERROR(INDEX(INDIRECT("Data!C"&amp;'1-Year'!$K$4,FALSE),MATCH(K1186,Data!$A:$A,0)),NA())</f>
        <v>#N/A</v>
      </c>
    </row>
    <row r="1187" spans="11:12" x14ac:dyDescent="0.2">
      <c r="K1187" s="56" t="e">
        <f t="shared" si="79"/>
        <v>#N/A</v>
      </c>
      <c r="L1187" s="41" t="e">
        <f ca="1">IFERROR(INDEX(INDIRECT("Data!C"&amp;'1-Year'!$K$4,FALSE),MATCH(K1187,Data!$A:$A,0)),NA())</f>
        <v>#N/A</v>
      </c>
    </row>
    <row r="1188" spans="11:12" x14ac:dyDescent="0.2">
      <c r="K1188" s="56" t="e">
        <f t="shared" si="79"/>
        <v>#N/A</v>
      </c>
      <c r="L1188" s="41" t="e">
        <f ca="1">IFERROR(INDEX(INDIRECT("Data!C"&amp;'1-Year'!$K$4,FALSE),MATCH(K1188,Data!$A:$A,0)),NA())</f>
        <v>#N/A</v>
      </c>
    </row>
    <row r="1189" spans="11:12" x14ac:dyDescent="0.2">
      <c r="K1189" s="56" t="e">
        <f t="shared" si="79"/>
        <v>#N/A</v>
      </c>
      <c r="L1189" s="41" t="e">
        <f ca="1">IFERROR(INDEX(INDIRECT("Data!C"&amp;'1-Year'!$K$4,FALSE),MATCH(K1189,Data!$A:$A,0)),NA())</f>
        <v>#N/A</v>
      </c>
    </row>
    <row r="1190" spans="11:12" x14ac:dyDescent="0.2">
      <c r="K1190" s="56" t="e">
        <f t="shared" si="79"/>
        <v>#N/A</v>
      </c>
      <c r="L1190" s="41" t="e">
        <f ca="1">IFERROR(INDEX(INDIRECT("Data!C"&amp;'1-Year'!$K$4,FALSE),MATCH(K1190,Data!$A:$A,0)),NA())</f>
        <v>#N/A</v>
      </c>
    </row>
    <row r="1191" spans="11:12" x14ac:dyDescent="0.2">
      <c r="K1191" s="56" t="e">
        <f t="shared" si="79"/>
        <v>#N/A</v>
      </c>
      <c r="L1191" s="41" t="e">
        <f ca="1">IFERROR(INDEX(INDIRECT("Data!C"&amp;'1-Year'!$K$4,FALSE),MATCH(K1191,Data!$A:$A,0)),NA())</f>
        <v>#N/A</v>
      </c>
    </row>
    <row r="1192" spans="11:12" x14ac:dyDescent="0.2">
      <c r="K1192" s="56" t="e">
        <f t="shared" si="79"/>
        <v>#N/A</v>
      </c>
      <c r="L1192" s="41" t="e">
        <f ca="1">IFERROR(INDEX(INDIRECT("Data!C"&amp;'1-Year'!$K$4,FALSE),MATCH(K1192,Data!$A:$A,0)),NA())</f>
        <v>#N/A</v>
      </c>
    </row>
    <row r="1193" spans="11:12" x14ac:dyDescent="0.2">
      <c r="K1193" s="56" t="e">
        <f t="shared" si="79"/>
        <v>#N/A</v>
      </c>
      <c r="L1193" s="41" t="e">
        <f ca="1">IFERROR(INDEX(INDIRECT("Data!C"&amp;'1-Year'!$K$4,FALSE),MATCH(K1193,Data!$A:$A,0)),NA())</f>
        <v>#N/A</v>
      </c>
    </row>
    <row r="1194" spans="11:12" x14ac:dyDescent="0.2">
      <c r="K1194" s="56" t="e">
        <f t="shared" si="79"/>
        <v>#N/A</v>
      </c>
      <c r="L1194" s="41" t="e">
        <f ca="1">IFERROR(INDEX(INDIRECT("Data!C"&amp;'1-Year'!$K$4,FALSE),MATCH(K1194,Data!$A:$A,0)),NA())</f>
        <v>#N/A</v>
      </c>
    </row>
    <row r="1195" spans="11:12" x14ac:dyDescent="0.2">
      <c r="K1195" s="56" t="e">
        <f t="shared" si="79"/>
        <v>#N/A</v>
      </c>
      <c r="L1195" s="41" t="e">
        <f ca="1">IFERROR(INDEX(INDIRECT("Data!C"&amp;'1-Year'!$K$4,FALSE),MATCH(K1195,Data!$A:$A,0)),NA())</f>
        <v>#N/A</v>
      </c>
    </row>
    <row r="1196" spans="11:12" x14ac:dyDescent="0.2">
      <c r="K1196" s="56" t="e">
        <f t="shared" si="79"/>
        <v>#N/A</v>
      </c>
      <c r="L1196" s="41" t="e">
        <f ca="1">IFERROR(INDEX(INDIRECT("Data!C"&amp;'1-Year'!$K$4,FALSE),MATCH(K1196,Data!$A:$A,0)),NA())</f>
        <v>#N/A</v>
      </c>
    </row>
    <row r="1197" spans="11:12" x14ac:dyDescent="0.2">
      <c r="K1197" s="56" t="e">
        <f t="shared" si="79"/>
        <v>#N/A</v>
      </c>
      <c r="L1197" s="41" t="e">
        <f ca="1">IFERROR(INDEX(INDIRECT("Data!C"&amp;'1-Year'!$K$4,FALSE),MATCH(K1197,Data!$A:$A,0)),NA())</f>
        <v>#N/A</v>
      </c>
    </row>
    <row r="1198" spans="11:12" x14ac:dyDescent="0.2">
      <c r="K1198" s="56" t="e">
        <f t="shared" si="79"/>
        <v>#N/A</v>
      </c>
      <c r="L1198" s="41" t="e">
        <f ca="1">IFERROR(INDEX(INDIRECT("Data!C"&amp;'1-Year'!$K$4,FALSE),MATCH(K1198,Data!$A:$A,0)),NA())</f>
        <v>#N/A</v>
      </c>
    </row>
    <row r="1199" spans="11:12" x14ac:dyDescent="0.2">
      <c r="K1199" s="56" t="e">
        <f t="shared" si="79"/>
        <v>#N/A</v>
      </c>
      <c r="L1199" s="41" t="e">
        <f ca="1">IFERROR(INDEX(INDIRECT("Data!C"&amp;'1-Year'!$K$4,FALSE),MATCH(K1199,Data!$A:$A,0)),NA())</f>
        <v>#N/A</v>
      </c>
    </row>
    <row r="1200" spans="11:12" x14ac:dyDescent="0.2">
      <c r="K1200" s="56" t="e">
        <f t="shared" si="79"/>
        <v>#N/A</v>
      </c>
      <c r="L1200" s="41" t="e">
        <f ca="1">IFERROR(INDEX(INDIRECT("Data!C"&amp;'1-Year'!$K$4,FALSE),MATCH(K1200,Data!$A:$A,0)),NA())</f>
        <v>#N/A</v>
      </c>
    </row>
    <row r="1201" spans="11:12" x14ac:dyDescent="0.2">
      <c r="K1201" s="56" t="e">
        <f t="shared" si="79"/>
        <v>#N/A</v>
      </c>
      <c r="L1201" s="41" t="e">
        <f ca="1">IFERROR(INDEX(INDIRECT("Data!C"&amp;'1-Year'!$K$4,FALSE),MATCH(K1201,Data!$A:$A,0)),NA())</f>
        <v>#N/A</v>
      </c>
    </row>
    <row r="1202" spans="11:12" x14ac:dyDescent="0.2">
      <c r="K1202" s="56" t="e">
        <f t="shared" si="79"/>
        <v>#N/A</v>
      </c>
      <c r="L1202" s="41" t="e">
        <f ca="1">IFERROR(INDEX(INDIRECT("Data!C"&amp;'1-Year'!$K$4,FALSE),MATCH(K1202,Data!$A:$A,0)),NA())</f>
        <v>#N/A</v>
      </c>
    </row>
    <row r="1203" spans="11:12" x14ac:dyDescent="0.2">
      <c r="K1203" s="56" t="e">
        <f t="shared" si="79"/>
        <v>#N/A</v>
      </c>
      <c r="L1203" s="41" t="e">
        <f ca="1">IFERROR(INDEX(INDIRECT("Data!C"&amp;'1-Year'!$K$4,FALSE),MATCH(K1203,Data!$A:$A,0)),NA())</f>
        <v>#N/A</v>
      </c>
    </row>
    <row r="1204" spans="11:12" x14ac:dyDescent="0.2">
      <c r="K1204" s="56" t="e">
        <f t="shared" si="79"/>
        <v>#N/A</v>
      </c>
      <c r="L1204" s="41" t="e">
        <f ca="1">IFERROR(INDEX(INDIRECT("Data!C"&amp;'1-Year'!$K$4,FALSE),MATCH(K1204,Data!$A:$A,0)),NA())</f>
        <v>#N/A</v>
      </c>
    </row>
    <row r="1205" spans="11:12" x14ac:dyDescent="0.2">
      <c r="K1205" s="56" t="e">
        <f t="shared" si="79"/>
        <v>#N/A</v>
      </c>
      <c r="L1205" s="41" t="e">
        <f ca="1">IFERROR(INDEX(INDIRECT("Data!C"&amp;'1-Year'!$K$4,FALSE),MATCH(K1205,Data!$A:$A,0)),NA())</f>
        <v>#N/A</v>
      </c>
    </row>
    <row r="1206" spans="11:12" x14ac:dyDescent="0.2">
      <c r="K1206" s="56" t="e">
        <f t="shared" si="79"/>
        <v>#N/A</v>
      </c>
      <c r="L1206" s="41" t="e">
        <f ca="1">IFERROR(INDEX(INDIRECT("Data!C"&amp;'1-Year'!$K$4,FALSE),MATCH(K1206,Data!$A:$A,0)),NA())</f>
        <v>#N/A</v>
      </c>
    </row>
    <row r="1207" spans="11:12" x14ac:dyDescent="0.2">
      <c r="K1207" s="56" t="e">
        <f t="shared" si="79"/>
        <v>#N/A</v>
      </c>
      <c r="L1207" s="41" t="e">
        <f ca="1">IFERROR(INDEX(INDIRECT("Data!C"&amp;'1-Year'!$K$4,FALSE),MATCH(K1207,Data!$A:$A,0)),NA())</f>
        <v>#N/A</v>
      </c>
    </row>
    <row r="1208" spans="11:12" x14ac:dyDescent="0.2">
      <c r="K1208" s="56" t="e">
        <f t="shared" si="79"/>
        <v>#N/A</v>
      </c>
      <c r="L1208" s="41" t="e">
        <f ca="1">IFERROR(INDEX(INDIRECT("Data!C"&amp;'1-Year'!$K$4,FALSE),MATCH(K1208,Data!$A:$A,0)),NA())</f>
        <v>#N/A</v>
      </c>
    </row>
    <row r="1209" spans="11:12" x14ac:dyDescent="0.2">
      <c r="K1209" s="56" t="e">
        <f t="shared" si="79"/>
        <v>#N/A</v>
      </c>
      <c r="L1209" s="41" t="e">
        <f ca="1">IFERROR(INDEX(INDIRECT("Data!C"&amp;'1-Year'!$K$4,FALSE),MATCH(K1209,Data!$A:$A,0)),NA())</f>
        <v>#N/A</v>
      </c>
    </row>
    <row r="1210" spans="11:12" x14ac:dyDescent="0.2">
      <c r="K1210" s="56" t="e">
        <f t="shared" si="79"/>
        <v>#N/A</v>
      </c>
      <c r="L1210" s="41" t="e">
        <f ca="1">IFERROR(INDEX(INDIRECT("Data!C"&amp;'1-Year'!$K$4,FALSE),MATCH(K1210,Data!$A:$A,0)),NA())</f>
        <v>#N/A</v>
      </c>
    </row>
    <row r="1211" spans="11:12" x14ac:dyDescent="0.2">
      <c r="K1211" s="56" t="e">
        <f t="shared" si="79"/>
        <v>#N/A</v>
      </c>
      <c r="L1211" s="41" t="e">
        <f ca="1">IFERROR(INDEX(INDIRECT("Data!C"&amp;'1-Year'!$K$4,FALSE),MATCH(K1211,Data!$A:$A,0)),NA())</f>
        <v>#N/A</v>
      </c>
    </row>
    <row r="1212" spans="11:12" x14ac:dyDescent="0.2">
      <c r="K1212" s="56" t="e">
        <f t="shared" si="79"/>
        <v>#N/A</v>
      </c>
      <c r="L1212" s="41" t="e">
        <f ca="1">IFERROR(INDEX(INDIRECT("Data!C"&amp;'1-Year'!$K$4,FALSE),MATCH(K1212,Data!$A:$A,0)),NA())</f>
        <v>#N/A</v>
      </c>
    </row>
    <row r="1213" spans="11:12" x14ac:dyDescent="0.2">
      <c r="K1213" s="56" t="e">
        <f t="shared" si="79"/>
        <v>#N/A</v>
      </c>
      <c r="L1213" s="41" t="e">
        <f ca="1">IFERROR(INDEX(INDIRECT("Data!C"&amp;'1-Year'!$K$4,FALSE),MATCH(K1213,Data!$A:$A,0)),NA())</f>
        <v>#N/A</v>
      </c>
    </row>
    <row r="1214" spans="11:12" x14ac:dyDescent="0.2">
      <c r="K1214" s="56" t="e">
        <f t="shared" si="79"/>
        <v>#N/A</v>
      </c>
      <c r="L1214" s="41" t="e">
        <f ca="1">IFERROR(INDEX(INDIRECT("Data!C"&amp;'1-Year'!$K$4,FALSE),MATCH(K1214,Data!$A:$A,0)),NA())</f>
        <v>#N/A</v>
      </c>
    </row>
    <row r="1215" spans="11:12" x14ac:dyDescent="0.2">
      <c r="K1215" s="56" t="e">
        <f t="shared" si="79"/>
        <v>#N/A</v>
      </c>
      <c r="L1215" s="41" t="e">
        <f ca="1">IFERROR(INDEX(INDIRECT("Data!C"&amp;'1-Year'!$K$4,FALSE),MATCH(K1215,Data!$A:$A,0)),NA())</f>
        <v>#N/A</v>
      </c>
    </row>
    <row r="1216" spans="11:12" x14ac:dyDescent="0.2">
      <c r="K1216" s="56" t="e">
        <f t="shared" si="79"/>
        <v>#N/A</v>
      </c>
      <c r="L1216" s="41" t="e">
        <f ca="1">IFERROR(INDEX(INDIRECT("Data!C"&amp;'1-Year'!$K$4,FALSE),MATCH(K1216,Data!$A:$A,0)),NA())</f>
        <v>#N/A</v>
      </c>
    </row>
    <row r="1217" spans="11:12" x14ac:dyDescent="0.2">
      <c r="K1217" s="56" t="e">
        <f t="shared" si="79"/>
        <v>#N/A</v>
      </c>
      <c r="L1217" s="41" t="e">
        <f ca="1">IFERROR(INDEX(INDIRECT("Data!C"&amp;'1-Year'!$K$4,FALSE),MATCH(K1217,Data!$A:$A,0)),NA())</f>
        <v>#N/A</v>
      </c>
    </row>
    <row r="1218" spans="11:12" x14ac:dyDescent="0.2">
      <c r="K1218" s="56" t="e">
        <f t="shared" si="79"/>
        <v>#N/A</v>
      </c>
      <c r="L1218" s="41" t="e">
        <f ca="1">IFERROR(INDEX(INDIRECT("Data!C"&amp;'1-Year'!$K$4,FALSE),MATCH(K1218,Data!$A:$A,0)),NA())</f>
        <v>#N/A</v>
      </c>
    </row>
    <row r="1219" spans="11:12" x14ac:dyDescent="0.2">
      <c r="K1219" s="56" t="e">
        <f t="shared" si="79"/>
        <v>#N/A</v>
      </c>
      <c r="L1219" s="41" t="e">
        <f ca="1">IFERROR(INDEX(INDIRECT("Data!C"&amp;'1-Year'!$K$4,FALSE),MATCH(K1219,Data!$A:$A,0)),NA())</f>
        <v>#N/A</v>
      </c>
    </row>
    <row r="1220" spans="11:12" x14ac:dyDescent="0.2">
      <c r="K1220" s="56" t="e">
        <f t="shared" si="79"/>
        <v>#N/A</v>
      </c>
      <c r="L1220" s="41" t="e">
        <f ca="1">IFERROR(INDEX(INDIRECT("Data!C"&amp;'1-Year'!$K$4,FALSE),MATCH(K1220,Data!$A:$A,0)),NA())</f>
        <v>#N/A</v>
      </c>
    </row>
    <row r="1221" spans="11:12" x14ac:dyDescent="0.2">
      <c r="K1221" s="56" t="e">
        <f t="shared" ref="K1221:K1284" si="80">IF(K1220+1&lt;=$C$7,K1220+1,NA())</f>
        <v>#N/A</v>
      </c>
      <c r="L1221" s="41" t="e">
        <f ca="1">IFERROR(INDEX(INDIRECT("Data!C"&amp;'1-Year'!$K$4,FALSE),MATCH(K1221,Data!$A:$A,0)),NA())</f>
        <v>#N/A</v>
      </c>
    </row>
    <row r="1222" spans="11:12" x14ac:dyDescent="0.2">
      <c r="K1222" s="56" t="e">
        <f t="shared" si="80"/>
        <v>#N/A</v>
      </c>
      <c r="L1222" s="41" t="e">
        <f ca="1">IFERROR(INDEX(INDIRECT("Data!C"&amp;'1-Year'!$K$4,FALSE),MATCH(K1222,Data!$A:$A,0)),NA())</f>
        <v>#N/A</v>
      </c>
    </row>
    <row r="1223" spans="11:12" x14ac:dyDescent="0.2">
      <c r="K1223" s="56" t="e">
        <f t="shared" si="80"/>
        <v>#N/A</v>
      </c>
      <c r="L1223" s="41" t="e">
        <f ca="1">IFERROR(INDEX(INDIRECT("Data!C"&amp;'1-Year'!$K$4,FALSE),MATCH(K1223,Data!$A:$A,0)),NA())</f>
        <v>#N/A</v>
      </c>
    </row>
    <row r="1224" spans="11:12" x14ac:dyDescent="0.2">
      <c r="K1224" s="56" t="e">
        <f t="shared" si="80"/>
        <v>#N/A</v>
      </c>
      <c r="L1224" s="41" t="e">
        <f ca="1">IFERROR(INDEX(INDIRECT("Data!C"&amp;'1-Year'!$K$4,FALSE),MATCH(K1224,Data!$A:$A,0)),NA())</f>
        <v>#N/A</v>
      </c>
    </row>
    <row r="1225" spans="11:12" x14ac:dyDescent="0.2">
      <c r="K1225" s="56" t="e">
        <f t="shared" si="80"/>
        <v>#N/A</v>
      </c>
      <c r="L1225" s="41" t="e">
        <f ca="1">IFERROR(INDEX(INDIRECT("Data!C"&amp;'1-Year'!$K$4,FALSE),MATCH(K1225,Data!$A:$A,0)),NA())</f>
        <v>#N/A</v>
      </c>
    </row>
    <row r="1226" spans="11:12" x14ac:dyDescent="0.2">
      <c r="K1226" s="56" t="e">
        <f t="shared" si="80"/>
        <v>#N/A</v>
      </c>
      <c r="L1226" s="41" t="e">
        <f ca="1">IFERROR(INDEX(INDIRECT("Data!C"&amp;'1-Year'!$K$4,FALSE),MATCH(K1226,Data!$A:$A,0)),NA())</f>
        <v>#N/A</v>
      </c>
    </row>
    <row r="1227" spans="11:12" x14ac:dyDescent="0.2">
      <c r="K1227" s="56" t="e">
        <f t="shared" si="80"/>
        <v>#N/A</v>
      </c>
      <c r="L1227" s="41" t="e">
        <f ca="1">IFERROR(INDEX(INDIRECT("Data!C"&amp;'1-Year'!$K$4,FALSE),MATCH(K1227,Data!$A:$A,0)),NA())</f>
        <v>#N/A</v>
      </c>
    </row>
    <row r="1228" spans="11:12" x14ac:dyDescent="0.2">
      <c r="K1228" s="56" t="e">
        <f t="shared" si="80"/>
        <v>#N/A</v>
      </c>
      <c r="L1228" s="41" t="e">
        <f ca="1">IFERROR(INDEX(INDIRECT("Data!C"&amp;'1-Year'!$K$4,FALSE),MATCH(K1228,Data!$A:$A,0)),NA())</f>
        <v>#N/A</v>
      </c>
    </row>
    <row r="1229" spans="11:12" x14ac:dyDescent="0.2">
      <c r="K1229" s="56" t="e">
        <f t="shared" si="80"/>
        <v>#N/A</v>
      </c>
      <c r="L1229" s="41" t="e">
        <f ca="1">IFERROR(INDEX(INDIRECT("Data!C"&amp;'1-Year'!$K$4,FALSE),MATCH(K1229,Data!$A:$A,0)),NA())</f>
        <v>#N/A</v>
      </c>
    </row>
    <row r="1230" spans="11:12" x14ac:dyDescent="0.2">
      <c r="K1230" s="56" t="e">
        <f t="shared" si="80"/>
        <v>#N/A</v>
      </c>
      <c r="L1230" s="41" t="e">
        <f ca="1">IFERROR(INDEX(INDIRECT("Data!C"&amp;'1-Year'!$K$4,FALSE),MATCH(K1230,Data!$A:$A,0)),NA())</f>
        <v>#N/A</v>
      </c>
    </row>
    <row r="1231" spans="11:12" x14ac:dyDescent="0.2">
      <c r="K1231" s="56" t="e">
        <f t="shared" si="80"/>
        <v>#N/A</v>
      </c>
      <c r="L1231" s="41" t="e">
        <f ca="1">IFERROR(INDEX(INDIRECT("Data!C"&amp;'1-Year'!$K$4,FALSE),MATCH(K1231,Data!$A:$A,0)),NA())</f>
        <v>#N/A</v>
      </c>
    </row>
    <row r="1232" spans="11:12" x14ac:dyDescent="0.2">
      <c r="K1232" s="56" t="e">
        <f t="shared" si="80"/>
        <v>#N/A</v>
      </c>
      <c r="L1232" s="41" t="e">
        <f ca="1">IFERROR(INDEX(INDIRECT("Data!C"&amp;'1-Year'!$K$4,FALSE),MATCH(K1232,Data!$A:$A,0)),NA())</f>
        <v>#N/A</v>
      </c>
    </row>
    <row r="1233" spans="11:12" x14ac:dyDescent="0.2">
      <c r="K1233" s="56" t="e">
        <f t="shared" si="80"/>
        <v>#N/A</v>
      </c>
      <c r="L1233" s="41" t="e">
        <f ca="1">IFERROR(INDEX(INDIRECT("Data!C"&amp;'1-Year'!$K$4,FALSE),MATCH(K1233,Data!$A:$A,0)),NA())</f>
        <v>#N/A</v>
      </c>
    </row>
    <row r="1234" spans="11:12" x14ac:dyDescent="0.2">
      <c r="K1234" s="56" t="e">
        <f t="shared" si="80"/>
        <v>#N/A</v>
      </c>
      <c r="L1234" s="41" t="e">
        <f ca="1">IFERROR(INDEX(INDIRECT("Data!C"&amp;'1-Year'!$K$4,FALSE),MATCH(K1234,Data!$A:$A,0)),NA())</f>
        <v>#N/A</v>
      </c>
    </row>
    <row r="1235" spans="11:12" x14ac:dyDescent="0.2">
      <c r="K1235" s="56" t="e">
        <f t="shared" si="80"/>
        <v>#N/A</v>
      </c>
      <c r="L1235" s="41" t="e">
        <f ca="1">IFERROR(INDEX(INDIRECT("Data!C"&amp;'1-Year'!$K$4,FALSE),MATCH(K1235,Data!$A:$A,0)),NA())</f>
        <v>#N/A</v>
      </c>
    </row>
    <row r="1236" spans="11:12" x14ac:dyDescent="0.2">
      <c r="K1236" s="56" t="e">
        <f t="shared" si="80"/>
        <v>#N/A</v>
      </c>
      <c r="L1236" s="41" t="e">
        <f ca="1">IFERROR(INDEX(INDIRECT("Data!C"&amp;'1-Year'!$K$4,FALSE),MATCH(K1236,Data!$A:$A,0)),NA())</f>
        <v>#N/A</v>
      </c>
    </row>
    <row r="1237" spans="11:12" x14ac:dyDescent="0.2">
      <c r="K1237" s="56" t="e">
        <f t="shared" si="80"/>
        <v>#N/A</v>
      </c>
      <c r="L1237" s="41" t="e">
        <f ca="1">IFERROR(INDEX(INDIRECT("Data!C"&amp;'1-Year'!$K$4,FALSE),MATCH(K1237,Data!$A:$A,0)),NA())</f>
        <v>#N/A</v>
      </c>
    </row>
    <row r="1238" spans="11:12" x14ac:dyDescent="0.2">
      <c r="K1238" s="56" t="e">
        <f t="shared" si="80"/>
        <v>#N/A</v>
      </c>
      <c r="L1238" s="41" t="e">
        <f ca="1">IFERROR(INDEX(INDIRECT("Data!C"&amp;'1-Year'!$K$4,FALSE),MATCH(K1238,Data!$A:$A,0)),NA())</f>
        <v>#N/A</v>
      </c>
    </row>
    <row r="1239" spans="11:12" x14ac:dyDescent="0.2">
      <c r="K1239" s="56" t="e">
        <f t="shared" si="80"/>
        <v>#N/A</v>
      </c>
      <c r="L1239" s="41" t="e">
        <f ca="1">IFERROR(INDEX(INDIRECT("Data!C"&amp;'1-Year'!$K$4,FALSE),MATCH(K1239,Data!$A:$A,0)),NA())</f>
        <v>#N/A</v>
      </c>
    </row>
    <row r="1240" spans="11:12" x14ac:dyDescent="0.2">
      <c r="K1240" s="56" t="e">
        <f t="shared" si="80"/>
        <v>#N/A</v>
      </c>
      <c r="L1240" s="41" t="e">
        <f ca="1">IFERROR(INDEX(INDIRECT("Data!C"&amp;'1-Year'!$K$4,FALSE),MATCH(K1240,Data!$A:$A,0)),NA())</f>
        <v>#N/A</v>
      </c>
    </row>
    <row r="1241" spans="11:12" x14ac:dyDescent="0.2">
      <c r="K1241" s="56" t="e">
        <f t="shared" si="80"/>
        <v>#N/A</v>
      </c>
      <c r="L1241" s="41" t="e">
        <f ca="1">IFERROR(INDEX(INDIRECT("Data!C"&amp;'1-Year'!$K$4,FALSE),MATCH(K1241,Data!$A:$A,0)),NA())</f>
        <v>#N/A</v>
      </c>
    </row>
    <row r="1242" spans="11:12" x14ac:dyDescent="0.2">
      <c r="K1242" s="56" t="e">
        <f t="shared" si="80"/>
        <v>#N/A</v>
      </c>
      <c r="L1242" s="41" t="e">
        <f ca="1">IFERROR(INDEX(INDIRECT("Data!C"&amp;'1-Year'!$K$4,FALSE),MATCH(K1242,Data!$A:$A,0)),NA())</f>
        <v>#N/A</v>
      </c>
    </row>
    <row r="1243" spans="11:12" x14ac:dyDescent="0.2">
      <c r="K1243" s="56" t="e">
        <f t="shared" si="80"/>
        <v>#N/A</v>
      </c>
      <c r="L1243" s="41" t="e">
        <f ca="1">IFERROR(INDEX(INDIRECT("Data!C"&amp;'1-Year'!$K$4,FALSE),MATCH(K1243,Data!$A:$A,0)),NA())</f>
        <v>#N/A</v>
      </c>
    </row>
    <row r="1244" spans="11:12" x14ac:dyDescent="0.2">
      <c r="K1244" s="56" t="e">
        <f t="shared" si="80"/>
        <v>#N/A</v>
      </c>
      <c r="L1244" s="41" t="e">
        <f ca="1">IFERROR(INDEX(INDIRECT("Data!C"&amp;'1-Year'!$K$4,FALSE),MATCH(K1244,Data!$A:$A,0)),NA())</f>
        <v>#N/A</v>
      </c>
    </row>
    <row r="1245" spans="11:12" x14ac:dyDescent="0.2">
      <c r="K1245" s="56" t="e">
        <f t="shared" si="80"/>
        <v>#N/A</v>
      </c>
      <c r="L1245" s="41" t="e">
        <f ca="1">IFERROR(INDEX(INDIRECT("Data!C"&amp;'1-Year'!$K$4,FALSE),MATCH(K1245,Data!$A:$A,0)),NA())</f>
        <v>#N/A</v>
      </c>
    </row>
    <row r="1246" spans="11:12" x14ac:dyDescent="0.2">
      <c r="K1246" s="56" t="e">
        <f t="shared" si="80"/>
        <v>#N/A</v>
      </c>
      <c r="L1246" s="41" t="e">
        <f ca="1">IFERROR(INDEX(INDIRECT("Data!C"&amp;'1-Year'!$K$4,FALSE),MATCH(K1246,Data!$A:$A,0)),NA())</f>
        <v>#N/A</v>
      </c>
    </row>
    <row r="1247" spans="11:12" x14ac:dyDescent="0.2">
      <c r="K1247" s="56" t="e">
        <f t="shared" si="80"/>
        <v>#N/A</v>
      </c>
      <c r="L1247" s="41" t="e">
        <f ca="1">IFERROR(INDEX(INDIRECT("Data!C"&amp;'1-Year'!$K$4,FALSE),MATCH(K1247,Data!$A:$A,0)),NA())</f>
        <v>#N/A</v>
      </c>
    </row>
    <row r="1248" spans="11:12" x14ac:dyDescent="0.2">
      <c r="K1248" s="56" t="e">
        <f t="shared" si="80"/>
        <v>#N/A</v>
      </c>
      <c r="L1248" s="41" t="e">
        <f ca="1">IFERROR(INDEX(INDIRECT("Data!C"&amp;'1-Year'!$K$4,FALSE),MATCH(K1248,Data!$A:$A,0)),NA())</f>
        <v>#N/A</v>
      </c>
    </row>
    <row r="1249" spans="11:12" x14ac:dyDescent="0.2">
      <c r="K1249" s="56" t="e">
        <f t="shared" si="80"/>
        <v>#N/A</v>
      </c>
      <c r="L1249" s="41" t="e">
        <f ca="1">IFERROR(INDEX(INDIRECT("Data!C"&amp;'1-Year'!$K$4,FALSE),MATCH(K1249,Data!$A:$A,0)),NA())</f>
        <v>#N/A</v>
      </c>
    </row>
    <row r="1250" spans="11:12" x14ac:dyDescent="0.2">
      <c r="K1250" s="56" t="e">
        <f t="shared" si="80"/>
        <v>#N/A</v>
      </c>
      <c r="L1250" s="41" t="e">
        <f ca="1">IFERROR(INDEX(INDIRECT("Data!C"&amp;'1-Year'!$K$4,FALSE),MATCH(K1250,Data!$A:$A,0)),NA())</f>
        <v>#N/A</v>
      </c>
    </row>
    <row r="1251" spans="11:12" x14ac:dyDescent="0.2">
      <c r="K1251" s="56" t="e">
        <f t="shared" si="80"/>
        <v>#N/A</v>
      </c>
      <c r="L1251" s="41" t="e">
        <f ca="1">IFERROR(INDEX(INDIRECT("Data!C"&amp;'1-Year'!$K$4,FALSE),MATCH(K1251,Data!$A:$A,0)),NA())</f>
        <v>#N/A</v>
      </c>
    </row>
    <row r="1252" spans="11:12" x14ac:dyDescent="0.2">
      <c r="K1252" s="56" t="e">
        <f t="shared" si="80"/>
        <v>#N/A</v>
      </c>
      <c r="L1252" s="41" t="e">
        <f ca="1">IFERROR(INDEX(INDIRECT("Data!C"&amp;'1-Year'!$K$4,FALSE),MATCH(K1252,Data!$A:$A,0)),NA())</f>
        <v>#N/A</v>
      </c>
    </row>
    <row r="1253" spans="11:12" x14ac:dyDescent="0.2">
      <c r="K1253" s="56" t="e">
        <f t="shared" si="80"/>
        <v>#N/A</v>
      </c>
      <c r="L1253" s="41" t="e">
        <f ca="1">IFERROR(INDEX(INDIRECT("Data!C"&amp;'1-Year'!$K$4,FALSE),MATCH(K1253,Data!$A:$A,0)),NA())</f>
        <v>#N/A</v>
      </c>
    </row>
    <row r="1254" spans="11:12" x14ac:dyDescent="0.2">
      <c r="K1254" s="56" t="e">
        <f t="shared" si="80"/>
        <v>#N/A</v>
      </c>
      <c r="L1254" s="41" t="e">
        <f ca="1">IFERROR(INDEX(INDIRECT("Data!C"&amp;'1-Year'!$K$4,FALSE),MATCH(K1254,Data!$A:$A,0)),NA())</f>
        <v>#N/A</v>
      </c>
    </row>
    <row r="1255" spans="11:12" x14ac:dyDescent="0.2">
      <c r="K1255" s="56" t="e">
        <f t="shared" si="80"/>
        <v>#N/A</v>
      </c>
      <c r="L1255" s="41" t="e">
        <f ca="1">IFERROR(INDEX(INDIRECT("Data!C"&amp;'1-Year'!$K$4,FALSE),MATCH(K1255,Data!$A:$A,0)),NA())</f>
        <v>#N/A</v>
      </c>
    </row>
    <row r="1256" spans="11:12" x14ac:dyDescent="0.2">
      <c r="K1256" s="56" t="e">
        <f t="shared" si="80"/>
        <v>#N/A</v>
      </c>
      <c r="L1256" s="41" t="e">
        <f ca="1">IFERROR(INDEX(INDIRECT("Data!C"&amp;'1-Year'!$K$4,FALSE),MATCH(K1256,Data!$A:$A,0)),NA())</f>
        <v>#N/A</v>
      </c>
    </row>
    <row r="1257" spans="11:12" x14ac:dyDescent="0.2">
      <c r="K1257" s="56" t="e">
        <f t="shared" si="80"/>
        <v>#N/A</v>
      </c>
      <c r="L1257" s="41" t="e">
        <f ca="1">IFERROR(INDEX(INDIRECT("Data!C"&amp;'1-Year'!$K$4,FALSE),MATCH(K1257,Data!$A:$A,0)),NA())</f>
        <v>#N/A</v>
      </c>
    </row>
    <row r="1258" spans="11:12" x14ac:dyDescent="0.2">
      <c r="K1258" s="56" t="e">
        <f t="shared" si="80"/>
        <v>#N/A</v>
      </c>
      <c r="L1258" s="41" t="e">
        <f ca="1">IFERROR(INDEX(INDIRECT("Data!C"&amp;'1-Year'!$K$4,FALSE),MATCH(K1258,Data!$A:$A,0)),NA())</f>
        <v>#N/A</v>
      </c>
    </row>
    <row r="1259" spans="11:12" x14ac:dyDescent="0.2">
      <c r="K1259" s="56" t="e">
        <f t="shared" si="80"/>
        <v>#N/A</v>
      </c>
      <c r="L1259" s="41" t="e">
        <f ca="1">IFERROR(INDEX(INDIRECT("Data!C"&amp;'1-Year'!$K$4,FALSE),MATCH(K1259,Data!$A:$A,0)),NA())</f>
        <v>#N/A</v>
      </c>
    </row>
    <row r="1260" spans="11:12" x14ac:dyDescent="0.2">
      <c r="K1260" s="56" t="e">
        <f t="shared" si="80"/>
        <v>#N/A</v>
      </c>
      <c r="L1260" s="41" t="e">
        <f ca="1">IFERROR(INDEX(INDIRECT("Data!C"&amp;'1-Year'!$K$4,FALSE),MATCH(K1260,Data!$A:$A,0)),NA())</f>
        <v>#N/A</v>
      </c>
    </row>
    <row r="1261" spans="11:12" x14ac:dyDescent="0.2">
      <c r="K1261" s="56" t="e">
        <f t="shared" si="80"/>
        <v>#N/A</v>
      </c>
      <c r="L1261" s="41" t="e">
        <f ca="1">IFERROR(INDEX(INDIRECT("Data!C"&amp;'1-Year'!$K$4,FALSE),MATCH(K1261,Data!$A:$A,0)),NA())</f>
        <v>#N/A</v>
      </c>
    </row>
    <row r="1262" spans="11:12" x14ac:dyDescent="0.2">
      <c r="K1262" s="56" t="e">
        <f t="shared" si="80"/>
        <v>#N/A</v>
      </c>
      <c r="L1262" s="41" t="e">
        <f ca="1">IFERROR(INDEX(INDIRECT("Data!C"&amp;'1-Year'!$K$4,FALSE),MATCH(K1262,Data!$A:$A,0)),NA())</f>
        <v>#N/A</v>
      </c>
    </row>
    <row r="1263" spans="11:12" x14ac:dyDescent="0.2">
      <c r="K1263" s="56" t="e">
        <f t="shared" si="80"/>
        <v>#N/A</v>
      </c>
      <c r="L1263" s="41" t="e">
        <f ca="1">IFERROR(INDEX(INDIRECT("Data!C"&amp;'1-Year'!$K$4,FALSE),MATCH(K1263,Data!$A:$A,0)),NA())</f>
        <v>#N/A</v>
      </c>
    </row>
    <row r="1264" spans="11:12" x14ac:dyDescent="0.2">
      <c r="K1264" s="56" t="e">
        <f t="shared" si="80"/>
        <v>#N/A</v>
      </c>
      <c r="L1264" s="41" t="e">
        <f ca="1">IFERROR(INDEX(INDIRECT("Data!C"&amp;'1-Year'!$K$4,FALSE),MATCH(K1264,Data!$A:$A,0)),NA())</f>
        <v>#N/A</v>
      </c>
    </row>
    <row r="1265" spans="11:12" x14ac:dyDescent="0.2">
      <c r="K1265" s="56" t="e">
        <f t="shared" si="80"/>
        <v>#N/A</v>
      </c>
      <c r="L1265" s="41" t="e">
        <f ca="1">IFERROR(INDEX(INDIRECT("Data!C"&amp;'1-Year'!$K$4,FALSE),MATCH(K1265,Data!$A:$A,0)),NA())</f>
        <v>#N/A</v>
      </c>
    </row>
    <row r="1266" spans="11:12" x14ac:dyDescent="0.2">
      <c r="K1266" s="56" t="e">
        <f t="shared" si="80"/>
        <v>#N/A</v>
      </c>
      <c r="L1266" s="41" t="e">
        <f ca="1">IFERROR(INDEX(INDIRECT("Data!C"&amp;'1-Year'!$K$4,FALSE),MATCH(K1266,Data!$A:$A,0)),NA())</f>
        <v>#N/A</v>
      </c>
    </row>
    <row r="1267" spans="11:12" x14ac:dyDescent="0.2">
      <c r="K1267" s="56" t="e">
        <f t="shared" si="80"/>
        <v>#N/A</v>
      </c>
      <c r="L1267" s="41" t="e">
        <f ca="1">IFERROR(INDEX(INDIRECT("Data!C"&amp;'1-Year'!$K$4,FALSE),MATCH(K1267,Data!$A:$A,0)),NA())</f>
        <v>#N/A</v>
      </c>
    </row>
    <row r="1268" spans="11:12" x14ac:dyDescent="0.2">
      <c r="K1268" s="56" t="e">
        <f t="shared" si="80"/>
        <v>#N/A</v>
      </c>
      <c r="L1268" s="41" t="e">
        <f ca="1">IFERROR(INDEX(INDIRECT("Data!C"&amp;'1-Year'!$K$4,FALSE),MATCH(K1268,Data!$A:$A,0)),NA())</f>
        <v>#N/A</v>
      </c>
    </row>
    <row r="1269" spans="11:12" x14ac:dyDescent="0.2">
      <c r="K1269" s="56" t="e">
        <f t="shared" si="80"/>
        <v>#N/A</v>
      </c>
      <c r="L1269" s="41" t="e">
        <f ca="1">IFERROR(INDEX(INDIRECT("Data!C"&amp;'1-Year'!$K$4,FALSE),MATCH(K1269,Data!$A:$A,0)),NA())</f>
        <v>#N/A</v>
      </c>
    </row>
    <row r="1270" spans="11:12" x14ac:dyDescent="0.2">
      <c r="K1270" s="56" t="e">
        <f t="shared" si="80"/>
        <v>#N/A</v>
      </c>
      <c r="L1270" s="41" t="e">
        <f ca="1">IFERROR(INDEX(INDIRECT("Data!C"&amp;'1-Year'!$K$4,FALSE),MATCH(K1270,Data!$A:$A,0)),NA())</f>
        <v>#N/A</v>
      </c>
    </row>
    <row r="1271" spans="11:12" x14ac:dyDescent="0.2">
      <c r="K1271" s="56" t="e">
        <f t="shared" si="80"/>
        <v>#N/A</v>
      </c>
      <c r="L1271" s="41" t="e">
        <f ca="1">IFERROR(INDEX(INDIRECT("Data!C"&amp;'1-Year'!$K$4,FALSE),MATCH(K1271,Data!$A:$A,0)),NA())</f>
        <v>#N/A</v>
      </c>
    </row>
    <row r="1272" spans="11:12" x14ac:dyDescent="0.2">
      <c r="K1272" s="56" t="e">
        <f t="shared" si="80"/>
        <v>#N/A</v>
      </c>
      <c r="L1272" s="41" t="e">
        <f ca="1">IFERROR(INDEX(INDIRECT("Data!C"&amp;'1-Year'!$K$4,FALSE),MATCH(K1272,Data!$A:$A,0)),NA())</f>
        <v>#N/A</v>
      </c>
    </row>
    <row r="1273" spans="11:12" x14ac:dyDescent="0.2">
      <c r="K1273" s="56" t="e">
        <f t="shared" si="80"/>
        <v>#N/A</v>
      </c>
      <c r="L1273" s="41" t="e">
        <f ca="1">IFERROR(INDEX(INDIRECT("Data!C"&amp;'1-Year'!$K$4,FALSE),MATCH(K1273,Data!$A:$A,0)),NA())</f>
        <v>#N/A</v>
      </c>
    </row>
    <row r="1274" spans="11:12" x14ac:dyDescent="0.2">
      <c r="K1274" s="56" t="e">
        <f t="shared" si="80"/>
        <v>#N/A</v>
      </c>
      <c r="L1274" s="41" t="e">
        <f ca="1">IFERROR(INDEX(INDIRECT("Data!C"&amp;'1-Year'!$K$4,FALSE),MATCH(K1274,Data!$A:$A,0)),NA())</f>
        <v>#N/A</v>
      </c>
    </row>
    <row r="1275" spans="11:12" x14ac:dyDescent="0.2">
      <c r="K1275" s="56" t="e">
        <f t="shared" si="80"/>
        <v>#N/A</v>
      </c>
      <c r="L1275" s="41" t="e">
        <f ca="1">IFERROR(INDEX(INDIRECT("Data!C"&amp;'1-Year'!$K$4,FALSE),MATCH(K1275,Data!$A:$A,0)),NA())</f>
        <v>#N/A</v>
      </c>
    </row>
    <row r="1276" spans="11:12" x14ac:dyDescent="0.2">
      <c r="K1276" s="56" t="e">
        <f t="shared" si="80"/>
        <v>#N/A</v>
      </c>
      <c r="L1276" s="41" t="e">
        <f ca="1">IFERROR(INDEX(INDIRECT("Data!C"&amp;'1-Year'!$K$4,FALSE),MATCH(K1276,Data!$A:$A,0)),NA())</f>
        <v>#N/A</v>
      </c>
    </row>
    <row r="1277" spans="11:12" x14ac:dyDescent="0.2">
      <c r="K1277" s="56" t="e">
        <f t="shared" si="80"/>
        <v>#N/A</v>
      </c>
      <c r="L1277" s="41" t="e">
        <f ca="1">IFERROR(INDEX(INDIRECT("Data!C"&amp;'1-Year'!$K$4,FALSE),MATCH(K1277,Data!$A:$A,0)),NA())</f>
        <v>#N/A</v>
      </c>
    </row>
    <row r="1278" spans="11:12" x14ac:dyDescent="0.2">
      <c r="K1278" s="56" t="e">
        <f t="shared" si="80"/>
        <v>#N/A</v>
      </c>
      <c r="L1278" s="41" t="e">
        <f ca="1">IFERROR(INDEX(INDIRECT("Data!C"&amp;'1-Year'!$K$4,FALSE),MATCH(K1278,Data!$A:$A,0)),NA())</f>
        <v>#N/A</v>
      </c>
    </row>
    <row r="1279" spans="11:12" x14ac:dyDescent="0.2">
      <c r="K1279" s="56" t="e">
        <f t="shared" si="80"/>
        <v>#N/A</v>
      </c>
      <c r="L1279" s="41" t="e">
        <f ca="1">IFERROR(INDEX(INDIRECT("Data!C"&amp;'1-Year'!$K$4,FALSE),MATCH(K1279,Data!$A:$A,0)),NA())</f>
        <v>#N/A</v>
      </c>
    </row>
    <row r="1280" spans="11:12" x14ac:dyDescent="0.2">
      <c r="K1280" s="56" t="e">
        <f t="shared" si="80"/>
        <v>#N/A</v>
      </c>
      <c r="L1280" s="41" t="e">
        <f ca="1">IFERROR(INDEX(INDIRECT("Data!C"&amp;'1-Year'!$K$4,FALSE),MATCH(K1280,Data!$A:$A,0)),NA())</f>
        <v>#N/A</v>
      </c>
    </row>
    <row r="1281" spans="11:12" x14ac:dyDescent="0.2">
      <c r="K1281" s="56" t="e">
        <f t="shared" si="80"/>
        <v>#N/A</v>
      </c>
      <c r="L1281" s="41" t="e">
        <f ca="1">IFERROR(INDEX(INDIRECT("Data!C"&amp;'1-Year'!$K$4,FALSE),MATCH(K1281,Data!$A:$A,0)),NA())</f>
        <v>#N/A</v>
      </c>
    </row>
    <row r="1282" spans="11:12" x14ac:dyDescent="0.2">
      <c r="K1282" s="56" t="e">
        <f t="shared" si="80"/>
        <v>#N/A</v>
      </c>
      <c r="L1282" s="41" t="e">
        <f ca="1">IFERROR(INDEX(INDIRECT("Data!C"&amp;'1-Year'!$K$4,FALSE),MATCH(K1282,Data!$A:$A,0)),NA())</f>
        <v>#N/A</v>
      </c>
    </row>
    <row r="1283" spans="11:12" x14ac:dyDescent="0.2">
      <c r="K1283" s="56" t="e">
        <f t="shared" si="80"/>
        <v>#N/A</v>
      </c>
      <c r="L1283" s="41" t="e">
        <f ca="1">IFERROR(INDEX(INDIRECT("Data!C"&amp;'1-Year'!$K$4,FALSE),MATCH(K1283,Data!$A:$A,0)),NA())</f>
        <v>#N/A</v>
      </c>
    </row>
    <row r="1284" spans="11:12" x14ac:dyDescent="0.2">
      <c r="K1284" s="56" t="e">
        <f t="shared" si="80"/>
        <v>#N/A</v>
      </c>
      <c r="L1284" s="41" t="e">
        <f ca="1">IFERROR(INDEX(INDIRECT("Data!C"&amp;'1-Year'!$K$4,FALSE),MATCH(K1284,Data!$A:$A,0)),NA())</f>
        <v>#N/A</v>
      </c>
    </row>
    <row r="1285" spans="11:12" x14ac:dyDescent="0.2">
      <c r="K1285" s="56" t="e">
        <f t="shared" ref="K1285:K1348" si="81">IF(K1284+1&lt;=$C$7,K1284+1,NA())</f>
        <v>#N/A</v>
      </c>
      <c r="L1285" s="41" t="e">
        <f ca="1">IFERROR(INDEX(INDIRECT("Data!C"&amp;'1-Year'!$K$4,FALSE),MATCH(K1285,Data!$A:$A,0)),NA())</f>
        <v>#N/A</v>
      </c>
    </row>
    <row r="1286" spans="11:12" x14ac:dyDescent="0.2">
      <c r="K1286" s="56" t="e">
        <f t="shared" si="81"/>
        <v>#N/A</v>
      </c>
      <c r="L1286" s="41" t="e">
        <f ca="1">IFERROR(INDEX(INDIRECT("Data!C"&amp;'1-Year'!$K$4,FALSE),MATCH(K1286,Data!$A:$A,0)),NA())</f>
        <v>#N/A</v>
      </c>
    </row>
    <row r="1287" spans="11:12" x14ac:dyDescent="0.2">
      <c r="K1287" s="56" t="e">
        <f t="shared" si="81"/>
        <v>#N/A</v>
      </c>
      <c r="L1287" s="41" t="e">
        <f ca="1">IFERROR(INDEX(INDIRECT("Data!C"&amp;'1-Year'!$K$4,FALSE),MATCH(K1287,Data!$A:$A,0)),NA())</f>
        <v>#N/A</v>
      </c>
    </row>
    <row r="1288" spans="11:12" x14ac:dyDescent="0.2">
      <c r="K1288" s="56" t="e">
        <f t="shared" si="81"/>
        <v>#N/A</v>
      </c>
      <c r="L1288" s="41" t="e">
        <f ca="1">IFERROR(INDEX(INDIRECT("Data!C"&amp;'1-Year'!$K$4,FALSE),MATCH(K1288,Data!$A:$A,0)),NA())</f>
        <v>#N/A</v>
      </c>
    </row>
    <row r="1289" spans="11:12" x14ac:dyDescent="0.2">
      <c r="K1289" s="56" t="e">
        <f t="shared" si="81"/>
        <v>#N/A</v>
      </c>
      <c r="L1289" s="41" t="e">
        <f ca="1">IFERROR(INDEX(INDIRECT("Data!C"&amp;'1-Year'!$K$4,FALSE),MATCH(K1289,Data!$A:$A,0)),NA())</f>
        <v>#N/A</v>
      </c>
    </row>
    <row r="1290" spans="11:12" x14ac:dyDescent="0.2">
      <c r="K1290" s="56" t="e">
        <f t="shared" si="81"/>
        <v>#N/A</v>
      </c>
      <c r="L1290" s="41" t="e">
        <f ca="1">IFERROR(INDEX(INDIRECT("Data!C"&amp;'1-Year'!$K$4,FALSE),MATCH(K1290,Data!$A:$A,0)),NA())</f>
        <v>#N/A</v>
      </c>
    </row>
    <row r="1291" spans="11:12" x14ac:dyDescent="0.2">
      <c r="K1291" s="56" t="e">
        <f t="shared" si="81"/>
        <v>#N/A</v>
      </c>
      <c r="L1291" s="41" t="e">
        <f ca="1">IFERROR(INDEX(INDIRECT("Data!C"&amp;'1-Year'!$K$4,FALSE),MATCH(K1291,Data!$A:$A,0)),NA())</f>
        <v>#N/A</v>
      </c>
    </row>
    <row r="1292" spans="11:12" x14ac:dyDescent="0.2">
      <c r="K1292" s="56" t="e">
        <f t="shared" si="81"/>
        <v>#N/A</v>
      </c>
      <c r="L1292" s="41" t="e">
        <f ca="1">IFERROR(INDEX(INDIRECT("Data!C"&amp;'1-Year'!$K$4,FALSE),MATCH(K1292,Data!$A:$A,0)),NA())</f>
        <v>#N/A</v>
      </c>
    </row>
    <row r="1293" spans="11:12" x14ac:dyDescent="0.2">
      <c r="K1293" s="56" t="e">
        <f t="shared" si="81"/>
        <v>#N/A</v>
      </c>
      <c r="L1293" s="41" t="e">
        <f ca="1">IFERROR(INDEX(INDIRECT("Data!C"&amp;'1-Year'!$K$4,FALSE),MATCH(K1293,Data!$A:$A,0)),NA())</f>
        <v>#N/A</v>
      </c>
    </row>
    <row r="1294" spans="11:12" x14ac:dyDescent="0.2">
      <c r="K1294" s="56" t="e">
        <f t="shared" si="81"/>
        <v>#N/A</v>
      </c>
      <c r="L1294" s="41" t="e">
        <f ca="1">IFERROR(INDEX(INDIRECT("Data!C"&amp;'1-Year'!$K$4,FALSE),MATCH(K1294,Data!$A:$A,0)),NA())</f>
        <v>#N/A</v>
      </c>
    </row>
    <row r="1295" spans="11:12" x14ac:dyDescent="0.2">
      <c r="K1295" s="56" t="e">
        <f t="shared" si="81"/>
        <v>#N/A</v>
      </c>
      <c r="L1295" s="41" t="e">
        <f ca="1">IFERROR(INDEX(INDIRECT("Data!C"&amp;'1-Year'!$K$4,FALSE),MATCH(K1295,Data!$A:$A,0)),NA())</f>
        <v>#N/A</v>
      </c>
    </row>
    <row r="1296" spans="11:12" x14ac:dyDescent="0.2">
      <c r="K1296" s="56" t="e">
        <f t="shared" si="81"/>
        <v>#N/A</v>
      </c>
      <c r="L1296" s="41" t="e">
        <f ca="1">IFERROR(INDEX(INDIRECT("Data!C"&amp;'1-Year'!$K$4,FALSE),MATCH(K1296,Data!$A:$A,0)),NA())</f>
        <v>#N/A</v>
      </c>
    </row>
    <row r="1297" spans="11:12" x14ac:dyDescent="0.2">
      <c r="K1297" s="56" t="e">
        <f t="shared" si="81"/>
        <v>#N/A</v>
      </c>
      <c r="L1297" s="41" t="e">
        <f ca="1">IFERROR(INDEX(INDIRECT("Data!C"&amp;'1-Year'!$K$4,FALSE),MATCH(K1297,Data!$A:$A,0)),NA())</f>
        <v>#N/A</v>
      </c>
    </row>
    <row r="1298" spans="11:12" x14ac:dyDescent="0.2">
      <c r="K1298" s="56" t="e">
        <f t="shared" si="81"/>
        <v>#N/A</v>
      </c>
      <c r="L1298" s="41" t="e">
        <f ca="1">IFERROR(INDEX(INDIRECT("Data!C"&amp;'1-Year'!$K$4,FALSE),MATCH(K1298,Data!$A:$A,0)),NA())</f>
        <v>#N/A</v>
      </c>
    </row>
    <row r="1299" spans="11:12" x14ac:dyDescent="0.2">
      <c r="K1299" s="56" t="e">
        <f t="shared" si="81"/>
        <v>#N/A</v>
      </c>
      <c r="L1299" s="41" t="e">
        <f ca="1">IFERROR(INDEX(INDIRECT("Data!C"&amp;'1-Year'!$K$4,FALSE),MATCH(K1299,Data!$A:$A,0)),NA())</f>
        <v>#N/A</v>
      </c>
    </row>
    <row r="1300" spans="11:12" x14ac:dyDescent="0.2">
      <c r="K1300" s="56" t="e">
        <f t="shared" si="81"/>
        <v>#N/A</v>
      </c>
      <c r="L1300" s="41" t="e">
        <f ca="1">IFERROR(INDEX(INDIRECT("Data!C"&amp;'1-Year'!$K$4,FALSE),MATCH(K1300,Data!$A:$A,0)),NA())</f>
        <v>#N/A</v>
      </c>
    </row>
    <row r="1301" spans="11:12" x14ac:dyDescent="0.2">
      <c r="K1301" s="56" t="e">
        <f t="shared" si="81"/>
        <v>#N/A</v>
      </c>
      <c r="L1301" s="41" t="e">
        <f ca="1">IFERROR(INDEX(INDIRECT("Data!C"&amp;'1-Year'!$K$4,FALSE),MATCH(K1301,Data!$A:$A,0)),NA())</f>
        <v>#N/A</v>
      </c>
    </row>
    <row r="1302" spans="11:12" x14ac:dyDescent="0.2">
      <c r="K1302" s="56" t="e">
        <f t="shared" si="81"/>
        <v>#N/A</v>
      </c>
      <c r="L1302" s="41" t="e">
        <f ca="1">IFERROR(INDEX(INDIRECT("Data!C"&amp;'1-Year'!$K$4,FALSE),MATCH(K1302,Data!$A:$A,0)),NA())</f>
        <v>#N/A</v>
      </c>
    </row>
    <row r="1303" spans="11:12" x14ac:dyDescent="0.2">
      <c r="K1303" s="56" t="e">
        <f t="shared" si="81"/>
        <v>#N/A</v>
      </c>
      <c r="L1303" s="41" t="e">
        <f ca="1">IFERROR(INDEX(INDIRECT("Data!C"&amp;'1-Year'!$K$4,FALSE),MATCH(K1303,Data!$A:$A,0)),NA())</f>
        <v>#N/A</v>
      </c>
    </row>
    <row r="1304" spans="11:12" x14ac:dyDescent="0.2">
      <c r="K1304" s="56" t="e">
        <f t="shared" si="81"/>
        <v>#N/A</v>
      </c>
      <c r="L1304" s="41" t="e">
        <f ca="1">IFERROR(INDEX(INDIRECT("Data!C"&amp;'1-Year'!$K$4,FALSE),MATCH(K1304,Data!$A:$A,0)),NA())</f>
        <v>#N/A</v>
      </c>
    </row>
    <row r="1305" spans="11:12" x14ac:dyDescent="0.2">
      <c r="K1305" s="56" t="e">
        <f t="shared" si="81"/>
        <v>#N/A</v>
      </c>
      <c r="L1305" s="41" t="e">
        <f ca="1">IFERROR(INDEX(INDIRECT("Data!C"&amp;'1-Year'!$K$4,FALSE),MATCH(K1305,Data!$A:$A,0)),NA())</f>
        <v>#N/A</v>
      </c>
    </row>
    <row r="1306" spans="11:12" x14ac:dyDescent="0.2">
      <c r="K1306" s="56" t="e">
        <f t="shared" si="81"/>
        <v>#N/A</v>
      </c>
      <c r="L1306" s="41" t="e">
        <f ca="1">IFERROR(INDEX(INDIRECT("Data!C"&amp;'1-Year'!$K$4,FALSE),MATCH(K1306,Data!$A:$A,0)),NA())</f>
        <v>#N/A</v>
      </c>
    </row>
    <row r="1307" spans="11:12" x14ac:dyDescent="0.2">
      <c r="K1307" s="56" t="e">
        <f t="shared" si="81"/>
        <v>#N/A</v>
      </c>
      <c r="L1307" s="41" t="e">
        <f ca="1">IFERROR(INDEX(INDIRECT("Data!C"&amp;'1-Year'!$K$4,FALSE),MATCH(K1307,Data!$A:$A,0)),NA())</f>
        <v>#N/A</v>
      </c>
    </row>
    <row r="1308" spans="11:12" x14ac:dyDescent="0.2">
      <c r="K1308" s="56" t="e">
        <f t="shared" si="81"/>
        <v>#N/A</v>
      </c>
      <c r="L1308" s="41" t="e">
        <f ca="1">IFERROR(INDEX(INDIRECT("Data!C"&amp;'1-Year'!$K$4,FALSE),MATCH(K1308,Data!$A:$A,0)),NA())</f>
        <v>#N/A</v>
      </c>
    </row>
    <row r="1309" spans="11:12" x14ac:dyDescent="0.2">
      <c r="K1309" s="56" t="e">
        <f t="shared" si="81"/>
        <v>#N/A</v>
      </c>
      <c r="L1309" s="41" t="e">
        <f ca="1">IFERROR(INDEX(INDIRECT("Data!C"&amp;'1-Year'!$K$4,FALSE),MATCH(K1309,Data!$A:$A,0)),NA())</f>
        <v>#N/A</v>
      </c>
    </row>
    <row r="1310" spans="11:12" x14ac:dyDescent="0.2">
      <c r="K1310" s="56" t="e">
        <f t="shared" si="81"/>
        <v>#N/A</v>
      </c>
      <c r="L1310" s="41" t="e">
        <f ca="1">IFERROR(INDEX(INDIRECT("Data!C"&amp;'1-Year'!$K$4,FALSE),MATCH(K1310,Data!$A:$A,0)),NA())</f>
        <v>#N/A</v>
      </c>
    </row>
    <row r="1311" spans="11:12" x14ac:dyDescent="0.2">
      <c r="K1311" s="56" t="e">
        <f t="shared" si="81"/>
        <v>#N/A</v>
      </c>
      <c r="L1311" s="41" t="e">
        <f ca="1">IFERROR(INDEX(INDIRECT("Data!C"&amp;'1-Year'!$K$4,FALSE),MATCH(K1311,Data!$A:$A,0)),NA())</f>
        <v>#N/A</v>
      </c>
    </row>
    <row r="1312" spans="11:12" x14ac:dyDescent="0.2">
      <c r="K1312" s="56" t="e">
        <f t="shared" si="81"/>
        <v>#N/A</v>
      </c>
      <c r="L1312" s="41" t="e">
        <f ca="1">IFERROR(INDEX(INDIRECT("Data!C"&amp;'1-Year'!$K$4,FALSE),MATCH(K1312,Data!$A:$A,0)),NA())</f>
        <v>#N/A</v>
      </c>
    </row>
    <row r="1313" spans="11:12" x14ac:dyDescent="0.2">
      <c r="K1313" s="56" t="e">
        <f t="shared" si="81"/>
        <v>#N/A</v>
      </c>
      <c r="L1313" s="41" t="e">
        <f ca="1">IFERROR(INDEX(INDIRECT("Data!C"&amp;'1-Year'!$K$4,FALSE),MATCH(K1313,Data!$A:$A,0)),NA())</f>
        <v>#N/A</v>
      </c>
    </row>
    <row r="1314" spans="11:12" x14ac:dyDescent="0.2">
      <c r="K1314" s="56" t="e">
        <f t="shared" si="81"/>
        <v>#N/A</v>
      </c>
      <c r="L1314" s="41" t="e">
        <f ca="1">IFERROR(INDEX(INDIRECT("Data!C"&amp;'1-Year'!$K$4,FALSE),MATCH(K1314,Data!$A:$A,0)),NA())</f>
        <v>#N/A</v>
      </c>
    </row>
    <row r="1315" spans="11:12" x14ac:dyDescent="0.2">
      <c r="K1315" s="56" t="e">
        <f t="shared" si="81"/>
        <v>#N/A</v>
      </c>
      <c r="L1315" s="41" t="e">
        <f ca="1">IFERROR(INDEX(INDIRECT("Data!C"&amp;'1-Year'!$K$4,FALSE),MATCH(K1315,Data!$A:$A,0)),NA())</f>
        <v>#N/A</v>
      </c>
    </row>
    <row r="1316" spans="11:12" x14ac:dyDescent="0.2">
      <c r="K1316" s="56" t="e">
        <f t="shared" si="81"/>
        <v>#N/A</v>
      </c>
      <c r="L1316" s="41" t="e">
        <f ca="1">IFERROR(INDEX(INDIRECT("Data!C"&amp;'1-Year'!$K$4,FALSE),MATCH(K1316,Data!$A:$A,0)),NA())</f>
        <v>#N/A</v>
      </c>
    </row>
    <row r="1317" spans="11:12" x14ac:dyDescent="0.2">
      <c r="K1317" s="56" t="e">
        <f t="shared" si="81"/>
        <v>#N/A</v>
      </c>
      <c r="L1317" s="41" t="e">
        <f ca="1">IFERROR(INDEX(INDIRECT("Data!C"&amp;'1-Year'!$K$4,FALSE),MATCH(K1317,Data!$A:$A,0)),NA())</f>
        <v>#N/A</v>
      </c>
    </row>
    <row r="1318" spans="11:12" x14ac:dyDescent="0.2">
      <c r="K1318" s="56" t="e">
        <f t="shared" si="81"/>
        <v>#N/A</v>
      </c>
      <c r="L1318" s="41" t="e">
        <f ca="1">IFERROR(INDEX(INDIRECT("Data!C"&amp;'1-Year'!$K$4,FALSE),MATCH(K1318,Data!$A:$A,0)),NA())</f>
        <v>#N/A</v>
      </c>
    </row>
    <row r="1319" spans="11:12" x14ac:dyDescent="0.2">
      <c r="K1319" s="56" t="e">
        <f t="shared" si="81"/>
        <v>#N/A</v>
      </c>
      <c r="L1319" s="41" t="e">
        <f ca="1">IFERROR(INDEX(INDIRECT("Data!C"&amp;'1-Year'!$K$4,FALSE),MATCH(K1319,Data!$A:$A,0)),NA())</f>
        <v>#N/A</v>
      </c>
    </row>
    <row r="1320" spans="11:12" x14ac:dyDescent="0.2">
      <c r="K1320" s="56" t="e">
        <f t="shared" si="81"/>
        <v>#N/A</v>
      </c>
      <c r="L1320" s="41" t="e">
        <f ca="1">IFERROR(INDEX(INDIRECT("Data!C"&amp;'1-Year'!$K$4,FALSE),MATCH(K1320,Data!$A:$A,0)),NA())</f>
        <v>#N/A</v>
      </c>
    </row>
    <row r="1321" spans="11:12" x14ac:dyDescent="0.2">
      <c r="K1321" s="56" t="e">
        <f t="shared" si="81"/>
        <v>#N/A</v>
      </c>
      <c r="L1321" s="41" t="e">
        <f ca="1">IFERROR(INDEX(INDIRECT("Data!C"&amp;'1-Year'!$K$4,FALSE),MATCH(K1321,Data!$A:$A,0)),NA())</f>
        <v>#N/A</v>
      </c>
    </row>
    <row r="1322" spans="11:12" x14ac:dyDescent="0.2">
      <c r="K1322" s="56" t="e">
        <f t="shared" si="81"/>
        <v>#N/A</v>
      </c>
      <c r="L1322" s="41" t="e">
        <f ca="1">IFERROR(INDEX(INDIRECT("Data!C"&amp;'1-Year'!$K$4,FALSE),MATCH(K1322,Data!$A:$A,0)),NA())</f>
        <v>#N/A</v>
      </c>
    </row>
    <row r="1323" spans="11:12" x14ac:dyDescent="0.2">
      <c r="K1323" s="56" t="e">
        <f t="shared" si="81"/>
        <v>#N/A</v>
      </c>
      <c r="L1323" s="41" t="e">
        <f ca="1">IFERROR(INDEX(INDIRECT("Data!C"&amp;'1-Year'!$K$4,FALSE),MATCH(K1323,Data!$A:$A,0)),NA())</f>
        <v>#N/A</v>
      </c>
    </row>
    <row r="1324" spans="11:12" x14ac:dyDescent="0.2">
      <c r="K1324" s="56" t="e">
        <f t="shared" si="81"/>
        <v>#N/A</v>
      </c>
      <c r="L1324" s="41" t="e">
        <f ca="1">IFERROR(INDEX(INDIRECT("Data!C"&amp;'1-Year'!$K$4,FALSE),MATCH(K1324,Data!$A:$A,0)),NA())</f>
        <v>#N/A</v>
      </c>
    </row>
    <row r="1325" spans="11:12" x14ac:dyDescent="0.2">
      <c r="K1325" s="56" t="e">
        <f t="shared" si="81"/>
        <v>#N/A</v>
      </c>
      <c r="L1325" s="41" t="e">
        <f ca="1">IFERROR(INDEX(INDIRECT("Data!C"&amp;'1-Year'!$K$4,FALSE),MATCH(K1325,Data!$A:$A,0)),NA())</f>
        <v>#N/A</v>
      </c>
    </row>
    <row r="1326" spans="11:12" x14ac:dyDescent="0.2">
      <c r="K1326" s="56" t="e">
        <f t="shared" si="81"/>
        <v>#N/A</v>
      </c>
      <c r="L1326" s="41" t="e">
        <f ca="1">IFERROR(INDEX(INDIRECT("Data!C"&amp;'1-Year'!$K$4,FALSE),MATCH(K1326,Data!$A:$A,0)),NA())</f>
        <v>#N/A</v>
      </c>
    </row>
    <row r="1327" spans="11:12" x14ac:dyDescent="0.2">
      <c r="K1327" s="56" t="e">
        <f t="shared" si="81"/>
        <v>#N/A</v>
      </c>
      <c r="L1327" s="41" t="e">
        <f ca="1">IFERROR(INDEX(INDIRECT("Data!C"&amp;'1-Year'!$K$4,FALSE),MATCH(K1327,Data!$A:$A,0)),NA())</f>
        <v>#N/A</v>
      </c>
    </row>
    <row r="1328" spans="11:12" x14ac:dyDescent="0.2">
      <c r="K1328" s="56" t="e">
        <f t="shared" si="81"/>
        <v>#N/A</v>
      </c>
      <c r="L1328" s="41" t="e">
        <f ca="1">IFERROR(INDEX(INDIRECT("Data!C"&amp;'1-Year'!$K$4,FALSE),MATCH(K1328,Data!$A:$A,0)),NA())</f>
        <v>#N/A</v>
      </c>
    </row>
    <row r="1329" spans="11:12" x14ac:dyDescent="0.2">
      <c r="K1329" s="56" t="e">
        <f t="shared" si="81"/>
        <v>#N/A</v>
      </c>
      <c r="L1329" s="41" t="e">
        <f ca="1">IFERROR(INDEX(INDIRECT("Data!C"&amp;'1-Year'!$K$4,FALSE),MATCH(K1329,Data!$A:$A,0)),NA())</f>
        <v>#N/A</v>
      </c>
    </row>
    <row r="1330" spans="11:12" x14ac:dyDescent="0.2">
      <c r="K1330" s="56" t="e">
        <f t="shared" si="81"/>
        <v>#N/A</v>
      </c>
      <c r="L1330" s="41" t="e">
        <f ca="1">IFERROR(INDEX(INDIRECT("Data!C"&amp;'1-Year'!$K$4,FALSE),MATCH(K1330,Data!$A:$A,0)),NA())</f>
        <v>#N/A</v>
      </c>
    </row>
    <row r="1331" spans="11:12" x14ac:dyDescent="0.2">
      <c r="K1331" s="56" t="e">
        <f t="shared" si="81"/>
        <v>#N/A</v>
      </c>
      <c r="L1331" s="41" t="e">
        <f ca="1">IFERROR(INDEX(INDIRECT("Data!C"&amp;'1-Year'!$K$4,FALSE),MATCH(K1331,Data!$A:$A,0)),NA())</f>
        <v>#N/A</v>
      </c>
    </row>
    <row r="1332" spans="11:12" x14ac:dyDescent="0.2">
      <c r="K1332" s="56" t="e">
        <f t="shared" si="81"/>
        <v>#N/A</v>
      </c>
      <c r="L1332" s="41" t="e">
        <f ca="1">IFERROR(INDEX(INDIRECT("Data!C"&amp;'1-Year'!$K$4,FALSE),MATCH(K1332,Data!$A:$A,0)),NA())</f>
        <v>#N/A</v>
      </c>
    </row>
    <row r="1333" spans="11:12" x14ac:dyDescent="0.2">
      <c r="K1333" s="56" t="e">
        <f t="shared" si="81"/>
        <v>#N/A</v>
      </c>
      <c r="L1333" s="41" t="e">
        <f ca="1">IFERROR(INDEX(INDIRECT("Data!C"&amp;'1-Year'!$K$4,FALSE),MATCH(K1333,Data!$A:$A,0)),NA())</f>
        <v>#N/A</v>
      </c>
    </row>
    <row r="1334" spans="11:12" x14ac:dyDescent="0.2">
      <c r="K1334" s="56" t="e">
        <f t="shared" si="81"/>
        <v>#N/A</v>
      </c>
      <c r="L1334" s="41" t="e">
        <f ca="1">IFERROR(INDEX(INDIRECT("Data!C"&amp;'1-Year'!$K$4,FALSE),MATCH(K1334,Data!$A:$A,0)),NA())</f>
        <v>#N/A</v>
      </c>
    </row>
    <row r="1335" spans="11:12" x14ac:dyDescent="0.2">
      <c r="K1335" s="56" t="e">
        <f t="shared" si="81"/>
        <v>#N/A</v>
      </c>
      <c r="L1335" s="41" t="e">
        <f ca="1">IFERROR(INDEX(INDIRECT("Data!C"&amp;'1-Year'!$K$4,FALSE),MATCH(K1335,Data!$A:$A,0)),NA())</f>
        <v>#N/A</v>
      </c>
    </row>
    <row r="1336" spans="11:12" x14ac:dyDescent="0.2">
      <c r="K1336" s="56" t="e">
        <f t="shared" si="81"/>
        <v>#N/A</v>
      </c>
      <c r="L1336" s="41" t="e">
        <f ca="1">IFERROR(INDEX(INDIRECT("Data!C"&amp;'1-Year'!$K$4,FALSE),MATCH(K1336,Data!$A:$A,0)),NA())</f>
        <v>#N/A</v>
      </c>
    </row>
    <row r="1337" spans="11:12" x14ac:dyDescent="0.2">
      <c r="K1337" s="56" t="e">
        <f t="shared" si="81"/>
        <v>#N/A</v>
      </c>
      <c r="L1337" s="41" t="e">
        <f ca="1">IFERROR(INDEX(INDIRECT("Data!C"&amp;'1-Year'!$K$4,FALSE),MATCH(K1337,Data!$A:$A,0)),NA())</f>
        <v>#N/A</v>
      </c>
    </row>
    <row r="1338" spans="11:12" x14ac:dyDescent="0.2">
      <c r="K1338" s="56" t="e">
        <f t="shared" si="81"/>
        <v>#N/A</v>
      </c>
      <c r="L1338" s="41" t="e">
        <f ca="1">IFERROR(INDEX(INDIRECT("Data!C"&amp;'1-Year'!$K$4,FALSE),MATCH(K1338,Data!$A:$A,0)),NA())</f>
        <v>#N/A</v>
      </c>
    </row>
    <row r="1339" spans="11:12" x14ac:dyDescent="0.2">
      <c r="K1339" s="56" t="e">
        <f t="shared" si="81"/>
        <v>#N/A</v>
      </c>
      <c r="L1339" s="41" t="e">
        <f ca="1">IFERROR(INDEX(INDIRECT("Data!C"&amp;'1-Year'!$K$4,FALSE),MATCH(K1339,Data!$A:$A,0)),NA())</f>
        <v>#N/A</v>
      </c>
    </row>
    <row r="1340" spans="11:12" x14ac:dyDescent="0.2">
      <c r="K1340" s="56" t="e">
        <f t="shared" si="81"/>
        <v>#N/A</v>
      </c>
      <c r="L1340" s="41" t="e">
        <f ca="1">IFERROR(INDEX(INDIRECT("Data!C"&amp;'1-Year'!$K$4,FALSE),MATCH(K1340,Data!$A:$A,0)),NA())</f>
        <v>#N/A</v>
      </c>
    </row>
    <row r="1341" spans="11:12" x14ac:dyDescent="0.2">
      <c r="K1341" s="56" t="e">
        <f t="shared" si="81"/>
        <v>#N/A</v>
      </c>
      <c r="L1341" s="41" t="e">
        <f ca="1">IFERROR(INDEX(INDIRECT("Data!C"&amp;'1-Year'!$K$4,FALSE),MATCH(K1341,Data!$A:$A,0)),NA())</f>
        <v>#N/A</v>
      </c>
    </row>
    <row r="1342" spans="11:12" x14ac:dyDescent="0.2">
      <c r="K1342" s="56" t="e">
        <f t="shared" si="81"/>
        <v>#N/A</v>
      </c>
      <c r="L1342" s="41" t="e">
        <f ca="1">IFERROR(INDEX(INDIRECT("Data!C"&amp;'1-Year'!$K$4,FALSE),MATCH(K1342,Data!$A:$A,0)),NA())</f>
        <v>#N/A</v>
      </c>
    </row>
    <row r="1343" spans="11:12" x14ac:dyDescent="0.2">
      <c r="K1343" s="56" t="e">
        <f t="shared" si="81"/>
        <v>#N/A</v>
      </c>
      <c r="L1343" s="41" t="e">
        <f ca="1">IFERROR(INDEX(INDIRECT("Data!C"&amp;'1-Year'!$K$4,FALSE),MATCH(K1343,Data!$A:$A,0)),NA())</f>
        <v>#N/A</v>
      </c>
    </row>
    <row r="1344" spans="11:12" x14ac:dyDescent="0.2">
      <c r="K1344" s="56" t="e">
        <f t="shared" si="81"/>
        <v>#N/A</v>
      </c>
      <c r="L1344" s="41" t="e">
        <f ca="1">IFERROR(INDEX(INDIRECT("Data!C"&amp;'1-Year'!$K$4,FALSE),MATCH(K1344,Data!$A:$A,0)),NA())</f>
        <v>#N/A</v>
      </c>
    </row>
    <row r="1345" spans="11:12" x14ac:dyDescent="0.2">
      <c r="K1345" s="56" t="e">
        <f t="shared" si="81"/>
        <v>#N/A</v>
      </c>
      <c r="L1345" s="41" t="e">
        <f ca="1">IFERROR(INDEX(INDIRECT("Data!C"&amp;'1-Year'!$K$4,FALSE),MATCH(K1345,Data!$A:$A,0)),NA())</f>
        <v>#N/A</v>
      </c>
    </row>
    <row r="1346" spans="11:12" x14ac:dyDescent="0.2">
      <c r="K1346" s="56" t="e">
        <f t="shared" si="81"/>
        <v>#N/A</v>
      </c>
      <c r="L1346" s="41" t="e">
        <f ca="1">IFERROR(INDEX(INDIRECT("Data!C"&amp;'1-Year'!$K$4,FALSE),MATCH(K1346,Data!$A:$A,0)),NA())</f>
        <v>#N/A</v>
      </c>
    </row>
    <row r="1347" spans="11:12" x14ac:dyDescent="0.2">
      <c r="K1347" s="56" t="e">
        <f t="shared" si="81"/>
        <v>#N/A</v>
      </c>
      <c r="L1347" s="41" t="e">
        <f ca="1">IFERROR(INDEX(INDIRECT("Data!C"&amp;'1-Year'!$K$4,FALSE),MATCH(K1347,Data!$A:$A,0)),NA())</f>
        <v>#N/A</v>
      </c>
    </row>
    <row r="1348" spans="11:12" x14ac:dyDescent="0.2">
      <c r="K1348" s="56" t="e">
        <f t="shared" si="81"/>
        <v>#N/A</v>
      </c>
      <c r="L1348" s="41" t="e">
        <f ca="1">IFERROR(INDEX(INDIRECT("Data!C"&amp;'1-Year'!$K$4,FALSE),MATCH(K1348,Data!$A:$A,0)),NA())</f>
        <v>#N/A</v>
      </c>
    </row>
    <row r="1349" spans="11:12" x14ac:dyDescent="0.2">
      <c r="K1349" s="56" t="e">
        <f t="shared" ref="K1349:K1412" si="82">IF(K1348+1&lt;=$C$7,K1348+1,NA())</f>
        <v>#N/A</v>
      </c>
      <c r="L1349" s="41" t="e">
        <f ca="1">IFERROR(INDEX(INDIRECT("Data!C"&amp;'1-Year'!$K$4,FALSE),MATCH(K1349,Data!$A:$A,0)),NA())</f>
        <v>#N/A</v>
      </c>
    </row>
    <row r="1350" spans="11:12" x14ac:dyDescent="0.2">
      <c r="K1350" s="56" t="e">
        <f t="shared" si="82"/>
        <v>#N/A</v>
      </c>
      <c r="L1350" s="41" t="e">
        <f ca="1">IFERROR(INDEX(INDIRECT("Data!C"&amp;'1-Year'!$K$4,FALSE),MATCH(K1350,Data!$A:$A,0)),NA())</f>
        <v>#N/A</v>
      </c>
    </row>
    <row r="1351" spans="11:12" x14ac:dyDescent="0.2">
      <c r="K1351" s="56" t="e">
        <f t="shared" si="82"/>
        <v>#N/A</v>
      </c>
      <c r="L1351" s="41" t="e">
        <f ca="1">IFERROR(INDEX(INDIRECT("Data!C"&amp;'1-Year'!$K$4,FALSE),MATCH(K1351,Data!$A:$A,0)),NA())</f>
        <v>#N/A</v>
      </c>
    </row>
    <row r="1352" spans="11:12" x14ac:dyDescent="0.2">
      <c r="K1352" s="56" t="e">
        <f t="shared" si="82"/>
        <v>#N/A</v>
      </c>
      <c r="L1352" s="41" t="e">
        <f ca="1">IFERROR(INDEX(INDIRECT("Data!C"&amp;'1-Year'!$K$4,FALSE),MATCH(K1352,Data!$A:$A,0)),NA())</f>
        <v>#N/A</v>
      </c>
    </row>
    <row r="1353" spans="11:12" x14ac:dyDescent="0.2">
      <c r="K1353" s="56" t="e">
        <f t="shared" si="82"/>
        <v>#N/A</v>
      </c>
      <c r="L1353" s="41" t="e">
        <f ca="1">IFERROR(INDEX(INDIRECT("Data!C"&amp;'1-Year'!$K$4,FALSE),MATCH(K1353,Data!$A:$A,0)),NA())</f>
        <v>#N/A</v>
      </c>
    </row>
    <row r="1354" spans="11:12" x14ac:dyDescent="0.2">
      <c r="K1354" s="56" t="e">
        <f t="shared" si="82"/>
        <v>#N/A</v>
      </c>
      <c r="L1354" s="41" t="e">
        <f ca="1">IFERROR(INDEX(INDIRECT("Data!C"&amp;'1-Year'!$K$4,FALSE),MATCH(K1354,Data!$A:$A,0)),NA())</f>
        <v>#N/A</v>
      </c>
    </row>
    <row r="1355" spans="11:12" x14ac:dyDescent="0.2">
      <c r="K1355" s="56" t="e">
        <f t="shared" si="82"/>
        <v>#N/A</v>
      </c>
      <c r="L1355" s="41" t="e">
        <f ca="1">IFERROR(INDEX(INDIRECT("Data!C"&amp;'1-Year'!$K$4,FALSE),MATCH(K1355,Data!$A:$A,0)),NA())</f>
        <v>#N/A</v>
      </c>
    </row>
    <row r="1356" spans="11:12" x14ac:dyDescent="0.2">
      <c r="K1356" s="56" t="e">
        <f t="shared" si="82"/>
        <v>#N/A</v>
      </c>
      <c r="L1356" s="41" t="e">
        <f ca="1">IFERROR(INDEX(INDIRECT("Data!C"&amp;'1-Year'!$K$4,FALSE),MATCH(K1356,Data!$A:$A,0)),NA())</f>
        <v>#N/A</v>
      </c>
    </row>
    <row r="1357" spans="11:12" x14ac:dyDescent="0.2">
      <c r="K1357" s="56" t="e">
        <f t="shared" si="82"/>
        <v>#N/A</v>
      </c>
      <c r="L1357" s="41" t="e">
        <f ca="1">IFERROR(INDEX(INDIRECT("Data!C"&amp;'1-Year'!$K$4,FALSE),MATCH(K1357,Data!$A:$A,0)),NA())</f>
        <v>#N/A</v>
      </c>
    </row>
    <row r="1358" spans="11:12" x14ac:dyDescent="0.2">
      <c r="K1358" s="56" t="e">
        <f t="shared" si="82"/>
        <v>#N/A</v>
      </c>
      <c r="L1358" s="41" t="e">
        <f ca="1">IFERROR(INDEX(INDIRECT("Data!C"&amp;'1-Year'!$K$4,FALSE),MATCH(K1358,Data!$A:$A,0)),NA())</f>
        <v>#N/A</v>
      </c>
    </row>
    <row r="1359" spans="11:12" x14ac:dyDescent="0.2">
      <c r="K1359" s="56" t="e">
        <f t="shared" si="82"/>
        <v>#N/A</v>
      </c>
      <c r="L1359" s="41" t="e">
        <f ca="1">IFERROR(INDEX(INDIRECT("Data!C"&amp;'1-Year'!$K$4,FALSE),MATCH(K1359,Data!$A:$A,0)),NA())</f>
        <v>#N/A</v>
      </c>
    </row>
    <row r="1360" spans="11:12" x14ac:dyDescent="0.2">
      <c r="K1360" s="56" t="e">
        <f t="shared" si="82"/>
        <v>#N/A</v>
      </c>
      <c r="L1360" s="41" t="e">
        <f ca="1">IFERROR(INDEX(INDIRECT("Data!C"&amp;'1-Year'!$K$4,FALSE),MATCH(K1360,Data!$A:$A,0)),NA())</f>
        <v>#N/A</v>
      </c>
    </row>
    <row r="1361" spans="11:12" x14ac:dyDescent="0.2">
      <c r="K1361" s="56" t="e">
        <f t="shared" si="82"/>
        <v>#N/A</v>
      </c>
      <c r="L1361" s="41" t="e">
        <f ca="1">IFERROR(INDEX(INDIRECT("Data!C"&amp;'1-Year'!$K$4,FALSE),MATCH(K1361,Data!$A:$A,0)),NA())</f>
        <v>#N/A</v>
      </c>
    </row>
    <row r="1362" spans="11:12" x14ac:dyDescent="0.2">
      <c r="K1362" s="56" t="e">
        <f t="shared" si="82"/>
        <v>#N/A</v>
      </c>
      <c r="L1362" s="41" t="e">
        <f ca="1">IFERROR(INDEX(INDIRECT("Data!C"&amp;'1-Year'!$K$4,FALSE),MATCH(K1362,Data!$A:$A,0)),NA())</f>
        <v>#N/A</v>
      </c>
    </row>
    <row r="1363" spans="11:12" x14ac:dyDescent="0.2">
      <c r="K1363" s="56" t="e">
        <f t="shared" si="82"/>
        <v>#N/A</v>
      </c>
      <c r="L1363" s="41" t="e">
        <f ca="1">IFERROR(INDEX(INDIRECT("Data!C"&amp;'1-Year'!$K$4,FALSE),MATCH(K1363,Data!$A:$A,0)),NA())</f>
        <v>#N/A</v>
      </c>
    </row>
    <row r="1364" spans="11:12" x14ac:dyDescent="0.2">
      <c r="K1364" s="56" t="e">
        <f t="shared" si="82"/>
        <v>#N/A</v>
      </c>
      <c r="L1364" s="41" t="e">
        <f ca="1">IFERROR(INDEX(INDIRECT("Data!C"&amp;'1-Year'!$K$4,FALSE),MATCH(K1364,Data!$A:$A,0)),NA())</f>
        <v>#N/A</v>
      </c>
    </row>
    <row r="1365" spans="11:12" x14ac:dyDescent="0.2">
      <c r="K1365" s="56" t="e">
        <f t="shared" si="82"/>
        <v>#N/A</v>
      </c>
      <c r="L1365" s="41" t="e">
        <f ca="1">IFERROR(INDEX(INDIRECT("Data!C"&amp;'1-Year'!$K$4,FALSE),MATCH(K1365,Data!$A:$A,0)),NA())</f>
        <v>#N/A</v>
      </c>
    </row>
    <row r="1366" spans="11:12" x14ac:dyDescent="0.2">
      <c r="K1366" s="56" t="e">
        <f t="shared" si="82"/>
        <v>#N/A</v>
      </c>
      <c r="L1366" s="41" t="e">
        <f ca="1">IFERROR(INDEX(INDIRECT("Data!C"&amp;'1-Year'!$K$4,FALSE),MATCH(K1366,Data!$A:$A,0)),NA())</f>
        <v>#N/A</v>
      </c>
    </row>
    <row r="1367" spans="11:12" x14ac:dyDescent="0.2">
      <c r="K1367" s="56" t="e">
        <f t="shared" si="82"/>
        <v>#N/A</v>
      </c>
      <c r="L1367" s="41" t="e">
        <f ca="1">IFERROR(INDEX(INDIRECT("Data!C"&amp;'1-Year'!$K$4,FALSE),MATCH(K1367,Data!$A:$A,0)),NA())</f>
        <v>#N/A</v>
      </c>
    </row>
    <row r="1368" spans="11:12" x14ac:dyDescent="0.2">
      <c r="K1368" s="56" t="e">
        <f t="shared" si="82"/>
        <v>#N/A</v>
      </c>
      <c r="L1368" s="41" t="e">
        <f ca="1">IFERROR(INDEX(INDIRECT("Data!C"&amp;'1-Year'!$K$4,FALSE),MATCH(K1368,Data!$A:$A,0)),NA())</f>
        <v>#N/A</v>
      </c>
    </row>
    <row r="1369" spans="11:12" x14ac:dyDescent="0.2">
      <c r="K1369" s="56" t="e">
        <f t="shared" si="82"/>
        <v>#N/A</v>
      </c>
      <c r="L1369" s="41" t="e">
        <f ca="1">IFERROR(INDEX(INDIRECT("Data!C"&amp;'1-Year'!$K$4,FALSE),MATCH(K1369,Data!$A:$A,0)),NA())</f>
        <v>#N/A</v>
      </c>
    </row>
    <row r="1370" spans="11:12" x14ac:dyDescent="0.2">
      <c r="K1370" s="56" t="e">
        <f t="shared" si="82"/>
        <v>#N/A</v>
      </c>
      <c r="L1370" s="41" t="e">
        <f ca="1">IFERROR(INDEX(INDIRECT("Data!C"&amp;'1-Year'!$K$4,FALSE),MATCH(K1370,Data!$A:$A,0)),NA())</f>
        <v>#N/A</v>
      </c>
    </row>
    <row r="1371" spans="11:12" x14ac:dyDescent="0.2">
      <c r="K1371" s="56" t="e">
        <f t="shared" si="82"/>
        <v>#N/A</v>
      </c>
      <c r="L1371" s="41" t="e">
        <f ca="1">IFERROR(INDEX(INDIRECT("Data!C"&amp;'1-Year'!$K$4,FALSE),MATCH(K1371,Data!$A:$A,0)),NA())</f>
        <v>#N/A</v>
      </c>
    </row>
    <row r="1372" spans="11:12" x14ac:dyDescent="0.2">
      <c r="K1372" s="56" t="e">
        <f t="shared" si="82"/>
        <v>#N/A</v>
      </c>
      <c r="L1372" s="41" t="e">
        <f ca="1">IFERROR(INDEX(INDIRECT("Data!C"&amp;'1-Year'!$K$4,FALSE),MATCH(K1372,Data!$A:$A,0)),NA())</f>
        <v>#N/A</v>
      </c>
    </row>
    <row r="1373" spans="11:12" x14ac:dyDescent="0.2">
      <c r="K1373" s="56" t="e">
        <f t="shared" si="82"/>
        <v>#N/A</v>
      </c>
      <c r="L1373" s="41" t="e">
        <f ca="1">IFERROR(INDEX(INDIRECT("Data!C"&amp;'1-Year'!$K$4,FALSE),MATCH(K1373,Data!$A:$A,0)),NA())</f>
        <v>#N/A</v>
      </c>
    </row>
    <row r="1374" spans="11:12" x14ac:dyDescent="0.2">
      <c r="K1374" s="56" t="e">
        <f t="shared" si="82"/>
        <v>#N/A</v>
      </c>
      <c r="L1374" s="41" t="e">
        <f ca="1">IFERROR(INDEX(INDIRECT("Data!C"&amp;'1-Year'!$K$4,FALSE),MATCH(K1374,Data!$A:$A,0)),NA())</f>
        <v>#N/A</v>
      </c>
    </row>
    <row r="1375" spans="11:12" x14ac:dyDescent="0.2">
      <c r="K1375" s="56" t="e">
        <f t="shared" si="82"/>
        <v>#N/A</v>
      </c>
      <c r="L1375" s="41" t="e">
        <f ca="1">IFERROR(INDEX(INDIRECT("Data!C"&amp;'1-Year'!$K$4,FALSE),MATCH(K1375,Data!$A:$A,0)),NA())</f>
        <v>#N/A</v>
      </c>
    </row>
    <row r="1376" spans="11:12" x14ac:dyDescent="0.2">
      <c r="K1376" s="56" t="e">
        <f t="shared" si="82"/>
        <v>#N/A</v>
      </c>
      <c r="L1376" s="41" t="e">
        <f ca="1">IFERROR(INDEX(INDIRECT("Data!C"&amp;'1-Year'!$K$4,FALSE),MATCH(K1376,Data!$A:$A,0)),NA())</f>
        <v>#N/A</v>
      </c>
    </row>
    <row r="1377" spans="11:12" x14ac:dyDescent="0.2">
      <c r="K1377" s="56" t="e">
        <f t="shared" si="82"/>
        <v>#N/A</v>
      </c>
      <c r="L1377" s="41" t="e">
        <f ca="1">IFERROR(INDEX(INDIRECT("Data!C"&amp;'1-Year'!$K$4,FALSE),MATCH(K1377,Data!$A:$A,0)),NA())</f>
        <v>#N/A</v>
      </c>
    </row>
    <row r="1378" spans="11:12" x14ac:dyDescent="0.2">
      <c r="K1378" s="56" t="e">
        <f t="shared" si="82"/>
        <v>#N/A</v>
      </c>
      <c r="L1378" s="41" t="e">
        <f ca="1">IFERROR(INDEX(INDIRECT("Data!C"&amp;'1-Year'!$K$4,FALSE),MATCH(K1378,Data!$A:$A,0)),NA())</f>
        <v>#N/A</v>
      </c>
    </row>
    <row r="1379" spans="11:12" x14ac:dyDescent="0.2">
      <c r="K1379" s="56" t="e">
        <f t="shared" si="82"/>
        <v>#N/A</v>
      </c>
      <c r="L1379" s="41" t="e">
        <f ca="1">IFERROR(INDEX(INDIRECT("Data!C"&amp;'1-Year'!$K$4,FALSE),MATCH(K1379,Data!$A:$A,0)),NA())</f>
        <v>#N/A</v>
      </c>
    </row>
    <row r="1380" spans="11:12" x14ac:dyDescent="0.2">
      <c r="K1380" s="56" t="e">
        <f t="shared" si="82"/>
        <v>#N/A</v>
      </c>
      <c r="L1380" s="41" t="e">
        <f ca="1">IFERROR(INDEX(INDIRECT("Data!C"&amp;'1-Year'!$K$4,FALSE),MATCH(K1380,Data!$A:$A,0)),NA())</f>
        <v>#N/A</v>
      </c>
    </row>
    <row r="1381" spans="11:12" x14ac:dyDescent="0.2">
      <c r="K1381" s="56" t="e">
        <f t="shared" si="82"/>
        <v>#N/A</v>
      </c>
      <c r="L1381" s="41" t="e">
        <f ca="1">IFERROR(INDEX(INDIRECT("Data!C"&amp;'1-Year'!$K$4,FALSE),MATCH(K1381,Data!$A:$A,0)),NA())</f>
        <v>#N/A</v>
      </c>
    </row>
    <row r="1382" spans="11:12" x14ac:dyDescent="0.2">
      <c r="K1382" s="56" t="e">
        <f t="shared" si="82"/>
        <v>#N/A</v>
      </c>
      <c r="L1382" s="41" t="e">
        <f ca="1">IFERROR(INDEX(INDIRECT("Data!C"&amp;'1-Year'!$K$4,FALSE),MATCH(K1382,Data!$A:$A,0)),NA())</f>
        <v>#N/A</v>
      </c>
    </row>
    <row r="1383" spans="11:12" x14ac:dyDescent="0.2">
      <c r="K1383" s="56" t="e">
        <f t="shared" si="82"/>
        <v>#N/A</v>
      </c>
      <c r="L1383" s="41" t="e">
        <f ca="1">IFERROR(INDEX(INDIRECT("Data!C"&amp;'1-Year'!$K$4,FALSE),MATCH(K1383,Data!$A:$A,0)),NA())</f>
        <v>#N/A</v>
      </c>
    </row>
    <row r="1384" spans="11:12" x14ac:dyDescent="0.2">
      <c r="K1384" s="56" t="e">
        <f t="shared" si="82"/>
        <v>#N/A</v>
      </c>
      <c r="L1384" s="41" t="e">
        <f ca="1">IFERROR(INDEX(INDIRECT("Data!C"&amp;'1-Year'!$K$4,FALSE),MATCH(K1384,Data!$A:$A,0)),NA())</f>
        <v>#N/A</v>
      </c>
    </row>
    <row r="1385" spans="11:12" x14ac:dyDescent="0.2">
      <c r="K1385" s="56" t="e">
        <f t="shared" si="82"/>
        <v>#N/A</v>
      </c>
      <c r="L1385" s="41" t="e">
        <f ca="1">IFERROR(INDEX(INDIRECT("Data!C"&amp;'1-Year'!$K$4,FALSE),MATCH(K1385,Data!$A:$A,0)),NA())</f>
        <v>#N/A</v>
      </c>
    </row>
    <row r="1386" spans="11:12" x14ac:dyDescent="0.2">
      <c r="K1386" s="56" t="e">
        <f t="shared" si="82"/>
        <v>#N/A</v>
      </c>
      <c r="L1386" s="41" t="e">
        <f ca="1">IFERROR(INDEX(INDIRECT("Data!C"&amp;'1-Year'!$K$4,FALSE),MATCH(K1386,Data!$A:$A,0)),NA())</f>
        <v>#N/A</v>
      </c>
    </row>
    <row r="1387" spans="11:12" x14ac:dyDescent="0.2">
      <c r="K1387" s="56" t="e">
        <f t="shared" si="82"/>
        <v>#N/A</v>
      </c>
      <c r="L1387" s="41" t="e">
        <f ca="1">IFERROR(INDEX(INDIRECT("Data!C"&amp;'1-Year'!$K$4,FALSE),MATCH(K1387,Data!$A:$A,0)),NA())</f>
        <v>#N/A</v>
      </c>
    </row>
    <row r="1388" spans="11:12" x14ac:dyDescent="0.2">
      <c r="K1388" s="56" t="e">
        <f t="shared" si="82"/>
        <v>#N/A</v>
      </c>
      <c r="L1388" s="41" t="e">
        <f ca="1">IFERROR(INDEX(INDIRECT("Data!C"&amp;'1-Year'!$K$4,FALSE),MATCH(K1388,Data!$A:$A,0)),NA())</f>
        <v>#N/A</v>
      </c>
    </row>
    <row r="1389" spans="11:12" x14ac:dyDescent="0.2">
      <c r="K1389" s="56" t="e">
        <f t="shared" si="82"/>
        <v>#N/A</v>
      </c>
      <c r="L1389" s="41" t="e">
        <f ca="1">IFERROR(INDEX(INDIRECT("Data!C"&amp;'1-Year'!$K$4,FALSE),MATCH(K1389,Data!$A:$A,0)),NA())</f>
        <v>#N/A</v>
      </c>
    </row>
    <row r="1390" spans="11:12" x14ac:dyDescent="0.2">
      <c r="K1390" s="56" t="e">
        <f t="shared" si="82"/>
        <v>#N/A</v>
      </c>
      <c r="L1390" s="41" t="e">
        <f ca="1">IFERROR(INDEX(INDIRECT("Data!C"&amp;'1-Year'!$K$4,FALSE),MATCH(K1390,Data!$A:$A,0)),NA())</f>
        <v>#N/A</v>
      </c>
    </row>
    <row r="1391" spans="11:12" x14ac:dyDescent="0.2">
      <c r="K1391" s="56" t="e">
        <f t="shared" si="82"/>
        <v>#N/A</v>
      </c>
      <c r="L1391" s="41" t="e">
        <f ca="1">IFERROR(INDEX(INDIRECT("Data!C"&amp;'1-Year'!$K$4,FALSE),MATCH(K1391,Data!$A:$A,0)),NA())</f>
        <v>#N/A</v>
      </c>
    </row>
    <row r="1392" spans="11:12" x14ac:dyDescent="0.2">
      <c r="K1392" s="56" t="e">
        <f t="shared" si="82"/>
        <v>#N/A</v>
      </c>
      <c r="L1392" s="41" t="e">
        <f ca="1">IFERROR(INDEX(INDIRECT("Data!C"&amp;'1-Year'!$K$4,FALSE),MATCH(K1392,Data!$A:$A,0)),NA())</f>
        <v>#N/A</v>
      </c>
    </row>
    <row r="1393" spans="11:12" x14ac:dyDescent="0.2">
      <c r="K1393" s="56" t="e">
        <f t="shared" si="82"/>
        <v>#N/A</v>
      </c>
      <c r="L1393" s="41" t="e">
        <f ca="1">IFERROR(INDEX(INDIRECT("Data!C"&amp;'1-Year'!$K$4,FALSE),MATCH(K1393,Data!$A:$A,0)),NA())</f>
        <v>#N/A</v>
      </c>
    </row>
    <row r="1394" spans="11:12" x14ac:dyDescent="0.2">
      <c r="K1394" s="56" t="e">
        <f t="shared" si="82"/>
        <v>#N/A</v>
      </c>
      <c r="L1394" s="41" t="e">
        <f ca="1">IFERROR(INDEX(INDIRECT("Data!C"&amp;'1-Year'!$K$4,FALSE),MATCH(K1394,Data!$A:$A,0)),NA())</f>
        <v>#N/A</v>
      </c>
    </row>
    <row r="1395" spans="11:12" x14ac:dyDescent="0.2">
      <c r="K1395" s="56" t="e">
        <f t="shared" si="82"/>
        <v>#N/A</v>
      </c>
      <c r="L1395" s="41" t="e">
        <f ca="1">IFERROR(INDEX(INDIRECT("Data!C"&amp;'1-Year'!$K$4,FALSE),MATCH(K1395,Data!$A:$A,0)),NA())</f>
        <v>#N/A</v>
      </c>
    </row>
    <row r="1396" spans="11:12" x14ac:dyDescent="0.2">
      <c r="K1396" s="56" t="e">
        <f t="shared" si="82"/>
        <v>#N/A</v>
      </c>
      <c r="L1396" s="41" t="e">
        <f ca="1">IFERROR(INDEX(INDIRECT("Data!C"&amp;'1-Year'!$K$4,FALSE),MATCH(K1396,Data!$A:$A,0)),NA())</f>
        <v>#N/A</v>
      </c>
    </row>
    <row r="1397" spans="11:12" x14ac:dyDescent="0.2">
      <c r="K1397" s="56" t="e">
        <f t="shared" si="82"/>
        <v>#N/A</v>
      </c>
      <c r="L1397" s="41" t="e">
        <f ca="1">IFERROR(INDEX(INDIRECT("Data!C"&amp;'1-Year'!$K$4,FALSE),MATCH(K1397,Data!$A:$A,0)),NA())</f>
        <v>#N/A</v>
      </c>
    </row>
    <row r="1398" spans="11:12" x14ac:dyDescent="0.2">
      <c r="K1398" s="56" t="e">
        <f t="shared" si="82"/>
        <v>#N/A</v>
      </c>
      <c r="L1398" s="41" t="e">
        <f ca="1">IFERROR(INDEX(INDIRECT("Data!C"&amp;'1-Year'!$K$4,FALSE),MATCH(K1398,Data!$A:$A,0)),NA())</f>
        <v>#N/A</v>
      </c>
    </row>
    <row r="1399" spans="11:12" x14ac:dyDescent="0.2">
      <c r="K1399" s="56" t="e">
        <f t="shared" si="82"/>
        <v>#N/A</v>
      </c>
      <c r="L1399" s="41" t="e">
        <f ca="1">IFERROR(INDEX(INDIRECT("Data!C"&amp;'1-Year'!$K$4,FALSE),MATCH(K1399,Data!$A:$A,0)),NA())</f>
        <v>#N/A</v>
      </c>
    </row>
    <row r="1400" spans="11:12" x14ac:dyDescent="0.2">
      <c r="K1400" s="56" t="e">
        <f t="shared" si="82"/>
        <v>#N/A</v>
      </c>
      <c r="L1400" s="41" t="e">
        <f ca="1">IFERROR(INDEX(INDIRECT("Data!C"&amp;'1-Year'!$K$4,FALSE),MATCH(K1400,Data!$A:$A,0)),NA())</f>
        <v>#N/A</v>
      </c>
    </row>
    <row r="1401" spans="11:12" x14ac:dyDescent="0.2">
      <c r="K1401" s="56" t="e">
        <f t="shared" si="82"/>
        <v>#N/A</v>
      </c>
      <c r="L1401" s="41" t="e">
        <f ca="1">IFERROR(INDEX(INDIRECT("Data!C"&amp;'1-Year'!$K$4,FALSE),MATCH(K1401,Data!$A:$A,0)),NA())</f>
        <v>#N/A</v>
      </c>
    </row>
    <row r="1402" spans="11:12" x14ac:dyDescent="0.2">
      <c r="K1402" s="56" t="e">
        <f t="shared" si="82"/>
        <v>#N/A</v>
      </c>
      <c r="L1402" s="41" t="e">
        <f ca="1">IFERROR(INDEX(INDIRECT("Data!C"&amp;'1-Year'!$K$4,FALSE),MATCH(K1402,Data!$A:$A,0)),NA())</f>
        <v>#N/A</v>
      </c>
    </row>
    <row r="1403" spans="11:12" x14ac:dyDescent="0.2">
      <c r="K1403" s="56" t="e">
        <f t="shared" si="82"/>
        <v>#N/A</v>
      </c>
      <c r="L1403" s="41" t="e">
        <f ca="1">IFERROR(INDEX(INDIRECT("Data!C"&amp;'1-Year'!$K$4,FALSE),MATCH(K1403,Data!$A:$A,0)),NA())</f>
        <v>#N/A</v>
      </c>
    </row>
    <row r="1404" spans="11:12" x14ac:dyDescent="0.2">
      <c r="K1404" s="56" t="e">
        <f t="shared" si="82"/>
        <v>#N/A</v>
      </c>
      <c r="L1404" s="41" t="e">
        <f ca="1">IFERROR(INDEX(INDIRECT("Data!C"&amp;'1-Year'!$K$4,FALSE),MATCH(K1404,Data!$A:$A,0)),NA())</f>
        <v>#N/A</v>
      </c>
    </row>
    <row r="1405" spans="11:12" x14ac:dyDescent="0.2">
      <c r="K1405" s="56" t="e">
        <f t="shared" si="82"/>
        <v>#N/A</v>
      </c>
      <c r="L1405" s="41" t="e">
        <f ca="1">IFERROR(INDEX(INDIRECT("Data!C"&amp;'1-Year'!$K$4,FALSE),MATCH(K1405,Data!$A:$A,0)),NA())</f>
        <v>#N/A</v>
      </c>
    </row>
    <row r="1406" spans="11:12" x14ac:dyDescent="0.2">
      <c r="K1406" s="56" t="e">
        <f t="shared" si="82"/>
        <v>#N/A</v>
      </c>
      <c r="L1406" s="41" t="e">
        <f ca="1">IFERROR(INDEX(INDIRECT("Data!C"&amp;'1-Year'!$K$4,FALSE),MATCH(K1406,Data!$A:$A,0)),NA())</f>
        <v>#N/A</v>
      </c>
    </row>
    <row r="1407" spans="11:12" x14ac:dyDescent="0.2">
      <c r="K1407" s="56" t="e">
        <f t="shared" si="82"/>
        <v>#N/A</v>
      </c>
      <c r="L1407" s="41" t="e">
        <f ca="1">IFERROR(INDEX(INDIRECT("Data!C"&amp;'1-Year'!$K$4,FALSE),MATCH(K1407,Data!$A:$A,0)),NA())</f>
        <v>#N/A</v>
      </c>
    </row>
    <row r="1408" spans="11:12" x14ac:dyDescent="0.2">
      <c r="K1408" s="56" t="e">
        <f t="shared" si="82"/>
        <v>#N/A</v>
      </c>
      <c r="L1408" s="41" t="e">
        <f ca="1">IFERROR(INDEX(INDIRECT("Data!C"&amp;'1-Year'!$K$4,FALSE),MATCH(K1408,Data!$A:$A,0)),NA())</f>
        <v>#N/A</v>
      </c>
    </row>
    <row r="1409" spans="11:12" x14ac:dyDescent="0.2">
      <c r="K1409" s="56" t="e">
        <f t="shared" si="82"/>
        <v>#N/A</v>
      </c>
      <c r="L1409" s="41" t="e">
        <f ca="1">IFERROR(INDEX(INDIRECT("Data!C"&amp;'1-Year'!$K$4,FALSE),MATCH(K1409,Data!$A:$A,0)),NA())</f>
        <v>#N/A</v>
      </c>
    </row>
    <row r="1410" spans="11:12" x14ac:dyDescent="0.2">
      <c r="K1410" s="56" t="e">
        <f t="shared" si="82"/>
        <v>#N/A</v>
      </c>
      <c r="L1410" s="41" t="e">
        <f ca="1">IFERROR(INDEX(INDIRECT("Data!C"&amp;'1-Year'!$K$4,FALSE),MATCH(K1410,Data!$A:$A,0)),NA())</f>
        <v>#N/A</v>
      </c>
    </row>
    <row r="1411" spans="11:12" x14ac:dyDescent="0.2">
      <c r="K1411" s="56" t="e">
        <f t="shared" si="82"/>
        <v>#N/A</v>
      </c>
      <c r="L1411" s="41" t="e">
        <f ca="1">IFERROR(INDEX(INDIRECT("Data!C"&amp;'1-Year'!$K$4,FALSE),MATCH(K1411,Data!$A:$A,0)),NA())</f>
        <v>#N/A</v>
      </c>
    </row>
    <row r="1412" spans="11:12" x14ac:dyDescent="0.2">
      <c r="K1412" s="56" t="e">
        <f t="shared" si="82"/>
        <v>#N/A</v>
      </c>
      <c r="L1412" s="41" t="e">
        <f ca="1">IFERROR(INDEX(INDIRECT("Data!C"&amp;'1-Year'!$K$4,FALSE),MATCH(K1412,Data!$A:$A,0)),NA())</f>
        <v>#N/A</v>
      </c>
    </row>
    <row r="1413" spans="11:12" x14ac:dyDescent="0.2">
      <c r="K1413" s="56" t="e">
        <f t="shared" ref="K1413:K1476" si="83">IF(K1412+1&lt;=$C$7,K1412+1,NA())</f>
        <v>#N/A</v>
      </c>
      <c r="L1413" s="41" t="e">
        <f ca="1">IFERROR(INDEX(INDIRECT("Data!C"&amp;'1-Year'!$K$4,FALSE),MATCH(K1413,Data!$A:$A,0)),NA())</f>
        <v>#N/A</v>
      </c>
    </row>
    <row r="1414" spans="11:12" x14ac:dyDescent="0.2">
      <c r="K1414" s="56" t="e">
        <f t="shared" si="83"/>
        <v>#N/A</v>
      </c>
      <c r="L1414" s="41" t="e">
        <f ca="1">IFERROR(INDEX(INDIRECT("Data!C"&amp;'1-Year'!$K$4,FALSE),MATCH(K1414,Data!$A:$A,0)),NA())</f>
        <v>#N/A</v>
      </c>
    </row>
    <row r="1415" spans="11:12" x14ac:dyDescent="0.2">
      <c r="K1415" s="56" t="e">
        <f t="shared" si="83"/>
        <v>#N/A</v>
      </c>
      <c r="L1415" s="41" t="e">
        <f ca="1">IFERROR(INDEX(INDIRECT("Data!C"&amp;'1-Year'!$K$4,FALSE),MATCH(K1415,Data!$A:$A,0)),NA())</f>
        <v>#N/A</v>
      </c>
    </row>
    <row r="1416" spans="11:12" x14ac:dyDescent="0.2">
      <c r="K1416" s="56" t="e">
        <f t="shared" si="83"/>
        <v>#N/A</v>
      </c>
      <c r="L1416" s="41" t="e">
        <f ca="1">IFERROR(INDEX(INDIRECT("Data!C"&amp;'1-Year'!$K$4,FALSE),MATCH(K1416,Data!$A:$A,0)),NA())</f>
        <v>#N/A</v>
      </c>
    </row>
    <row r="1417" spans="11:12" x14ac:dyDescent="0.2">
      <c r="K1417" s="56" t="e">
        <f t="shared" si="83"/>
        <v>#N/A</v>
      </c>
      <c r="L1417" s="41" t="e">
        <f ca="1">IFERROR(INDEX(INDIRECT("Data!C"&amp;'1-Year'!$K$4,FALSE),MATCH(K1417,Data!$A:$A,0)),NA())</f>
        <v>#N/A</v>
      </c>
    </row>
    <row r="1418" spans="11:12" x14ac:dyDescent="0.2">
      <c r="K1418" s="56" t="e">
        <f t="shared" si="83"/>
        <v>#N/A</v>
      </c>
      <c r="L1418" s="41" t="e">
        <f ca="1">IFERROR(INDEX(INDIRECT("Data!C"&amp;'1-Year'!$K$4,FALSE),MATCH(K1418,Data!$A:$A,0)),NA())</f>
        <v>#N/A</v>
      </c>
    </row>
    <row r="1419" spans="11:12" x14ac:dyDescent="0.2">
      <c r="K1419" s="56" t="e">
        <f t="shared" si="83"/>
        <v>#N/A</v>
      </c>
      <c r="L1419" s="41" t="e">
        <f ca="1">IFERROR(INDEX(INDIRECT("Data!C"&amp;'1-Year'!$K$4,FALSE),MATCH(K1419,Data!$A:$A,0)),NA())</f>
        <v>#N/A</v>
      </c>
    </row>
    <row r="1420" spans="11:12" x14ac:dyDescent="0.2">
      <c r="K1420" s="56" t="e">
        <f t="shared" si="83"/>
        <v>#N/A</v>
      </c>
      <c r="L1420" s="41" t="e">
        <f ca="1">IFERROR(INDEX(INDIRECT("Data!C"&amp;'1-Year'!$K$4,FALSE),MATCH(K1420,Data!$A:$A,0)),NA())</f>
        <v>#N/A</v>
      </c>
    </row>
    <row r="1421" spans="11:12" x14ac:dyDescent="0.2">
      <c r="K1421" s="56" t="e">
        <f t="shared" si="83"/>
        <v>#N/A</v>
      </c>
      <c r="L1421" s="41" t="e">
        <f ca="1">IFERROR(INDEX(INDIRECT("Data!C"&amp;'1-Year'!$K$4,FALSE),MATCH(K1421,Data!$A:$A,0)),NA())</f>
        <v>#N/A</v>
      </c>
    </row>
    <row r="1422" spans="11:12" x14ac:dyDescent="0.2">
      <c r="K1422" s="56" t="e">
        <f t="shared" si="83"/>
        <v>#N/A</v>
      </c>
      <c r="L1422" s="41" t="e">
        <f ca="1">IFERROR(INDEX(INDIRECT("Data!C"&amp;'1-Year'!$K$4,FALSE),MATCH(K1422,Data!$A:$A,0)),NA())</f>
        <v>#N/A</v>
      </c>
    </row>
    <row r="1423" spans="11:12" x14ac:dyDescent="0.2">
      <c r="K1423" s="56" t="e">
        <f t="shared" si="83"/>
        <v>#N/A</v>
      </c>
      <c r="L1423" s="41" t="e">
        <f ca="1">IFERROR(INDEX(INDIRECT("Data!C"&amp;'1-Year'!$K$4,FALSE),MATCH(K1423,Data!$A:$A,0)),NA())</f>
        <v>#N/A</v>
      </c>
    </row>
    <row r="1424" spans="11:12" x14ac:dyDescent="0.2">
      <c r="K1424" s="56" t="e">
        <f t="shared" si="83"/>
        <v>#N/A</v>
      </c>
      <c r="L1424" s="41" t="e">
        <f ca="1">IFERROR(INDEX(INDIRECT("Data!C"&amp;'1-Year'!$K$4,FALSE),MATCH(K1424,Data!$A:$A,0)),NA())</f>
        <v>#N/A</v>
      </c>
    </row>
    <row r="1425" spans="11:12" x14ac:dyDescent="0.2">
      <c r="K1425" s="56" t="e">
        <f t="shared" si="83"/>
        <v>#N/A</v>
      </c>
      <c r="L1425" s="41" t="e">
        <f ca="1">IFERROR(INDEX(INDIRECT("Data!C"&amp;'1-Year'!$K$4,FALSE),MATCH(K1425,Data!$A:$A,0)),NA())</f>
        <v>#N/A</v>
      </c>
    </row>
    <row r="1426" spans="11:12" x14ac:dyDescent="0.2">
      <c r="K1426" s="56" t="e">
        <f t="shared" si="83"/>
        <v>#N/A</v>
      </c>
      <c r="L1426" s="41" t="e">
        <f ca="1">IFERROR(INDEX(INDIRECT("Data!C"&amp;'1-Year'!$K$4,FALSE),MATCH(K1426,Data!$A:$A,0)),NA())</f>
        <v>#N/A</v>
      </c>
    </row>
    <row r="1427" spans="11:12" x14ac:dyDescent="0.2">
      <c r="K1427" s="56" t="e">
        <f t="shared" si="83"/>
        <v>#N/A</v>
      </c>
      <c r="L1427" s="41" t="e">
        <f ca="1">IFERROR(INDEX(INDIRECT("Data!C"&amp;'1-Year'!$K$4,FALSE),MATCH(K1427,Data!$A:$A,0)),NA())</f>
        <v>#N/A</v>
      </c>
    </row>
    <row r="1428" spans="11:12" x14ac:dyDescent="0.2">
      <c r="K1428" s="56" t="e">
        <f t="shared" si="83"/>
        <v>#N/A</v>
      </c>
      <c r="L1428" s="41" t="e">
        <f ca="1">IFERROR(INDEX(INDIRECT("Data!C"&amp;'1-Year'!$K$4,FALSE),MATCH(K1428,Data!$A:$A,0)),NA())</f>
        <v>#N/A</v>
      </c>
    </row>
    <row r="1429" spans="11:12" x14ac:dyDescent="0.2">
      <c r="K1429" s="56" t="e">
        <f t="shared" si="83"/>
        <v>#N/A</v>
      </c>
      <c r="L1429" s="41" t="e">
        <f ca="1">IFERROR(INDEX(INDIRECT("Data!C"&amp;'1-Year'!$K$4,FALSE),MATCH(K1429,Data!$A:$A,0)),NA())</f>
        <v>#N/A</v>
      </c>
    </row>
    <row r="1430" spans="11:12" x14ac:dyDescent="0.2">
      <c r="K1430" s="56" t="e">
        <f t="shared" si="83"/>
        <v>#N/A</v>
      </c>
      <c r="L1430" s="41" t="e">
        <f ca="1">IFERROR(INDEX(INDIRECT("Data!C"&amp;'1-Year'!$K$4,FALSE),MATCH(K1430,Data!$A:$A,0)),NA())</f>
        <v>#N/A</v>
      </c>
    </row>
    <row r="1431" spans="11:12" x14ac:dyDescent="0.2">
      <c r="K1431" s="56" t="e">
        <f t="shared" si="83"/>
        <v>#N/A</v>
      </c>
      <c r="L1431" s="41" t="e">
        <f ca="1">IFERROR(INDEX(INDIRECT("Data!C"&amp;'1-Year'!$K$4,FALSE),MATCH(K1431,Data!$A:$A,0)),NA())</f>
        <v>#N/A</v>
      </c>
    </row>
    <row r="1432" spans="11:12" x14ac:dyDescent="0.2">
      <c r="K1432" s="56" t="e">
        <f t="shared" si="83"/>
        <v>#N/A</v>
      </c>
      <c r="L1432" s="41" t="e">
        <f ca="1">IFERROR(INDEX(INDIRECT("Data!C"&amp;'1-Year'!$K$4,FALSE),MATCH(K1432,Data!$A:$A,0)),NA())</f>
        <v>#N/A</v>
      </c>
    </row>
    <row r="1433" spans="11:12" x14ac:dyDescent="0.2">
      <c r="K1433" s="56" t="e">
        <f t="shared" si="83"/>
        <v>#N/A</v>
      </c>
      <c r="L1433" s="41" t="e">
        <f ca="1">IFERROR(INDEX(INDIRECT("Data!C"&amp;'1-Year'!$K$4,FALSE),MATCH(K1433,Data!$A:$A,0)),NA())</f>
        <v>#N/A</v>
      </c>
    </row>
    <row r="1434" spans="11:12" x14ac:dyDescent="0.2">
      <c r="K1434" s="56" t="e">
        <f t="shared" si="83"/>
        <v>#N/A</v>
      </c>
      <c r="L1434" s="41" t="e">
        <f ca="1">IFERROR(INDEX(INDIRECT("Data!C"&amp;'1-Year'!$K$4,FALSE),MATCH(K1434,Data!$A:$A,0)),NA())</f>
        <v>#N/A</v>
      </c>
    </row>
    <row r="1435" spans="11:12" x14ac:dyDescent="0.2">
      <c r="K1435" s="56" t="e">
        <f t="shared" si="83"/>
        <v>#N/A</v>
      </c>
      <c r="L1435" s="41" t="e">
        <f ca="1">IFERROR(INDEX(INDIRECT("Data!C"&amp;'1-Year'!$K$4,FALSE),MATCH(K1435,Data!$A:$A,0)),NA())</f>
        <v>#N/A</v>
      </c>
    </row>
    <row r="1436" spans="11:12" x14ac:dyDescent="0.2">
      <c r="K1436" s="56" t="e">
        <f t="shared" si="83"/>
        <v>#N/A</v>
      </c>
      <c r="L1436" s="41" t="e">
        <f ca="1">IFERROR(INDEX(INDIRECT("Data!C"&amp;'1-Year'!$K$4,FALSE),MATCH(K1436,Data!$A:$A,0)),NA())</f>
        <v>#N/A</v>
      </c>
    </row>
    <row r="1437" spans="11:12" x14ac:dyDescent="0.2">
      <c r="K1437" s="56" t="e">
        <f t="shared" si="83"/>
        <v>#N/A</v>
      </c>
      <c r="L1437" s="41" t="e">
        <f ca="1">IFERROR(INDEX(INDIRECT("Data!C"&amp;'1-Year'!$K$4,FALSE),MATCH(K1437,Data!$A:$A,0)),NA())</f>
        <v>#N/A</v>
      </c>
    </row>
    <row r="1438" spans="11:12" x14ac:dyDescent="0.2">
      <c r="K1438" s="56" t="e">
        <f t="shared" si="83"/>
        <v>#N/A</v>
      </c>
      <c r="L1438" s="41" t="e">
        <f ca="1">IFERROR(INDEX(INDIRECT("Data!C"&amp;'1-Year'!$K$4,FALSE),MATCH(K1438,Data!$A:$A,0)),NA())</f>
        <v>#N/A</v>
      </c>
    </row>
    <row r="1439" spans="11:12" x14ac:dyDescent="0.2">
      <c r="K1439" s="56" t="e">
        <f t="shared" si="83"/>
        <v>#N/A</v>
      </c>
      <c r="L1439" s="41" t="e">
        <f ca="1">IFERROR(INDEX(INDIRECT("Data!C"&amp;'1-Year'!$K$4,FALSE),MATCH(K1439,Data!$A:$A,0)),NA())</f>
        <v>#N/A</v>
      </c>
    </row>
    <row r="1440" spans="11:12" x14ac:dyDescent="0.2">
      <c r="K1440" s="56" t="e">
        <f t="shared" si="83"/>
        <v>#N/A</v>
      </c>
      <c r="L1440" s="41" t="e">
        <f ca="1">IFERROR(INDEX(INDIRECT("Data!C"&amp;'1-Year'!$K$4,FALSE),MATCH(K1440,Data!$A:$A,0)),NA())</f>
        <v>#N/A</v>
      </c>
    </row>
    <row r="1441" spans="11:12" x14ac:dyDescent="0.2">
      <c r="K1441" s="56" t="e">
        <f t="shared" si="83"/>
        <v>#N/A</v>
      </c>
      <c r="L1441" s="41" t="e">
        <f ca="1">IFERROR(INDEX(INDIRECT("Data!C"&amp;'1-Year'!$K$4,FALSE),MATCH(K1441,Data!$A:$A,0)),NA())</f>
        <v>#N/A</v>
      </c>
    </row>
    <row r="1442" spans="11:12" x14ac:dyDescent="0.2">
      <c r="K1442" s="56" t="e">
        <f t="shared" si="83"/>
        <v>#N/A</v>
      </c>
      <c r="L1442" s="41" t="e">
        <f ca="1">IFERROR(INDEX(INDIRECT("Data!C"&amp;'1-Year'!$K$4,FALSE),MATCH(K1442,Data!$A:$A,0)),NA())</f>
        <v>#N/A</v>
      </c>
    </row>
    <row r="1443" spans="11:12" x14ac:dyDescent="0.2">
      <c r="K1443" s="56" t="e">
        <f t="shared" si="83"/>
        <v>#N/A</v>
      </c>
      <c r="L1443" s="41" t="e">
        <f ca="1">IFERROR(INDEX(INDIRECT("Data!C"&amp;'1-Year'!$K$4,FALSE),MATCH(K1443,Data!$A:$A,0)),NA())</f>
        <v>#N/A</v>
      </c>
    </row>
    <row r="1444" spans="11:12" x14ac:dyDescent="0.2">
      <c r="K1444" s="56" t="e">
        <f t="shared" si="83"/>
        <v>#N/A</v>
      </c>
      <c r="L1444" s="41" t="e">
        <f ca="1">IFERROR(INDEX(INDIRECT("Data!C"&amp;'1-Year'!$K$4,FALSE),MATCH(K1444,Data!$A:$A,0)),NA())</f>
        <v>#N/A</v>
      </c>
    </row>
    <row r="1445" spans="11:12" x14ac:dyDescent="0.2">
      <c r="K1445" s="56" t="e">
        <f t="shared" si="83"/>
        <v>#N/A</v>
      </c>
      <c r="L1445" s="41" t="e">
        <f ca="1">IFERROR(INDEX(INDIRECT("Data!C"&amp;'1-Year'!$K$4,FALSE),MATCH(K1445,Data!$A:$A,0)),NA())</f>
        <v>#N/A</v>
      </c>
    </row>
    <row r="1446" spans="11:12" x14ac:dyDescent="0.2">
      <c r="K1446" s="56" t="e">
        <f t="shared" si="83"/>
        <v>#N/A</v>
      </c>
      <c r="L1446" s="41" t="e">
        <f ca="1">IFERROR(INDEX(INDIRECT("Data!C"&amp;'1-Year'!$K$4,FALSE),MATCH(K1446,Data!$A:$A,0)),NA())</f>
        <v>#N/A</v>
      </c>
    </row>
    <row r="1447" spans="11:12" x14ac:dyDescent="0.2">
      <c r="K1447" s="56" t="e">
        <f t="shared" si="83"/>
        <v>#N/A</v>
      </c>
      <c r="L1447" s="41" t="e">
        <f ca="1">IFERROR(INDEX(INDIRECT("Data!C"&amp;'1-Year'!$K$4,FALSE),MATCH(K1447,Data!$A:$A,0)),NA())</f>
        <v>#N/A</v>
      </c>
    </row>
    <row r="1448" spans="11:12" x14ac:dyDescent="0.2">
      <c r="K1448" s="56" t="e">
        <f t="shared" si="83"/>
        <v>#N/A</v>
      </c>
      <c r="L1448" s="41" t="e">
        <f ca="1">IFERROR(INDEX(INDIRECT("Data!C"&amp;'1-Year'!$K$4,FALSE),MATCH(K1448,Data!$A:$A,0)),NA())</f>
        <v>#N/A</v>
      </c>
    </row>
    <row r="1449" spans="11:12" x14ac:dyDescent="0.2">
      <c r="K1449" s="56" t="e">
        <f t="shared" si="83"/>
        <v>#N/A</v>
      </c>
      <c r="L1449" s="41" t="e">
        <f ca="1">IFERROR(INDEX(INDIRECT("Data!C"&amp;'1-Year'!$K$4,FALSE),MATCH(K1449,Data!$A:$A,0)),NA())</f>
        <v>#N/A</v>
      </c>
    </row>
    <row r="1450" spans="11:12" x14ac:dyDescent="0.2">
      <c r="K1450" s="56" t="e">
        <f t="shared" si="83"/>
        <v>#N/A</v>
      </c>
      <c r="L1450" s="41" t="e">
        <f ca="1">IFERROR(INDEX(INDIRECT("Data!C"&amp;'1-Year'!$K$4,FALSE),MATCH(K1450,Data!$A:$A,0)),NA())</f>
        <v>#N/A</v>
      </c>
    </row>
    <row r="1451" spans="11:12" x14ac:dyDescent="0.2">
      <c r="K1451" s="56" t="e">
        <f t="shared" si="83"/>
        <v>#N/A</v>
      </c>
      <c r="L1451" s="41" t="e">
        <f ca="1">IFERROR(INDEX(INDIRECT("Data!C"&amp;'1-Year'!$K$4,FALSE),MATCH(K1451,Data!$A:$A,0)),NA())</f>
        <v>#N/A</v>
      </c>
    </row>
    <row r="1452" spans="11:12" x14ac:dyDescent="0.2">
      <c r="K1452" s="56" t="e">
        <f t="shared" si="83"/>
        <v>#N/A</v>
      </c>
      <c r="L1452" s="41" t="e">
        <f ca="1">IFERROR(INDEX(INDIRECT("Data!C"&amp;'1-Year'!$K$4,FALSE),MATCH(K1452,Data!$A:$A,0)),NA())</f>
        <v>#N/A</v>
      </c>
    </row>
    <row r="1453" spans="11:12" x14ac:dyDescent="0.2">
      <c r="K1453" s="56" t="e">
        <f t="shared" si="83"/>
        <v>#N/A</v>
      </c>
      <c r="L1453" s="41" t="e">
        <f ca="1">IFERROR(INDEX(INDIRECT("Data!C"&amp;'1-Year'!$K$4,FALSE),MATCH(K1453,Data!$A:$A,0)),NA())</f>
        <v>#N/A</v>
      </c>
    </row>
    <row r="1454" spans="11:12" x14ac:dyDescent="0.2">
      <c r="K1454" s="56" t="e">
        <f t="shared" si="83"/>
        <v>#N/A</v>
      </c>
      <c r="L1454" s="41" t="e">
        <f ca="1">IFERROR(INDEX(INDIRECT("Data!C"&amp;'1-Year'!$K$4,FALSE),MATCH(K1454,Data!$A:$A,0)),NA())</f>
        <v>#N/A</v>
      </c>
    </row>
    <row r="1455" spans="11:12" x14ac:dyDescent="0.2">
      <c r="K1455" s="56" t="e">
        <f t="shared" si="83"/>
        <v>#N/A</v>
      </c>
      <c r="L1455" s="41" t="e">
        <f ca="1">IFERROR(INDEX(INDIRECT("Data!C"&amp;'1-Year'!$K$4,FALSE),MATCH(K1455,Data!$A:$A,0)),NA())</f>
        <v>#N/A</v>
      </c>
    </row>
    <row r="1456" spans="11:12" x14ac:dyDescent="0.2">
      <c r="K1456" s="56" t="e">
        <f t="shared" si="83"/>
        <v>#N/A</v>
      </c>
      <c r="L1456" s="41" t="e">
        <f ca="1">IFERROR(INDEX(INDIRECT("Data!C"&amp;'1-Year'!$K$4,FALSE),MATCH(K1456,Data!$A:$A,0)),NA())</f>
        <v>#N/A</v>
      </c>
    </row>
    <row r="1457" spans="11:12" x14ac:dyDescent="0.2">
      <c r="K1457" s="56" t="e">
        <f t="shared" si="83"/>
        <v>#N/A</v>
      </c>
      <c r="L1457" s="41" t="e">
        <f ca="1">IFERROR(INDEX(INDIRECT("Data!C"&amp;'1-Year'!$K$4,FALSE),MATCH(K1457,Data!$A:$A,0)),NA())</f>
        <v>#N/A</v>
      </c>
    </row>
    <row r="1458" spans="11:12" x14ac:dyDescent="0.2">
      <c r="K1458" s="56" t="e">
        <f t="shared" si="83"/>
        <v>#N/A</v>
      </c>
      <c r="L1458" s="41" t="e">
        <f ca="1">IFERROR(INDEX(INDIRECT("Data!C"&amp;'1-Year'!$K$4,FALSE),MATCH(K1458,Data!$A:$A,0)),NA())</f>
        <v>#N/A</v>
      </c>
    </row>
    <row r="1459" spans="11:12" x14ac:dyDescent="0.2">
      <c r="K1459" s="56" t="e">
        <f t="shared" si="83"/>
        <v>#N/A</v>
      </c>
      <c r="L1459" s="41" t="e">
        <f ca="1">IFERROR(INDEX(INDIRECT("Data!C"&amp;'1-Year'!$K$4,FALSE),MATCH(K1459,Data!$A:$A,0)),NA())</f>
        <v>#N/A</v>
      </c>
    </row>
    <row r="1460" spans="11:12" x14ac:dyDescent="0.2">
      <c r="K1460" s="56" t="e">
        <f t="shared" si="83"/>
        <v>#N/A</v>
      </c>
      <c r="L1460" s="41" t="e">
        <f ca="1">IFERROR(INDEX(INDIRECT("Data!C"&amp;'1-Year'!$K$4,FALSE),MATCH(K1460,Data!$A:$A,0)),NA())</f>
        <v>#N/A</v>
      </c>
    </row>
    <row r="1461" spans="11:12" x14ac:dyDescent="0.2">
      <c r="K1461" s="56" t="e">
        <f t="shared" si="83"/>
        <v>#N/A</v>
      </c>
      <c r="L1461" s="41" t="e">
        <f ca="1">IFERROR(INDEX(INDIRECT("Data!C"&amp;'1-Year'!$K$4,FALSE),MATCH(K1461,Data!$A:$A,0)),NA())</f>
        <v>#N/A</v>
      </c>
    </row>
    <row r="1462" spans="11:12" x14ac:dyDescent="0.2">
      <c r="K1462" s="56" t="e">
        <f t="shared" si="83"/>
        <v>#N/A</v>
      </c>
      <c r="L1462" s="41" t="e">
        <f ca="1">IFERROR(INDEX(INDIRECT("Data!C"&amp;'1-Year'!$K$4,FALSE),MATCH(K1462,Data!$A:$A,0)),NA())</f>
        <v>#N/A</v>
      </c>
    </row>
    <row r="1463" spans="11:12" x14ac:dyDescent="0.2">
      <c r="K1463" s="56" t="e">
        <f t="shared" si="83"/>
        <v>#N/A</v>
      </c>
      <c r="L1463" s="41" t="e">
        <f ca="1">IFERROR(INDEX(INDIRECT("Data!C"&amp;'1-Year'!$K$4,FALSE),MATCH(K1463,Data!$A:$A,0)),NA())</f>
        <v>#N/A</v>
      </c>
    </row>
    <row r="1464" spans="11:12" x14ac:dyDescent="0.2">
      <c r="K1464" s="56" t="e">
        <f t="shared" si="83"/>
        <v>#N/A</v>
      </c>
      <c r="L1464" s="41" t="e">
        <f ca="1">IFERROR(INDEX(INDIRECT("Data!C"&amp;'1-Year'!$K$4,FALSE),MATCH(K1464,Data!$A:$A,0)),NA())</f>
        <v>#N/A</v>
      </c>
    </row>
    <row r="1465" spans="11:12" x14ac:dyDescent="0.2">
      <c r="K1465" s="56" t="e">
        <f t="shared" si="83"/>
        <v>#N/A</v>
      </c>
      <c r="L1465" s="41" t="e">
        <f ca="1">IFERROR(INDEX(INDIRECT("Data!C"&amp;'1-Year'!$K$4,FALSE),MATCH(K1465,Data!$A:$A,0)),NA())</f>
        <v>#N/A</v>
      </c>
    </row>
    <row r="1466" spans="11:12" x14ac:dyDescent="0.2">
      <c r="K1466" s="56" t="e">
        <f t="shared" si="83"/>
        <v>#N/A</v>
      </c>
      <c r="L1466" s="41" t="e">
        <f ca="1">IFERROR(INDEX(INDIRECT("Data!C"&amp;'1-Year'!$K$4,FALSE),MATCH(K1466,Data!$A:$A,0)),NA())</f>
        <v>#N/A</v>
      </c>
    </row>
    <row r="1467" spans="11:12" x14ac:dyDescent="0.2">
      <c r="K1467" s="56" t="e">
        <f t="shared" si="83"/>
        <v>#N/A</v>
      </c>
      <c r="L1467" s="41" t="e">
        <f ca="1">IFERROR(INDEX(INDIRECT("Data!C"&amp;'1-Year'!$K$4,FALSE),MATCH(K1467,Data!$A:$A,0)),NA())</f>
        <v>#N/A</v>
      </c>
    </row>
    <row r="1468" spans="11:12" x14ac:dyDescent="0.2">
      <c r="K1468" s="56" t="e">
        <f t="shared" si="83"/>
        <v>#N/A</v>
      </c>
      <c r="L1468" s="41" t="e">
        <f ca="1">IFERROR(INDEX(INDIRECT("Data!C"&amp;'1-Year'!$K$4,FALSE),MATCH(K1468,Data!$A:$A,0)),NA())</f>
        <v>#N/A</v>
      </c>
    </row>
    <row r="1469" spans="11:12" x14ac:dyDescent="0.2">
      <c r="K1469" s="56" t="e">
        <f t="shared" si="83"/>
        <v>#N/A</v>
      </c>
      <c r="L1469" s="41" t="e">
        <f ca="1">IFERROR(INDEX(INDIRECT("Data!C"&amp;'1-Year'!$K$4,FALSE),MATCH(K1469,Data!$A:$A,0)),NA())</f>
        <v>#N/A</v>
      </c>
    </row>
    <row r="1470" spans="11:12" x14ac:dyDescent="0.2">
      <c r="K1470" s="56" t="e">
        <f t="shared" si="83"/>
        <v>#N/A</v>
      </c>
      <c r="L1470" s="41" t="e">
        <f ca="1">IFERROR(INDEX(INDIRECT("Data!C"&amp;'1-Year'!$K$4,FALSE),MATCH(K1470,Data!$A:$A,0)),NA())</f>
        <v>#N/A</v>
      </c>
    </row>
    <row r="1471" spans="11:12" x14ac:dyDescent="0.2">
      <c r="K1471" s="56" t="e">
        <f t="shared" si="83"/>
        <v>#N/A</v>
      </c>
      <c r="L1471" s="41" t="e">
        <f ca="1">IFERROR(INDEX(INDIRECT("Data!C"&amp;'1-Year'!$K$4,FALSE),MATCH(K1471,Data!$A:$A,0)),NA())</f>
        <v>#N/A</v>
      </c>
    </row>
    <row r="1472" spans="11:12" x14ac:dyDescent="0.2">
      <c r="K1472" s="56" t="e">
        <f t="shared" si="83"/>
        <v>#N/A</v>
      </c>
      <c r="L1472" s="41" t="e">
        <f ca="1">IFERROR(INDEX(INDIRECT("Data!C"&amp;'1-Year'!$K$4,FALSE),MATCH(K1472,Data!$A:$A,0)),NA())</f>
        <v>#N/A</v>
      </c>
    </row>
    <row r="1473" spans="11:12" x14ac:dyDescent="0.2">
      <c r="K1473" s="56" t="e">
        <f t="shared" si="83"/>
        <v>#N/A</v>
      </c>
      <c r="L1473" s="41" t="e">
        <f ca="1">IFERROR(INDEX(INDIRECT("Data!C"&amp;'1-Year'!$K$4,FALSE),MATCH(K1473,Data!$A:$A,0)),NA())</f>
        <v>#N/A</v>
      </c>
    </row>
    <row r="1474" spans="11:12" x14ac:dyDescent="0.2">
      <c r="K1474" s="56" t="e">
        <f t="shared" si="83"/>
        <v>#N/A</v>
      </c>
      <c r="L1474" s="41" t="e">
        <f ca="1">IFERROR(INDEX(INDIRECT("Data!C"&amp;'1-Year'!$K$4,FALSE),MATCH(K1474,Data!$A:$A,0)),NA())</f>
        <v>#N/A</v>
      </c>
    </row>
    <row r="1475" spans="11:12" x14ac:dyDescent="0.2">
      <c r="K1475" s="56" t="e">
        <f t="shared" si="83"/>
        <v>#N/A</v>
      </c>
      <c r="L1475" s="41" t="e">
        <f ca="1">IFERROR(INDEX(INDIRECT("Data!C"&amp;'1-Year'!$K$4,FALSE),MATCH(K1475,Data!$A:$A,0)),NA())</f>
        <v>#N/A</v>
      </c>
    </row>
    <row r="1476" spans="11:12" x14ac:dyDescent="0.2">
      <c r="K1476" s="56" t="e">
        <f t="shared" si="83"/>
        <v>#N/A</v>
      </c>
      <c r="L1476" s="41" t="e">
        <f ca="1">IFERROR(INDEX(INDIRECT("Data!C"&amp;'1-Year'!$K$4,FALSE),MATCH(K1476,Data!$A:$A,0)),NA())</f>
        <v>#N/A</v>
      </c>
    </row>
    <row r="1477" spans="11:12" x14ac:dyDescent="0.2">
      <c r="K1477" s="56" t="e">
        <f t="shared" ref="K1477:K1531" si="84">IF(K1476+1&lt;=$C$7,K1476+1,NA())</f>
        <v>#N/A</v>
      </c>
      <c r="L1477" s="41" t="e">
        <f ca="1">IFERROR(INDEX(INDIRECT("Data!C"&amp;'1-Year'!$K$4,FALSE),MATCH(K1477,Data!$A:$A,0)),NA())</f>
        <v>#N/A</v>
      </c>
    </row>
    <row r="1478" spans="11:12" x14ac:dyDescent="0.2">
      <c r="K1478" s="56" t="e">
        <f t="shared" si="84"/>
        <v>#N/A</v>
      </c>
      <c r="L1478" s="41" t="e">
        <f ca="1">IFERROR(INDEX(INDIRECT("Data!C"&amp;'1-Year'!$K$4,FALSE),MATCH(K1478,Data!$A:$A,0)),NA())</f>
        <v>#N/A</v>
      </c>
    </row>
    <row r="1479" spans="11:12" x14ac:dyDescent="0.2">
      <c r="K1479" s="56" t="e">
        <f t="shared" si="84"/>
        <v>#N/A</v>
      </c>
      <c r="L1479" s="41" t="e">
        <f ca="1">IFERROR(INDEX(INDIRECT("Data!C"&amp;'1-Year'!$K$4,FALSE),MATCH(K1479,Data!$A:$A,0)),NA())</f>
        <v>#N/A</v>
      </c>
    </row>
    <row r="1480" spans="11:12" x14ac:dyDescent="0.2">
      <c r="K1480" s="56" t="e">
        <f t="shared" si="84"/>
        <v>#N/A</v>
      </c>
      <c r="L1480" s="41" t="e">
        <f ca="1">IFERROR(INDEX(INDIRECT("Data!C"&amp;'1-Year'!$K$4,FALSE),MATCH(K1480,Data!$A:$A,0)),NA())</f>
        <v>#N/A</v>
      </c>
    </row>
    <row r="1481" spans="11:12" x14ac:dyDescent="0.2">
      <c r="K1481" s="56" t="e">
        <f t="shared" si="84"/>
        <v>#N/A</v>
      </c>
      <c r="L1481" s="41" t="e">
        <f ca="1">IFERROR(INDEX(INDIRECT("Data!C"&amp;'1-Year'!$K$4,FALSE),MATCH(K1481,Data!$A:$A,0)),NA())</f>
        <v>#N/A</v>
      </c>
    </row>
    <row r="1482" spans="11:12" x14ac:dyDescent="0.2">
      <c r="K1482" s="56" t="e">
        <f t="shared" si="84"/>
        <v>#N/A</v>
      </c>
      <c r="L1482" s="41" t="e">
        <f ca="1">IFERROR(INDEX(INDIRECT("Data!C"&amp;'1-Year'!$K$4,FALSE),MATCH(K1482,Data!$A:$A,0)),NA())</f>
        <v>#N/A</v>
      </c>
    </row>
    <row r="1483" spans="11:12" x14ac:dyDescent="0.2">
      <c r="K1483" s="56" t="e">
        <f t="shared" si="84"/>
        <v>#N/A</v>
      </c>
      <c r="L1483" s="41" t="e">
        <f ca="1">IFERROR(INDEX(INDIRECT("Data!C"&amp;'1-Year'!$K$4,FALSE),MATCH(K1483,Data!$A:$A,0)),NA())</f>
        <v>#N/A</v>
      </c>
    </row>
    <row r="1484" spans="11:12" x14ac:dyDescent="0.2">
      <c r="K1484" s="56" t="e">
        <f t="shared" si="84"/>
        <v>#N/A</v>
      </c>
      <c r="L1484" s="41" t="e">
        <f ca="1">IFERROR(INDEX(INDIRECT("Data!C"&amp;'1-Year'!$K$4,FALSE),MATCH(K1484,Data!$A:$A,0)),NA())</f>
        <v>#N/A</v>
      </c>
    </row>
    <row r="1485" spans="11:12" x14ac:dyDescent="0.2">
      <c r="K1485" s="56" t="e">
        <f t="shared" si="84"/>
        <v>#N/A</v>
      </c>
      <c r="L1485" s="41" t="e">
        <f ca="1">IFERROR(INDEX(INDIRECT("Data!C"&amp;'1-Year'!$K$4,FALSE),MATCH(K1485,Data!$A:$A,0)),NA())</f>
        <v>#N/A</v>
      </c>
    </row>
    <row r="1486" spans="11:12" x14ac:dyDescent="0.2">
      <c r="K1486" s="56" t="e">
        <f t="shared" si="84"/>
        <v>#N/A</v>
      </c>
      <c r="L1486" s="41" t="e">
        <f ca="1">IFERROR(INDEX(INDIRECT("Data!C"&amp;'1-Year'!$K$4,FALSE),MATCH(K1486,Data!$A:$A,0)),NA())</f>
        <v>#N/A</v>
      </c>
    </row>
    <row r="1487" spans="11:12" x14ac:dyDescent="0.2">
      <c r="K1487" s="56" t="e">
        <f t="shared" si="84"/>
        <v>#N/A</v>
      </c>
      <c r="L1487" s="41" t="e">
        <f ca="1">IFERROR(INDEX(INDIRECT("Data!C"&amp;'1-Year'!$K$4,FALSE),MATCH(K1487,Data!$A:$A,0)),NA())</f>
        <v>#N/A</v>
      </c>
    </row>
    <row r="1488" spans="11:12" x14ac:dyDescent="0.2">
      <c r="K1488" s="56" t="e">
        <f t="shared" si="84"/>
        <v>#N/A</v>
      </c>
      <c r="L1488" s="41" t="e">
        <f ca="1">IFERROR(INDEX(INDIRECT("Data!C"&amp;'1-Year'!$K$4,FALSE),MATCH(K1488,Data!$A:$A,0)),NA())</f>
        <v>#N/A</v>
      </c>
    </row>
    <row r="1489" spans="11:12" x14ac:dyDescent="0.2">
      <c r="K1489" s="56" t="e">
        <f t="shared" si="84"/>
        <v>#N/A</v>
      </c>
      <c r="L1489" s="41" t="e">
        <f ca="1">IFERROR(INDEX(INDIRECT("Data!C"&amp;'1-Year'!$K$4,FALSE),MATCH(K1489,Data!$A:$A,0)),NA())</f>
        <v>#N/A</v>
      </c>
    </row>
    <row r="1490" spans="11:12" x14ac:dyDescent="0.2">
      <c r="K1490" s="56" t="e">
        <f t="shared" si="84"/>
        <v>#N/A</v>
      </c>
      <c r="L1490" s="41" t="e">
        <f ca="1">IFERROR(INDEX(INDIRECT("Data!C"&amp;'1-Year'!$K$4,FALSE),MATCH(K1490,Data!$A:$A,0)),NA())</f>
        <v>#N/A</v>
      </c>
    </row>
    <row r="1491" spans="11:12" x14ac:dyDescent="0.2">
      <c r="K1491" s="56" t="e">
        <f t="shared" si="84"/>
        <v>#N/A</v>
      </c>
      <c r="L1491" s="41" t="e">
        <f ca="1">IFERROR(INDEX(INDIRECT("Data!C"&amp;'1-Year'!$K$4,FALSE),MATCH(K1491,Data!$A:$A,0)),NA())</f>
        <v>#N/A</v>
      </c>
    </row>
    <row r="1492" spans="11:12" x14ac:dyDescent="0.2">
      <c r="K1492" s="56" t="e">
        <f t="shared" si="84"/>
        <v>#N/A</v>
      </c>
      <c r="L1492" s="41" t="e">
        <f ca="1">IFERROR(INDEX(INDIRECT("Data!C"&amp;'1-Year'!$K$4,FALSE),MATCH(K1492,Data!$A:$A,0)),NA())</f>
        <v>#N/A</v>
      </c>
    </row>
    <row r="1493" spans="11:12" x14ac:dyDescent="0.2">
      <c r="K1493" s="56" t="e">
        <f t="shared" si="84"/>
        <v>#N/A</v>
      </c>
      <c r="L1493" s="41" t="e">
        <f ca="1">IFERROR(INDEX(INDIRECT("Data!C"&amp;'1-Year'!$K$4,FALSE),MATCH(K1493,Data!$A:$A,0)),NA())</f>
        <v>#N/A</v>
      </c>
    </row>
    <row r="1494" spans="11:12" x14ac:dyDescent="0.2">
      <c r="K1494" s="56" t="e">
        <f t="shared" si="84"/>
        <v>#N/A</v>
      </c>
      <c r="L1494" s="41" t="e">
        <f ca="1">IFERROR(INDEX(INDIRECT("Data!C"&amp;'1-Year'!$K$4,FALSE),MATCH(K1494,Data!$A:$A,0)),NA())</f>
        <v>#N/A</v>
      </c>
    </row>
    <row r="1495" spans="11:12" x14ac:dyDescent="0.2">
      <c r="K1495" s="56" t="e">
        <f t="shared" si="84"/>
        <v>#N/A</v>
      </c>
      <c r="L1495" s="41" t="e">
        <f ca="1">IFERROR(INDEX(INDIRECT("Data!C"&amp;'1-Year'!$K$4,FALSE),MATCH(K1495,Data!$A:$A,0)),NA())</f>
        <v>#N/A</v>
      </c>
    </row>
    <row r="1496" spans="11:12" x14ac:dyDescent="0.2">
      <c r="K1496" s="56" t="e">
        <f t="shared" si="84"/>
        <v>#N/A</v>
      </c>
      <c r="L1496" s="41" t="e">
        <f ca="1">IFERROR(INDEX(INDIRECT("Data!C"&amp;'1-Year'!$K$4,FALSE),MATCH(K1496,Data!$A:$A,0)),NA())</f>
        <v>#N/A</v>
      </c>
    </row>
    <row r="1497" spans="11:12" x14ac:dyDescent="0.2">
      <c r="K1497" s="56" t="e">
        <f t="shared" si="84"/>
        <v>#N/A</v>
      </c>
      <c r="L1497" s="41" t="e">
        <f ca="1">IFERROR(INDEX(INDIRECT("Data!C"&amp;'1-Year'!$K$4,FALSE),MATCH(K1497,Data!$A:$A,0)),NA())</f>
        <v>#N/A</v>
      </c>
    </row>
    <row r="1498" spans="11:12" x14ac:dyDescent="0.2">
      <c r="K1498" s="56" t="e">
        <f t="shared" si="84"/>
        <v>#N/A</v>
      </c>
      <c r="L1498" s="41" t="e">
        <f ca="1">IFERROR(INDEX(INDIRECT("Data!C"&amp;'1-Year'!$K$4,FALSE),MATCH(K1498,Data!$A:$A,0)),NA())</f>
        <v>#N/A</v>
      </c>
    </row>
    <row r="1499" spans="11:12" x14ac:dyDescent="0.2">
      <c r="K1499" s="56" t="e">
        <f t="shared" si="84"/>
        <v>#N/A</v>
      </c>
      <c r="L1499" s="41" t="e">
        <f ca="1">IFERROR(INDEX(INDIRECT("Data!C"&amp;'1-Year'!$K$4,FALSE),MATCH(K1499,Data!$A:$A,0)),NA())</f>
        <v>#N/A</v>
      </c>
    </row>
    <row r="1500" spans="11:12" x14ac:dyDescent="0.2">
      <c r="K1500" s="56" t="e">
        <f t="shared" si="84"/>
        <v>#N/A</v>
      </c>
      <c r="L1500" s="41" t="e">
        <f ca="1">IFERROR(INDEX(INDIRECT("Data!C"&amp;'1-Year'!$K$4,FALSE),MATCH(K1500,Data!$A:$A,0)),NA())</f>
        <v>#N/A</v>
      </c>
    </row>
    <row r="1501" spans="11:12" x14ac:dyDescent="0.2">
      <c r="K1501" s="56" t="e">
        <f t="shared" si="84"/>
        <v>#N/A</v>
      </c>
      <c r="L1501" s="41" t="e">
        <f ca="1">IFERROR(INDEX(INDIRECT("Data!C"&amp;'1-Year'!$K$4,FALSE),MATCH(K1501,Data!$A:$A,0)),NA())</f>
        <v>#N/A</v>
      </c>
    </row>
    <row r="1502" spans="11:12" x14ac:dyDescent="0.2">
      <c r="K1502" s="56" t="e">
        <f t="shared" si="84"/>
        <v>#N/A</v>
      </c>
      <c r="L1502" s="41" t="e">
        <f ca="1">IFERROR(INDEX(INDIRECT("Data!C"&amp;'1-Year'!$K$4,FALSE),MATCH(K1502,Data!$A:$A,0)),NA())</f>
        <v>#N/A</v>
      </c>
    </row>
    <row r="1503" spans="11:12" x14ac:dyDescent="0.2">
      <c r="K1503" s="56" t="e">
        <f t="shared" si="84"/>
        <v>#N/A</v>
      </c>
      <c r="L1503" s="41" t="e">
        <f ca="1">IFERROR(INDEX(INDIRECT("Data!C"&amp;'1-Year'!$K$4,FALSE),MATCH(K1503,Data!$A:$A,0)),NA())</f>
        <v>#N/A</v>
      </c>
    </row>
    <row r="1504" spans="11:12" x14ac:dyDescent="0.2">
      <c r="K1504" s="56" t="e">
        <f t="shared" si="84"/>
        <v>#N/A</v>
      </c>
      <c r="L1504" s="41" t="e">
        <f ca="1">IFERROR(INDEX(INDIRECT("Data!C"&amp;'1-Year'!$K$4,FALSE),MATCH(K1504,Data!$A:$A,0)),NA())</f>
        <v>#N/A</v>
      </c>
    </row>
    <row r="1505" spans="11:12" x14ac:dyDescent="0.2">
      <c r="K1505" s="56" t="e">
        <f t="shared" si="84"/>
        <v>#N/A</v>
      </c>
      <c r="L1505" s="41" t="e">
        <f ca="1">IFERROR(INDEX(INDIRECT("Data!C"&amp;'1-Year'!$K$4,FALSE),MATCH(K1505,Data!$A:$A,0)),NA())</f>
        <v>#N/A</v>
      </c>
    </row>
    <row r="1506" spans="11:12" x14ac:dyDescent="0.2">
      <c r="K1506" s="56" t="e">
        <f t="shared" si="84"/>
        <v>#N/A</v>
      </c>
      <c r="L1506" s="41" t="e">
        <f ca="1">IFERROR(INDEX(INDIRECT("Data!C"&amp;'1-Year'!$K$4,FALSE),MATCH(K1506,Data!$A:$A,0)),NA())</f>
        <v>#N/A</v>
      </c>
    </row>
    <row r="1507" spans="11:12" x14ac:dyDescent="0.2">
      <c r="K1507" s="56" t="e">
        <f t="shared" si="84"/>
        <v>#N/A</v>
      </c>
      <c r="L1507" s="41" t="e">
        <f ca="1">IFERROR(INDEX(INDIRECT("Data!C"&amp;'1-Year'!$K$4,FALSE),MATCH(K1507,Data!$A:$A,0)),NA())</f>
        <v>#N/A</v>
      </c>
    </row>
    <row r="1508" spans="11:12" x14ac:dyDescent="0.2">
      <c r="K1508" s="56" t="e">
        <f t="shared" si="84"/>
        <v>#N/A</v>
      </c>
      <c r="L1508" s="41" t="e">
        <f ca="1">IFERROR(INDEX(INDIRECT("Data!C"&amp;'1-Year'!$K$4,FALSE),MATCH(K1508,Data!$A:$A,0)),NA())</f>
        <v>#N/A</v>
      </c>
    </row>
    <row r="1509" spans="11:12" x14ac:dyDescent="0.2">
      <c r="K1509" s="56" t="e">
        <f t="shared" si="84"/>
        <v>#N/A</v>
      </c>
      <c r="L1509" s="41" t="e">
        <f ca="1">IFERROR(INDEX(INDIRECT("Data!C"&amp;'1-Year'!$K$4,FALSE),MATCH(K1509,Data!$A:$A,0)),NA())</f>
        <v>#N/A</v>
      </c>
    </row>
    <row r="1510" spans="11:12" x14ac:dyDescent="0.2">
      <c r="K1510" s="56" t="e">
        <f t="shared" si="84"/>
        <v>#N/A</v>
      </c>
      <c r="L1510" s="41" t="e">
        <f ca="1">IFERROR(INDEX(INDIRECT("Data!C"&amp;'1-Year'!$K$4,FALSE),MATCH(K1510,Data!$A:$A,0)),NA())</f>
        <v>#N/A</v>
      </c>
    </row>
    <row r="1511" spans="11:12" x14ac:dyDescent="0.2">
      <c r="K1511" s="56" t="e">
        <f t="shared" si="84"/>
        <v>#N/A</v>
      </c>
      <c r="L1511" s="41" t="e">
        <f ca="1">IFERROR(INDEX(INDIRECT("Data!C"&amp;'1-Year'!$K$4,FALSE),MATCH(K1511,Data!$A:$A,0)),NA())</f>
        <v>#N/A</v>
      </c>
    </row>
    <row r="1512" spans="11:12" x14ac:dyDescent="0.2">
      <c r="K1512" s="56" t="e">
        <f t="shared" si="84"/>
        <v>#N/A</v>
      </c>
      <c r="L1512" s="41" t="e">
        <f ca="1">IFERROR(INDEX(INDIRECT("Data!C"&amp;'1-Year'!$K$4,FALSE),MATCH(K1512,Data!$A:$A,0)),NA())</f>
        <v>#N/A</v>
      </c>
    </row>
    <row r="1513" spans="11:12" x14ac:dyDescent="0.2">
      <c r="K1513" s="56" t="e">
        <f t="shared" si="84"/>
        <v>#N/A</v>
      </c>
      <c r="L1513" s="41" t="e">
        <f ca="1">IFERROR(INDEX(INDIRECT("Data!C"&amp;'1-Year'!$K$4,FALSE),MATCH(K1513,Data!$A:$A,0)),NA())</f>
        <v>#N/A</v>
      </c>
    </row>
    <row r="1514" spans="11:12" x14ac:dyDescent="0.2">
      <c r="K1514" s="56" t="e">
        <f t="shared" si="84"/>
        <v>#N/A</v>
      </c>
      <c r="L1514" s="41" t="e">
        <f ca="1">IFERROR(INDEX(INDIRECT("Data!C"&amp;'1-Year'!$K$4,FALSE),MATCH(K1514,Data!$A:$A,0)),NA())</f>
        <v>#N/A</v>
      </c>
    </row>
    <row r="1515" spans="11:12" x14ac:dyDescent="0.2">
      <c r="K1515" s="56" t="e">
        <f t="shared" si="84"/>
        <v>#N/A</v>
      </c>
      <c r="L1515" s="41" t="e">
        <f ca="1">IFERROR(INDEX(INDIRECT("Data!C"&amp;'1-Year'!$K$4,FALSE),MATCH(K1515,Data!$A:$A,0)),NA())</f>
        <v>#N/A</v>
      </c>
    </row>
    <row r="1516" spans="11:12" x14ac:dyDescent="0.2">
      <c r="K1516" s="56" t="e">
        <f t="shared" si="84"/>
        <v>#N/A</v>
      </c>
      <c r="L1516" s="41" t="e">
        <f ca="1">IFERROR(INDEX(INDIRECT("Data!C"&amp;'1-Year'!$K$4,FALSE),MATCH(K1516,Data!$A:$A,0)),NA())</f>
        <v>#N/A</v>
      </c>
    </row>
    <row r="1517" spans="11:12" x14ac:dyDescent="0.2">
      <c r="K1517" s="56" t="e">
        <f t="shared" si="84"/>
        <v>#N/A</v>
      </c>
      <c r="L1517" s="41" t="e">
        <f ca="1">IFERROR(INDEX(INDIRECT("Data!C"&amp;'1-Year'!$K$4,FALSE),MATCH(K1517,Data!$A:$A,0)),NA())</f>
        <v>#N/A</v>
      </c>
    </row>
    <row r="1518" spans="11:12" x14ac:dyDescent="0.2">
      <c r="K1518" s="56" t="e">
        <f t="shared" si="84"/>
        <v>#N/A</v>
      </c>
      <c r="L1518" s="41" t="e">
        <f ca="1">IFERROR(INDEX(INDIRECT("Data!C"&amp;'1-Year'!$K$4,FALSE),MATCH(K1518,Data!$A:$A,0)),NA())</f>
        <v>#N/A</v>
      </c>
    </row>
    <row r="1519" spans="11:12" x14ac:dyDescent="0.2">
      <c r="K1519" s="56" t="e">
        <f t="shared" si="84"/>
        <v>#N/A</v>
      </c>
      <c r="L1519" s="41" t="e">
        <f ca="1">IFERROR(INDEX(INDIRECT("Data!C"&amp;'1-Year'!$K$4,FALSE),MATCH(K1519,Data!$A:$A,0)),NA())</f>
        <v>#N/A</v>
      </c>
    </row>
    <row r="1520" spans="11:12" x14ac:dyDescent="0.2">
      <c r="K1520" s="56" t="e">
        <f t="shared" si="84"/>
        <v>#N/A</v>
      </c>
      <c r="L1520" s="41" t="e">
        <f ca="1">IFERROR(INDEX(INDIRECT("Data!C"&amp;'1-Year'!$K$4,FALSE),MATCH(K1520,Data!$A:$A,0)),NA())</f>
        <v>#N/A</v>
      </c>
    </row>
    <row r="1521" spans="11:12" x14ac:dyDescent="0.2">
      <c r="K1521" s="56" t="e">
        <f t="shared" si="84"/>
        <v>#N/A</v>
      </c>
      <c r="L1521" s="41" t="e">
        <f ca="1">IFERROR(INDEX(INDIRECT("Data!C"&amp;'1-Year'!$K$4,FALSE),MATCH(K1521,Data!$A:$A,0)),NA())</f>
        <v>#N/A</v>
      </c>
    </row>
    <row r="1522" spans="11:12" x14ac:dyDescent="0.2">
      <c r="K1522" s="56" t="e">
        <f t="shared" si="84"/>
        <v>#N/A</v>
      </c>
      <c r="L1522" s="41" t="e">
        <f ca="1">IFERROR(INDEX(INDIRECT("Data!C"&amp;'1-Year'!$K$4,FALSE),MATCH(K1522,Data!$A:$A,0)),NA())</f>
        <v>#N/A</v>
      </c>
    </row>
    <row r="1523" spans="11:12" x14ac:dyDescent="0.2">
      <c r="K1523" s="56" t="e">
        <f t="shared" si="84"/>
        <v>#N/A</v>
      </c>
      <c r="L1523" s="41" t="e">
        <f ca="1">IFERROR(INDEX(INDIRECT("Data!C"&amp;'1-Year'!$K$4,FALSE),MATCH(K1523,Data!$A:$A,0)),NA())</f>
        <v>#N/A</v>
      </c>
    </row>
    <row r="1524" spans="11:12" x14ac:dyDescent="0.2">
      <c r="K1524" s="56" t="e">
        <f t="shared" si="84"/>
        <v>#N/A</v>
      </c>
      <c r="L1524" s="41" t="e">
        <f ca="1">IFERROR(INDEX(INDIRECT("Data!C"&amp;'1-Year'!$K$4,FALSE),MATCH(K1524,Data!$A:$A,0)),NA())</f>
        <v>#N/A</v>
      </c>
    </row>
    <row r="1525" spans="11:12" x14ac:dyDescent="0.2">
      <c r="K1525" s="56" t="e">
        <f t="shared" si="84"/>
        <v>#N/A</v>
      </c>
      <c r="L1525" s="41" t="e">
        <f ca="1">IFERROR(INDEX(INDIRECT("Data!C"&amp;'1-Year'!$K$4,FALSE),MATCH(K1525,Data!$A:$A,0)),NA())</f>
        <v>#N/A</v>
      </c>
    </row>
    <row r="1526" spans="11:12" x14ac:dyDescent="0.2">
      <c r="K1526" s="56" t="e">
        <f t="shared" si="84"/>
        <v>#N/A</v>
      </c>
      <c r="L1526" s="41" t="e">
        <f ca="1">IFERROR(INDEX(INDIRECT("Data!C"&amp;'1-Year'!$K$4,FALSE),MATCH(K1526,Data!$A:$A,0)),NA())</f>
        <v>#N/A</v>
      </c>
    </row>
    <row r="1527" spans="11:12" x14ac:dyDescent="0.2">
      <c r="K1527" s="56" t="e">
        <f t="shared" si="84"/>
        <v>#N/A</v>
      </c>
      <c r="L1527" s="41" t="e">
        <f ca="1">IFERROR(INDEX(INDIRECT("Data!C"&amp;'1-Year'!$K$4,FALSE),MATCH(K1527,Data!$A:$A,0)),NA())</f>
        <v>#N/A</v>
      </c>
    </row>
    <row r="1528" spans="11:12" x14ac:dyDescent="0.2">
      <c r="K1528" s="56" t="e">
        <f t="shared" si="84"/>
        <v>#N/A</v>
      </c>
      <c r="L1528" s="41" t="e">
        <f ca="1">IFERROR(INDEX(INDIRECT("Data!C"&amp;'1-Year'!$K$4,FALSE),MATCH(K1528,Data!$A:$A,0)),NA())</f>
        <v>#N/A</v>
      </c>
    </row>
    <row r="1529" spans="11:12" x14ac:dyDescent="0.2">
      <c r="K1529" s="56" t="e">
        <f t="shared" si="84"/>
        <v>#N/A</v>
      </c>
      <c r="L1529" s="41" t="e">
        <f ca="1">IFERROR(INDEX(INDIRECT("Data!C"&amp;'1-Year'!$K$4,FALSE),MATCH(K1529,Data!$A:$A,0)),NA())</f>
        <v>#N/A</v>
      </c>
    </row>
    <row r="1530" spans="11:12" x14ac:dyDescent="0.2">
      <c r="K1530" s="56" t="e">
        <f t="shared" si="84"/>
        <v>#N/A</v>
      </c>
      <c r="L1530" s="41" t="e">
        <f ca="1">IFERROR(INDEX(INDIRECT("Data!C"&amp;'1-Year'!$K$4,FALSE),MATCH(K1530,Data!$A:$A,0)),NA())</f>
        <v>#N/A</v>
      </c>
    </row>
    <row r="1531" spans="11:12" x14ac:dyDescent="0.2">
      <c r="K1531" s="56" t="e">
        <f t="shared" si="84"/>
        <v>#N/A</v>
      </c>
      <c r="L1531" s="41" t="e">
        <f ca="1">IFERROR(INDEX(INDIRECT("Data!C"&amp;'1-Year'!$K$4,FALSE),MATCH(K1531,Data!$A:$A,0)),NA())</f>
        <v>#N/A</v>
      </c>
    </row>
  </sheetData>
  <mergeCells count="5">
    <mergeCell ref="V13:W14"/>
    <mergeCell ref="C6:I6"/>
    <mergeCell ref="C7:I7"/>
    <mergeCell ref="C4:I4"/>
    <mergeCell ref="C3:I3"/>
  </mergeCells>
  <conditionalFormatting sqref="K14:Q66">
    <cfRule type="colorScale" priority="1">
      <colorScale>
        <cfvo type="percentile" val="10"/>
        <cfvo type="percentile" val="50"/>
        <cfvo type="percentile" val="90"/>
        <color rgb="FF63BE7B"/>
        <color rgb="FFFFEB84"/>
        <color rgb="FFF8696B"/>
      </colorScale>
    </cfRule>
    <cfRule type="colorScale" priority="5">
      <colorScale>
        <cfvo type="min"/>
        <cfvo type="percentile" val="90"/>
        <color rgb="FFFCFCFF"/>
        <color theme="4"/>
      </colorScale>
    </cfRule>
    <cfRule type="expression" dxfId="32" priority="10">
      <formula>OR(ISBLANK(OFFSET(C14,0,1,1,1)),MONTH(C14)&lt;&gt;MONTH(OFFSET(C14,0,1,1,1)))</formula>
    </cfRule>
    <cfRule type="expression" dxfId="31" priority="11">
      <formula>OR(ISBLANK(OFFSET(C14,1,0,1,1)),MONTH(C14)&lt;&gt;MONTH(OFFSET(C14,1,0,1,1)))</formula>
    </cfRule>
    <cfRule type="expression" dxfId="30" priority="12">
      <formula>OR(ISBLANK(OFFSET(C14,0,-1,1,1)),MONTH(C14)&lt;&gt;MONTH(OFFSET(C14,0,-1,1,1)))</formula>
    </cfRule>
  </conditionalFormatting>
  <conditionalFormatting sqref="C14:I66">
    <cfRule type="expression" dxfId="29" priority="9">
      <formula>MATCH(C14,holidays,0)</formula>
    </cfRule>
    <cfRule type="expression" dxfId="28" priority="14">
      <formula>OR(ISBLANK(OFFSET(C14,0,1,1,1)),MONTH(C14)&lt;&gt;MONTH(OFFSET(C14,0,1,1,1)))</formula>
    </cfRule>
    <cfRule type="expression" dxfId="27" priority="15">
      <formula>OR(ISBLANK(OFFSET(C14,1,0,1,1)),MONTH(C14)&lt;&gt;MONTH(OFFSET(C14,1,0,1,1)))</formula>
    </cfRule>
    <cfRule type="expression" dxfId="26" priority="16">
      <formula>OR(ISBLANK(OFFSET(C14,0,-1,1,1)),MONTH(C14)&lt;&gt;MONTH(OFFSET(C14,0,-1,1,1)))</formula>
    </cfRule>
  </conditionalFormatting>
  <conditionalFormatting sqref="T14:T66">
    <cfRule type="dataBar" priority="4">
      <dataBar showValue="0"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{0F93E004-A1D3-425C-A8DE-448E15D278F1}</x14:id>
        </ext>
      </extLst>
    </cfRule>
  </conditionalFormatting>
  <conditionalFormatting sqref="C7:I7">
    <cfRule type="cellIs" dxfId="25" priority="2" operator="greaterThan">
      <formula>$K$1531</formula>
    </cfRule>
  </conditionalFormatting>
  <dataValidations count="3">
    <dataValidation type="list" allowBlank="1" showInputMessage="1" showErrorMessage="1" sqref="C4">
      <formula1>data_labels</formula1>
    </dataValidation>
    <dataValidation type="list" allowBlank="1" showInputMessage="1" showErrorMessage="1" sqref="W7">
      <formula1>"Sunday,Monday,Tuesday,Wednesday,Thursday,Friday,Saturday"</formula1>
    </dataValidation>
    <dataValidation type="list" allowBlank="1" sqref="W16:W17">
      <formula1>"-,0"</formula1>
    </dataValidation>
  </dataValidations>
  <printOptions horizontalCentered="1"/>
  <pageMargins left="0.3" right="0.3" top="0.3" bottom="0.4" header="0.25" footer="0.25"/>
  <pageSetup scale="91" orientation="portrait" r:id="rId1"/>
  <headerFooter alignWithMargins="0">
    <oddFooter>&amp;L&amp;8&amp;K01+049https://www.vertex42.com/ExcelTemplates/calendar-chart.html&amp;R&amp;8&amp;K01+049Calendar Chart Template © 2016 by Vertex42.com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93E004-A1D3-425C-A8DE-448E15D278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T14:T66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minAxisType="group" maxAxisType="group">
          <x14:colorSeries theme="4" tint="0.39997558519241921"/>
          <x14:colorNegative theme="0" tint="-0.499984740745262"/>
          <x14:colorAxis rgb="FF000000"/>
          <x14:colorMarkers theme="4" tint="0.79998168889431442"/>
          <x14:colorFirst theme="4" tint="-0.249977111117893"/>
          <x14:colorLast theme="4" tint="-0.249977111117893"/>
          <x14:colorHigh theme="4" tint="-0.499984740745262"/>
          <x14:colorLow theme="4" tint="-0.499984740745262"/>
          <x14:sparklines>
            <x14:sparkline>
              <xm:f>'1-Year'!K10:K10</xm:f>
              <xm:sqref>K10</xm:sqref>
            </x14:sparkline>
            <x14:sparkline>
              <xm:f>'1-Year'!L10:L10</xm:f>
              <xm:sqref>L10</xm:sqref>
            </x14:sparkline>
            <x14:sparkline>
              <xm:f>'1-Year'!M10:M10</xm:f>
              <xm:sqref>M10</xm:sqref>
            </x14:sparkline>
            <x14:sparkline>
              <xm:f>'1-Year'!N10:N10</xm:f>
              <xm:sqref>N10</xm:sqref>
            </x14:sparkline>
            <x14:sparkline>
              <xm:f>'1-Year'!O10:O10</xm:f>
              <xm:sqref>O10</xm:sqref>
            </x14:sparkline>
            <x14:sparkline>
              <xm:f>'1-Year'!P10:P10</xm:f>
              <xm:sqref>P10</xm:sqref>
            </x14:sparkline>
            <x14:sparkline>
              <xm:f>'1-Year'!Q10:Q10</xm:f>
              <xm:sqref>Q10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C73"/>
  <sheetViews>
    <sheetView showGridLines="0" topLeftCell="J1" zoomScaleNormal="100" workbookViewId="0">
      <selection activeCell="BV10" sqref="BV1:BV10"/>
    </sheetView>
  </sheetViews>
  <sheetFormatPr defaultColWidth="8.85546875" defaultRowHeight="12.75" x14ac:dyDescent="0.2"/>
  <cols>
    <col min="1" max="1" width="1.7109375" style="59" hidden="1" customWidth="1"/>
    <col min="2" max="8" width="2.140625" style="59" hidden="1" customWidth="1"/>
    <col min="9" max="9" width="1.7109375" style="59" hidden="1" customWidth="1"/>
    <col min="10" max="10" width="5.140625" style="59" customWidth="1"/>
    <col min="11" max="17" width="2.7109375" style="59" customWidth="1"/>
    <col min="18" max="18" width="4.28515625" style="59" customWidth="1"/>
    <col min="19" max="19" width="1.7109375" style="59" hidden="1" customWidth="1"/>
    <col min="20" max="26" width="2.140625" style="59" hidden="1" customWidth="1"/>
    <col min="27" max="27" width="1.7109375" style="59" hidden="1" customWidth="1"/>
    <col min="28" max="28" width="5.140625" style="59" customWidth="1"/>
    <col min="29" max="35" width="2.7109375" style="59" customWidth="1"/>
    <col min="36" max="36" width="5.140625" style="59" customWidth="1"/>
    <col min="37" max="37" width="1.7109375" style="59" hidden="1" customWidth="1"/>
    <col min="38" max="44" width="2.140625" style="59" hidden="1" customWidth="1"/>
    <col min="45" max="45" width="1.7109375" style="59" hidden="1" customWidth="1"/>
    <col min="46" max="46" width="4.5703125" style="59" customWidth="1"/>
    <col min="47" max="53" width="2.7109375" style="59" customWidth="1"/>
    <col min="54" max="54" width="4.28515625" style="59" customWidth="1"/>
    <col min="55" max="55" width="1.7109375" style="59" hidden="1" customWidth="1"/>
    <col min="56" max="62" width="2.140625" style="59" hidden="1" customWidth="1"/>
    <col min="63" max="63" width="1.7109375" style="59" hidden="1" customWidth="1"/>
    <col min="64" max="64" width="5.140625" style="59" customWidth="1"/>
    <col min="65" max="71" width="2.7109375" style="59" customWidth="1"/>
    <col min="72" max="72" width="4.28515625" style="59" customWidth="1"/>
    <col min="73" max="73" width="4" style="59" customWidth="1"/>
    <col min="74" max="74" width="20.7109375" style="59" customWidth="1"/>
    <col min="75" max="75" width="10.28515625" style="59" customWidth="1"/>
    <col min="76" max="76" width="8.85546875" style="63"/>
    <col min="77" max="16384" width="8.85546875" style="59"/>
  </cols>
  <sheetData>
    <row r="1" spans="1:76" ht="20.25" x14ac:dyDescent="0.3">
      <c r="C1" s="2"/>
      <c r="D1" s="2"/>
      <c r="E1" s="2"/>
      <c r="F1" s="2"/>
      <c r="G1" s="2"/>
      <c r="H1" s="2"/>
      <c r="J1" s="22" t="s">
        <v>37</v>
      </c>
    </row>
    <row r="2" spans="1:76" x14ac:dyDescent="0.2">
      <c r="K2" s="100"/>
      <c r="L2" s="101"/>
      <c r="M2" s="101"/>
      <c r="N2" s="101"/>
      <c r="O2" s="101"/>
      <c r="P2" s="101"/>
      <c r="Q2" s="101"/>
      <c r="AC2" s="100"/>
      <c r="AD2" s="101"/>
      <c r="AE2" s="101"/>
      <c r="AF2" s="101"/>
      <c r="AG2" s="101"/>
      <c r="AH2" s="101"/>
      <c r="AI2" s="101"/>
      <c r="AU2" s="100"/>
      <c r="AV2" s="101"/>
      <c r="AW2" s="101"/>
      <c r="AX2" s="101"/>
      <c r="AY2" s="101"/>
      <c r="AZ2" s="101"/>
      <c r="BA2" s="101"/>
      <c r="BM2" s="100"/>
      <c r="BN2" s="101"/>
      <c r="BO2" s="101"/>
      <c r="BP2" s="101"/>
      <c r="BQ2" s="101"/>
      <c r="BR2" s="101"/>
      <c r="BS2" s="101"/>
      <c r="BW2" s="69"/>
    </row>
    <row r="3" spans="1:76" ht="15" x14ac:dyDescent="0.2">
      <c r="J3" s="84" t="s">
        <v>59</v>
      </c>
      <c r="K3" s="102" t="s">
        <v>53</v>
      </c>
      <c r="L3" s="103"/>
      <c r="M3" s="103"/>
      <c r="N3" s="103"/>
      <c r="O3" s="103"/>
      <c r="P3" s="103"/>
      <c r="Q3" s="104"/>
      <c r="AB3" s="84" t="s">
        <v>59</v>
      </c>
      <c r="AC3" s="102" t="s">
        <v>53</v>
      </c>
      <c r="AD3" s="103"/>
      <c r="AE3" s="103"/>
      <c r="AF3" s="103"/>
      <c r="AG3" s="103"/>
      <c r="AH3" s="103"/>
      <c r="AI3" s="104"/>
      <c r="AT3" s="84" t="s">
        <v>59</v>
      </c>
      <c r="AU3" s="102" t="s">
        <v>53</v>
      </c>
      <c r="AV3" s="103"/>
      <c r="AW3" s="103"/>
      <c r="AX3" s="103"/>
      <c r="AY3" s="103"/>
      <c r="AZ3" s="103"/>
      <c r="BA3" s="104"/>
      <c r="BL3" s="84" t="s">
        <v>59</v>
      </c>
      <c r="BM3" s="102" t="s">
        <v>53</v>
      </c>
      <c r="BN3" s="103"/>
      <c r="BO3" s="103"/>
      <c r="BP3" s="103"/>
      <c r="BQ3" s="103"/>
      <c r="BR3" s="103"/>
      <c r="BS3" s="104"/>
      <c r="BV3" s="5"/>
    </row>
    <row r="4" spans="1:76" ht="14.25" x14ac:dyDescent="0.2">
      <c r="A4" s="27"/>
      <c r="B4" s="30">
        <f>MATCH(K3,data_labels,0)</f>
        <v>2</v>
      </c>
      <c r="C4" s="33">
        <f>MATCH(BW20,{"Sunday";"Monday";"Tuesday";"Wednesday";"Thursday";"Friday";"Saturday"},0)</f>
        <v>1</v>
      </c>
      <c r="J4" s="13" t="s">
        <v>58</v>
      </c>
      <c r="K4" s="108">
        <v>41640</v>
      </c>
      <c r="L4" s="109"/>
      <c r="M4" s="109"/>
      <c r="N4" s="109"/>
      <c r="O4" s="109"/>
      <c r="P4" s="109"/>
      <c r="Q4" s="110"/>
      <c r="T4" s="30">
        <f>MATCH(AC3,data_labels,0)</f>
        <v>2</v>
      </c>
      <c r="AB4" s="13" t="s">
        <v>58</v>
      </c>
      <c r="AC4" s="108">
        <v>41640</v>
      </c>
      <c r="AD4" s="109"/>
      <c r="AE4" s="109"/>
      <c r="AF4" s="109"/>
      <c r="AG4" s="109"/>
      <c r="AH4" s="109"/>
      <c r="AI4" s="110"/>
      <c r="AL4" s="30">
        <f>MATCH(AU3,data_labels,0)</f>
        <v>2</v>
      </c>
      <c r="AT4" s="13" t="s">
        <v>58</v>
      </c>
      <c r="AU4" s="108">
        <v>41640</v>
      </c>
      <c r="AV4" s="109"/>
      <c r="AW4" s="109"/>
      <c r="AX4" s="109"/>
      <c r="AY4" s="109"/>
      <c r="AZ4" s="109"/>
      <c r="BA4" s="110"/>
      <c r="BD4" s="30">
        <f>MATCH(BM3,data_labels,0)</f>
        <v>2</v>
      </c>
      <c r="BL4" s="13" t="s">
        <v>58</v>
      </c>
      <c r="BM4" s="108">
        <v>41640</v>
      </c>
      <c r="BN4" s="109"/>
      <c r="BO4" s="109"/>
      <c r="BP4" s="109"/>
      <c r="BQ4" s="109"/>
      <c r="BR4" s="109"/>
      <c r="BS4" s="110"/>
      <c r="BV4" s="15"/>
    </row>
    <row r="5" spans="1:76" hidden="1" x14ac:dyDescent="0.2">
      <c r="A5" s="27"/>
      <c r="B5" s="30"/>
      <c r="C5" s="33"/>
      <c r="J5" s="13"/>
      <c r="K5" s="130" t="s">
        <v>64</v>
      </c>
      <c r="L5" s="130"/>
      <c r="M5" s="130"/>
      <c r="N5" s="130"/>
      <c r="O5" s="130"/>
      <c r="P5" s="130"/>
      <c r="Q5" s="130"/>
      <c r="T5" s="30"/>
      <c r="AB5" s="13"/>
      <c r="AC5" s="130" t="s">
        <v>64</v>
      </c>
      <c r="AD5" s="130"/>
      <c r="AE5" s="130"/>
      <c r="AF5" s="130"/>
      <c r="AG5" s="130"/>
      <c r="AH5" s="130"/>
      <c r="AI5" s="130"/>
      <c r="AL5" s="30"/>
      <c r="AT5" s="13"/>
      <c r="AU5" s="130" t="s">
        <v>64</v>
      </c>
      <c r="AV5" s="130"/>
      <c r="AW5" s="130"/>
      <c r="AX5" s="130"/>
      <c r="AY5" s="130"/>
      <c r="AZ5" s="130"/>
      <c r="BA5" s="130"/>
      <c r="BD5" s="30"/>
      <c r="BL5" s="13"/>
      <c r="BM5" s="130" t="s">
        <v>64</v>
      </c>
      <c r="BN5" s="130"/>
      <c r="BO5" s="130"/>
      <c r="BP5" s="130"/>
      <c r="BQ5" s="130"/>
      <c r="BR5" s="130"/>
      <c r="BS5" s="130"/>
      <c r="BV5" s="15"/>
    </row>
    <row r="6" spans="1:76" hidden="1" x14ac:dyDescent="0.2">
      <c r="A6" s="27"/>
      <c r="B6" s="30"/>
      <c r="C6" s="33"/>
      <c r="J6" s="13"/>
      <c r="K6" s="126" t="s">
        <v>20</v>
      </c>
      <c r="L6" s="127"/>
      <c r="M6" s="127"/>
      <c r="N6" s="127"/>
      <c r="O6" s="127"/>
      <c r="P6" s="127"/>
      <c r="Q6" s="128"/>
      <c r="T6" s="30"/>
      <c r="AB6" s="13"/>
      <c r="AC6" s="126" t="s">
        <v>20</v>
      </c>
      <c r="AD6" s="127"/>
      <c r="AE6" s="127"/>
      <c r="AF6" s="127"/>
      <c r="AG6" s="127"/>
      <c r="AH6" s="127"/>
      <c r="AI6" s="128"/>
      <c r="AL6" s="30"/>
      <c r="AT6" s="13"/>
      <c r="AU6" s="126" t="s">
        <v>20</v>
      </c>
      <c r="AV6" s="127"/>
      <c r="AW6" s="127"/>
      <c r="AX6" s="127"/>
      <c r="AY6" s="127"/>
      <c r="AZ6" s="127"/>
      <c r="BA6" s="128"/>
      <c r="BD6" s="30"/>
      <c r="BL6" s="13"/>
      <c r="BM6" s="126" t="s">
        <v>20</v>
      </c>
      <c r="BN6" s="127"/>
      <c r="BO6" s="127"/>
      <c r="BP6" s="127"/>
      <c r="BQ6" s="127"/>
      <c r="BR6" s="127"/>
      <c r="BS6" s="128"/>
      <c r="BV6" s="15"/>
    </row>
    <row r="7" spans="1:76" hidden="1" x14ac:dyDescent="0.2">
      <c r="A7" s="27"/>
      <c r="B7" s="30"/>
      <c r="C7" s="33"/>
      <c r="J7" s="13"/>
      <c r="K7" s="131" t="s">
        <v>61</v>
      </c>
      <c r="L7" s="131"/>
      <c r="M7" s="131"/>
      <c r="N7" s="131"/>
      <c r="O7" s="131"/>
      <c r="P7" s="131"/>
      <c r="Q7" s="131"/>
      <c r="T7" s="30"/>
      <c r="AB7" s="13"/>
      <c r="AC7" s="131" t="s">
        <v>61</v>
      </c>
      <c r="AD7" s="131"/>
      <c r="AE7" s="131"/>
      <c r="AF7" s="131"/>
      <c r="AG7" s="131"/>
      <c r="AH7" s="131"/>
      <c r="AI7" s="131"/>
      <c r="AL7" s="30"/>
      <c r="AT7" s="13"/>
      <c r="AU7" s="131" t="s">
        <v>61</v>
      </c>
      <c r="AV7" s="131"/>
      <c r="AW7" s="131"/>
      <c r="AX7" s="131"/>
      <c r="AY7" s="131"/>
      <c r="AZ7" s="131"/>
      <c r="BA7" s="131"/>
      <c r="BD7" s="30"/>
      <c r="BL7" s="13"/>
      <c r="BM7" s="131" t="s">
        <v>61</v>
      </c>
      <c r="BN7" s="131"/>
      <c r="BO7" s="131"/>
      <c r="BP7" s="131"/>
      <c r="BQ7" s="131"/>
      <c r="BR7" s="131"/>
      <c r="BS7" s="131"/>
      <c r="BV7" s="15"/>
    </row>
    <row r="8" spans="1:76" hidden="1" x14ac:dyDescent="0.2">
      <c r="A8" s="27"/>
      <c r="B8" s="30"/>
      <c r="C8" s="33"/>
      <c r="J8" s="13"/>
      <c r="K8" s="126">
        <v>0</v>
      </c>
      <c r="L8" s="127"/>
      <c r="M8" s="127"/>
      <c r="N8" s="127"/>
      <c r="O8" s="127"/>
      <c r="P8" s="127"/>
      <c r="Q8" s="128"/>
      <c r="T8" s="30"/>
      <c r="AB8" s="13"/>
      <c r="AC8" s="126">
        <v>0</v>
      </c>
      <c r="AD8" s="127"/>
      <c r="AE8" s="127"/>
      <c r="AF8" s="127"/>
      <c r="AG8" s="127"/>
      <c r="AH8" s="127"/>
      <c r="AI8" s="128"/>
      <c r="AL8" s="30"/>
      <c r="AT8" s="13"/>
      <c r="AU8" s="126">
        <v>0</v>
      </c>
      <c r="AV8" s="127"/>
      <c r="AW8" s="127"/>
      <c r="AX8" s="127"/>
      <c r="AY8" s="127"/>
      <c r="AZ8" s="127"/>
      <c r="BA8" s="128"/>
      <c r="BD8" s="30"/>
      <c r="BL8" s="13"/>
      <c r="BM8" s="126">
        <v>0</v>
      </c>
      <c r="BN8" s="127"/>
      <c r="BO8" s="127"/>
      <c r="BP8" s="127"/>
      <c r="BQ8" s="127"/>
      <c r="BR8" s="127"/>
      <c r="BS8" s="128"/>
      <c r="BV8" s="15"/>
    </row>
    <row r="9" spans="1:76" x14ac:dyDescent="0.2">
      <c r="A9" s="13"/>
      <c r="J9" s="3"/>
      <c r="AB9" s="3"/>
      <c r="AT9" s="3"/>
      <c r="BL9" s="3"/>
      <c r="BV9" s="95"/>
      <c r="BX9" s="59"/>
    </row>
    <row r="10" spans="1:76" x14ac:dyDescent="0.2">
      <c r="A10" s="13"/>
      <c r="J10" s="84" t="s">
        <v>55</v>
      </c>
      <c r="K10" s="87">
        <f t="shared" ref="K10:K15" ca="1" si="0">L10</f>
        <v>458</v>
      </c>
      <c r="L10" s="129">
        <f ca="1">MAX(K21:Q73)</f>
        <v>458</v>
      </c>
      <c r="M10" s="129"/>
      <c r="N10" s="129"/>
      <c r="O10" s="129"/>
      <c r="P10" s="129"/>
      <c r="Q10" s="85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4" t="s">
        <v>55</v>
      </c>
      <c r="AC10" s="87">
        <f t="shared" ref="AC10:AC15" ca="1" si="1">AD10</f>
        <v>458</v>
      </c>
      <c r="AD10" s="129">
        <f ca="1">MAX(AC21:AI73)</f>
        <v>458</v>
      </c>
      <c r="AE10" s="129"/>
      <c r="AF10" s="129"/>
      <c r="AG10" s="129"/>
      <c r="AH10" s="129"/>
      <c r="AI10" s="4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4" t="s">
        <v>55</v>
      </c>
      <c r="AU10" s="87">
        <f t="shared" ref="AU10:AU15" ca="1" si="2">AV10</f>
        <v>458</v>
      </c>
      <c r="AV10" s="129">
        <f ca="1">MAX(AU21:BA73)</f>
        <v>458</v>
      </c>
      <c r="AW10" s="129"/>
      <c r="AX10" s="129"/>
      <c r="AY10" s="129"/>
      <c r="AZ10" s="129"/>
      <c r="BA10" s="4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4" t="s">
        <v>55</v>
      </c>
      <c r="BM10" s="87">
        <f t="shared" ref="BM10:BM15" ca="1" si="3">BN10</f>
        <v>458</v>
      </c>
      <c r="BN10" s="129">
        <f ca="1">MAX(BM21:BS73)</f>
        <v>458</v>
      </c>
      <c r="BO10" s="129"/>
      <c r="BP10" s="129"/>
      <c r="BQ10" s="129"/>
      <c r="BR10" s="129"/>
      <c r="BS10" s="4"/>
      <c r="BT10" s="86"/>
      <c r="BV10" s="96"/>
      <c r="BX10" s="59"/>
    </row>
    <row r="11" spans="1:76" x14ac:dyDescent="0.2">
      <c r="A11" s="13"/>
      <c r="J11" s="91">
        <v>0.9</v>
      </c>
      <c r="K11" s="87">
        <f t="shared" ca="1" si="0"/>
        <v>336</v>
      </c>
      <c r="L11" s="129">
        <f ca="1">PERCENTILE(K21:Q73,0.9)</f>
        <v>336</v>
      </c>
      <c r="M11" s="129"/>
      <c r="N11" s="129"/>
      <c r="O11" s="129"/>
      <c r="P11" s="129"/>
      <c r="Q11" s="85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91">
        <v>0.9</v>
      </c>
      <c r="AC11" s="87">
        <f t="shared" ca="1" si="1"/>
        <v>336</v>
      </c>
      <c r="AD11" s="129">
        <f ca="1">PERCENTILE(AC21:AI73,0.9)</f>
        <v>336</v>
      </c>
      <c r="AE11" s="129"/>
      <c r="AF11" s="129"/>
      <c r="AG11" s="129"/>
      <c r="AH11" s="129"/>
      <c r="AI11" s="4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91">
        <v>0.9</v>
      </c>
      <c r="AU11" s="87">
        <f t="shared" ca="1" si="2"/>
        <v>336</v>
      </c>
      <c r="AV11" s="129">
        <f ca="1">PERCENTILE(AU21:BA73,0.9)</f>
        <v>336</v>
      </c>
      <c r="AW11" s="129"/>
      <c r="AX11" s="129"/>
      <c r="AY11" s="129"/>
      <c r="AZ11" s="129"/>
      <c r="BA11" s="4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91">
        <v>0.9</v>
      </c>
      <c r="BM11" s="87">
        <f t="shared" ca="1" si="3"/>
        <v>336</v>
      </c>
      <c r="BN11" s="129">
        <f ca="1">PERCENTILE(BM21:BS73,0.9)</f>
        <v>336</v>
      </c>
      <c r="BO11" s="129"/>
      <c r="BP11" s="129"/>
      <c r="BQ11" s="129"/>
      <c r="BR11" s="129"/>
      <c r="BS11" s="4"/>
      <c r="BT11" s="86"/>
      <c r="BV11" s="96" t="s">
        <v>67</v>
      </c>
      <c r="BX11" s="59"/>
    </row>
    <row r="12" spans="1:76" x14ac:dyDescent="0.2">
      <c r="A12" s="13"/>
      <c r="J12" s="84" t="s">
        <v>56</v>
      </c>
      <c r="K12" s="87">
        <f t="shared" ca="1" si="0"/>
        <v>187</v>
      </c>
      <c r="L12" s="129">
        <f ca="1">MEDIAN(K21:Q73)</f>
        <v>187</v>
      </c>
      <c r="M12" s="129"/>
      <c r="N12" s="129"/>
      <c r="O12" s="129"/>
      <c r="P12" s="129"/>
      <c r="Q12" s="85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4" t="s">
        <v>56</v>
      </c>
      <c r="AC12" s="87">
        <f t="shared" ca="1" si="1"/>
        <v>187</v>
      </c>
      <c r="AD12" s="129">
        <f ca="1">MEDIAN(AC21:AI73)</f>
        <v>187</v>
      </c>
      <c r="AE12" s="129"/>
      <c r="AF12" s="129"/>
      <c r="AG12" s="129"/>
      <c r="AH12" s="129"/>
      <c r="AI12" s="4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4" t="s">
        <v>56</v>
      </c>
      <c r="AU12" s="87">
        <f t="shared" ca="1" si="2"/>
        <v>187</v>
      </c>
      <c r="AV12" s="129">
        <f ca="1">MEDIAN(AU21:BA73)</f>
        <v>187</v>
      </c>
      <c r="AW12" s="129"/>
      <c r="AX12" s="129"/>
      <c r="AY12" s="129"/>
      <c r="AZ12" s="129"/>
      <c r="BA12" s="4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4" t="s">
        <v>56</v>
      </c>
      <c r="BM12" s="87">
        <f t="shared" ca="1" si="3"/>
        <v>187</v>
      </c>
      <c r="BN12" s="129">
        <f ca="1">MEDIAN(BM21:BS73)</f>
        <v>187</v>
      </c>
      <c r="BO12" s="129"/>
      <c r="BP12" s="129"/>
      <c r="BQ12" s="129"/>
      <c r="BR12" s="129"/>
      <c r="BS12" s="4"/>
      <c r="BT12" s="86"/>
      <c r="BV12" s="96" t="s">
        <v>69</v>
      </c>
      <c r="BX12" s="59"/>
    </row>
    <row r="13" spans="1:76" x14ac:dyDescent="0.2">
      <c r="A13" s="13"/>
      <c r="J13" s="84" t="s">
        <v>33</v>
      </c>
      <c r="K13" s="87">
        <f t="shared" ca="1" si="0"/>
        <v>183.25606469002696</v>
      </c>
      <c r="L13" s="129">
        <f ca="1">AVERAGE(K21:Q73)</f>
        <v>183.25606469002696</v>
      </c>
      <c r="M13" s="129"/>
      <c r="N13" s="129"/>
      <c r="O13" s="129"/>
      <c r="P13" s="129"/>
      <c r="Q13" s="85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4" t="s">
        <v>33</v>
      </c>
      <c r="AC13" s="87">
        <f t="shared" ca="1" si="1"/>
        <v>183.25606469002696</v>
      </c>
      <c r="AD13" s="129">
        <f ca="1">AVERAGE(AC21:AI73)</f>
        <v>183.25606469002696</v>
      </c>
      <c r="AE13" s="129"/>
      <c r="AF13" s="129"/>
      <c r="AG13" s="129"/>
      <c r="AH13" s="129"/>
      <c r="AI13" s="4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4" t="s">
        <v>33</v>
      </c>
      <c r="AU13" s="87">
        <f t="shared" ca="1" si="2"/>
        <v>183.25606469002696</v>
      </c>
      <c r="AV13" s="129">
        <f ca="1">AVERAGE(AU21:BA73)</f>
        <v>183.25606469002696</v>
      </c>
      <c r="AW13" s="129"/>
      <c r="AX13" s="129"/>
      <c r="AY13" s="129"/>
      <c r="AZ13" s="129"/>
      <c r="BA13" s="4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4" t="s">
        <v>33</v>
      </c>
      <c r="BM13" s="87">
        <f t="shared" ca="1" si="3"/>
        <v>183.25606469002696</v>
      </c>
      <c r="BN13" s="129">
        <f ca="1">AVERAGE(BM21:BS73)</f>
        <v>183.25606469002696</v>
      </c>
      <c r="BO13" s="129"/>
      <c r="BP13" s="129"/>
      <c r="BQ13" s="129"/>
      <c r="BR13" s="129"/>
      <c r="BS13" s="4"/>
      <c r="BT13" s="86"/>
      <c r="BV13" s="96"/>
      <c r="BX13" s="59"/>
    </row>
    <row r="14" spans="1:76" x14ac:dyDescent="0.2">
      <c r="A14" s="13"/>
      <c r="J14" s="91">
        <v>0.1</v>
      </c>
      <c r="K14" s="87">
        <f t="shared" ca="1" si="0"/>
        <v>30</v>
      </c>
      <c r="L14" s="129">
        <f ca="1">PERCENTILE(K22:Q74,0.1)</f>
        <v>30</v>
      </c>
      <c r="M14" s="129"/>
      <c r="N14" s="129"/>
      <c r="O14" s="129"/>
      <c r="P14" s="129"/>
      <c r="Q14" s="85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91">
        <v>0.1</v>
      </c>
      <c r="AC14" s="87">
        <f t="shared" ca="1" si="1"/>
        <v>30</v>
      </c>
      <c r="AD14" s="129">
        <f ca="1">PERCENTILE(AC22:AI74,0.1)</f>
        <v>30</v>
      </c>
      <c r="AE14" s="129"/>
      <c r="AF14" s="129"/>
      <c r="AG14" s="129"/>
      <c r="AH14" s="129"/>
      <c r="AI14" s="4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91">
        <v>0.1</v>
      </c>
      <c r="AU14" s="87">
        <f t="shared" ca="1" si="2"/>
        <v>30</v>
      </c>
      <c r="AV14" s="129">
        <f ca="1">PERCENTILE(AU22:BA74,0.1)</f>
        <v>30</v>
      </c>
      <c r="AW14" s="129"/>
      <c r="AX14" s="129"/>
      <c r="AY14" s="129"/>
      <c r="AZ14" s="129"/>
      <c r="BA14" s="4"/>
      <c r="BB14" s="86"/>
      <c r="BC14" s="86"/>
      <c r="BD14" s="86"/>
      <c r="BE14" s="86"/>
      <c r="BF14" s="86"/>
      <c r="BG14" s="86"/>
      <c r="BH14" s="86"/>
      <c r="BI14" s="86"/>
      <c r="BJ14" s="86"/>
      <c r="BK14" s="86"/>
      <c r="BL14" s="91">
        <v>0.1</v>
      </c>
      <c r="BM14" s="87">
        <f t="shared" ca="1" si="3"/>
        <v>30</v>
      </c>
      <c r="BN14" s="129">
        <f ca="1">PERCENTILE(BM22:BS74,0.1)</f>
        <v>30</v>
      </c>
      <c r="BO14" s="129"/>
      <c r="BP14" s="129"/>
      <c r="BQ14" s="129"/>
      <c r="BR14" s="129"/>
      <c r="BS14" s="4"/>
      <c r="BT14" s="86"/>
      <c r="BV14" s="96" t="s">
        <v>68</v>
      </c>
      <c r="BX14" s="59"/>
    </row>
    <row r="15" spans="1:76" x14ac:dyDescent="0.2">
      <c r="A15" s="13"/>
      <c r="J15" s="84" t="s">
        <v>57</v>
      </c>
      <c r="K15" s="87">
        <f t="shared" ca="1" si="0"/>
        <v>10</v>
      </c>
      <c r="L15" s="129">
        <f ca="1">MIN(K21:Q73)</f>
        <v>10</v>
      </c>
      <c r="M15" s="129"/>
      <c r="N15" s="129"/>
      <c r="O15" s="129"/>
      <c r="P15" s="129"/>
      <c r="Q15" s="85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4" t="s">
        <v>57</v>
      </c>
      <c r="AC15" s="87">
        <f t="shared" ca="1" si="1"/>
        <v>10</v>
      </c>
      <c r="AD15" s="129">
        <f ca="1">MIN(AC21:AI73)</f>
        <v>10</v>
      </c>
      <c r="AE15" s="129"/>
      <c r="AF15" s="129"/>
      <c r="AG15" s="129"/>
      <c r="AH15" s="129"/>
      <c r="AI15" s="4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4" t="s">
        <v>57</v>
      </c>
      <c r="AU15" s="87">
        <f t="shared" ca="1" si="2"/>
        <v>10</v>
      </c>
      <c r="AV15" s="129">
        <f ca="1">MIN(AU21:BA73)</f>
        <v>10</v>
      </c>
      <c r="AW15" s="129"/>
      <c r="AX15" s="129"/>
      <c r="AY15" s="129"/>
      <c r="AZ15" s="129"/>
      <c r="BA15" s="4"/>
      <c r="BB15" s="86"/>
      <c r="BC15" s="86"/>
      <c r="BD15" s="86"/>
      <c r="BE15" s="86"/>
      <c r="BF15" s="86"/>
      <c r="BG15" s="86"/>
      <c r="BH15" s="86"/>
      <c r="BI15" s="86"/>
      <c r="BJ15" s="86"/>
      <c r="BK15" s="86"/>
      <c r="BL15" s="84" t="s">
        <v>57</v>
      </c>
      <c r="BM15" s="87">
        <f t="shared" ca="1" si="3"/>
        <v>10</v>
      </c>
      <c r="BN15" s="129">
        <f ca="1">MIN(BM21:BS73)</f>
        <v>10</v>
      </c>
      <c r="BO15" s="129"/>
      <c r="BP15" s="129"/>
      <c r="BQ15" s="129"/>
      <c r="BR15" s="129"/>
      <c r="BS15" s="4"/>
      <c r="BT15" s="86"/>
      <c r="BV15" s="96"/>
      <c r="BX15" s="59"/>
    </row>
    <row r="16" spans="1:76" ht="6" customHeight="1" x14ac:dyDescent="0.2">
      <c r="A16" s="13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X16" s="59"/>
    </row>
    <row r="17" spans="1:81" ht="45.6" customHeight="1" x14ac:dyDescent="0.2">
      <c r="A17" s="13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V17" s="132" t="s">
        <v>71</v>
      </c>
      <c r="BW17" s="132"/>
      <c r="BX17" s="59"/>
    </row>
    <row r="18" spans="1:81" hidden="1" x14ac:dyDescent="0.2">
      <c r="J18" s="94" t="s">
        <v>33</v>
      </c>
      <c r="K18" s="93">
        <f ca="1">AVERAGE(K21:K73)</f>
        <v>28.716981132075471</v>
      </c>
      <c r="L18" s="93">
        <f t="shared" ref="L18:Q18" ca="1" si="4">AVERAGE(L21:L73)</f>
        <v>294.24528301886795</v>
      </c>
      <c r="M18" s="93">
        <f t="shared" ca="1" si="4"/>
        <v>273.98113207547169</v>
      </c>
      <c r="N18" s="93">
        <f t="shared" ca="1" si="4"/>
        <v>237.45283018867926</v>
      </c>
      <c r="O18" s="93">
        <f t="shared" ca="1" si="4"/>
        <v>206.66037735849056</v>
      </c>
      <c r="P18" s="93">
        <f t="shared" ca="1" si="4"/>
        <v>183.01886792452831</v>
      </c>
      <c r="Q18" s="93">
        <f t="shared" ca="1" si="4"/>
        <v>58.716981132075475</v>
      </c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93">
        <f ca="1">AVERAGE(AC21:AC73)</f>
        <v>28.716981132075471</v>
      </c>
      <c r="AD18" s="93">
        <f t="shared" ref="AD18:AI18" ca="1" si="5">AVERAGE(AD21:AD73)</f>
        <v>294.24528301886795</v>
      </c>
      <c r="AE18" s="93">
        <f t="shared" ca="1" si="5"/>
        <v>273.98113207547169</v>
      </c>
      <c r="AF18" s="93">
        <f t="shared" ca="1" si="5"/>
        <v>237.45283018867926</v>
      </c>
      <c r="AG18" s="93">
        <f t="shared" ca="1" si="5"/>
        <v>206.66037735849056</v>
      </c>
      <c r="AH18" s="93">
        <f t="shared" ca="1" si="5"/>
        <v>183.01886792452831</v>
      </c>
      <c r="AI18" s="93">
        <f t="shared" ca="1" si="5"/>
        <v>58.716981132075475</v>
      </c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93">
        <f ca="1">AVERAGE(AU21:AU73)</f>
        <v>28.716981132075471</v>
      </c>
      <c r="AV18" s="93">
        <f t="shared" ref="AV18:BA18" ca="1" si="6">AVERAGE(AV21:AV73)</f>
        <v>294.24528301886795</v>
      </c>
      <c r="AW18" s="93">
        <f t="shared" ca="1" si="6"/>
        <v>273.98113207547169</v>
      </c>
      <c r="AX18" s="93">
        <f t="shared" ca="1" si="6"/>
        <v>237.45283018867926</v>
      </c>
      <c r="AY18" s="93">
        <f t="shared" ca="1" si="6"/>
        <v>206.66037735849056</v>
      </c>
      <c r="AZ18" s="93">
        <f t="shared" ca="1" si="6"/>
        <v>183.01886792452831</v>
      </c>
      <c r="BA18" s="93">
        <f t="shared" ca="1" si="6"/>
        <v>58.716981132075475</v>
      </c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93">
        <f ca="1">AVERAGE(BM21:BM73)</f>
        <v>28.716981132075471</v>
      </c>
      <c r="BN18" s="93">
        <f t="shared" ref="BN18:BS18" ca="1" si="7">AVERAGE(BN21:BN73)</f>
        <v>294.24528301886795</v>
      </c>
      <c r="BO18" s="93">
        <f t="shared" ca="1" si="7"/>
        <v>273.98113207547169</v>
      </c>
      <c r="BP18" s="93">
        <f t="shared" ca="1" si="7"/>
        <v>237.45283018867926</v>
      </c>
      <c r="BQ18" s="93">
        <f t="shared" ca="1" si="7"/>
        <v>206.66037735849056</v>
      </c>
      <c r="BR18" s="93">
        <f t="shared" ca="1" si="7"/>
        <v>183.01886792452831</v>
      </c>
      <c r="BS18" s="93">
        <f t="shared" ca="1" si="7"/>
        <v>58.716981132075475</v>
      </c>
      <c r="BW18" s="90"/>
    </row>
    <row r="19" spans="1:81" ht="18" customHeight="1" x14ac:dyDescent="0.25">
      <c r="B19" s="99">
        <f>IF(MONTH(H22)=1,YEAR(H22),YEAR(B21)&amp;"-"&amp;YEAR(H69))</f>
        <v>2014</v>
      </c>
      <c r="C19" s="99"/>
      <c r="D19" s="99"/>
      <c r="E19" s="99"/>
      <c r="F19" s="99"/>
      <c r="G19" s="99"/>
      <c r="H19" s="99"/>
      <c r="K19" s="125">
        <f>B19</f>
        <v>2014</v>
      </c>
      <c r="L19" s="125"/>
      <c r="M19" s="125"/>
      <c r="N19" s="125"/>
      <c r="O19" s="125"/>
      <c r="P19" s="125"/>
      <c r="Q19" s="125"/>
      <c r="T19" s="99">
        <f>IF(MONTH(Z22)=1,YEAR(Z22),YEAR(T21)&amp;"-"&amp;YEAR(Z69))</f>
        <v>2014</v>
      </c>
      <c r="U19" s="99"/>
      <c r="V19" s="99"/>
      <c r="W19" s="99"/>
      <c r="X19" s="99"/>
      <c r="Y19" s="99"/>
      <c r="Z19" s="99"/>
      <c r="AC19" s="125">
        <f>T19</f>
        <v>2014</v>
      </c>
      <c r="AD19" s="125"/>
      <c r="AE19" s="125"/>
      <c r="AF19" s="125"/>
      <c r="AG19" s="125"/>
      <c r="AH19" s="125"/>
      <c r="AI19" s="125"/>
      <c r="AL19" s="99">
        <f>IF(MONTH(AR22)=1,YEAR(AR22),YEAR(AL21)&amp;"-"&amp;YEAR(AR69))</f>
        <v>2014</v>
      </c>
      <c r="AM19" s="99"/>
      <c r="AN19" s="99"/>
      <c r="AO19" s="99"/>
      <c r="AP19" s="99"/>
      <c r="AQ19" s="99"/>
      <c r="AR19" s="99"/>
      <c r="AU19" s="125">
        <f>AL19</f>
        <v>2014</v>
      </c>
      <c r="AV19" s="125"/>
      <c r="AW19" s="125"/>
      <c r="AX19" s="125"/>
      <c r="AY19" s="125"/>
      <c r="AZ19" s="125"/>
      <c r="BA19" s="125"/>
      <c r="BD19" s="99">
        <f>IF(MONTH(BJ22)=1,YEAR(BJ22),YEAR(BD21)&amp;"-"&amp;YEAR(BJ69))</f>
        <v>2014</v>
      </c>
      <c r="BE19" s="99"/>
      <c r="BF19" s="99"/>
      <c r="BG19" s="99"/>
      <c r="BH19" s="99"/>
      <c r="BI19" s="99"/>
      <c r="BJ19" s="99"/>
      <c r="BM19" s="125">
        <f>BD19</f>
        <v>2014</v>
      </c>
      <c r="BN19" s="125"/>
      <c r="BO19" s="125"/>
      <c r="BP19" s="125"/>
      <c r="BQ19" s="125"/>
      <c r="BR19" s="125"/>
      <c r="BS19" s="125"/>
    </row>
    <row r="20" spans="1:81" s="1" customFormat="1" ht="16.149999999999999" customHeight="1" x14ac:dyDescent="0.2">
      <c r="B20" s="28" t="str">
        <f>CHOOSE(WEEKDAY(B21,1),"Su","M","Tu","W","Th","F","Sa")</f>
        <v>Su</v>
      </c>
      <c r="C20" s="28" t="str">
        <f t="shared" ref="C20:H20" si="8">CHOOSE(WEEKDAY(C21,1),"Su","M","Tu","W","Th","F","Sa")</f>
        <v>M</v>
      </c>
      <c r="D20" s="28" t="str">
        <f t="shared" si="8"/>
        <v>Tu</v>
      </c>
      <c r="E20" s="28" t="str">
        <f t="shared" si="8"/>
        <v>W</v>
      </c>
      <c r="F20" s="28" t="str">
        <f t="shared" si="8"/>
        <v>Th</v>
      </c>
      <c r="G20" s="28" t="str">
        <f t="shared" si="8"/>
        <v>F</v>
      </c>
      <c r="H20" s="28" t="str">
        <f t="shared" si="8"/>
        <v>Sa</v>
      </c>
      <c r="J20" s="23"/>
      <c r="K20" s="89" t="str">
        <f>B20</f>
        <v>Su</v>
      </c>
      <c r="L20" s="89" t="str">
        <f t="shared" ref="L20:Q20" si="9">C20</f>
        <v>M</v>
      </c>
      <c r="M20" s="89" t="str">
        <f t="shared" si="9"/>
        <v>Tu</v>
      </c>
      <c r="N20" s="89" t="str">
        <f t="shared" si="9"/>
        <v>W</v>
      </c>
      <c r="O20" s="89" t="str">
        <f t="shared" si="9"/>
        <v>Th</v>
      </c>
      <c r="P20" s="89" t="str">
        <f t="shared" si="9"/>
        <v>F</v>
      </c>
      <c r="Q20" s="89" t="str">
        <f t="shared" si="9"/>
        <v>Sa</v>
      </c>
      <c r="R20" s="81" t="s">
        <v>33</v>
      </c>
      <c r="T20" s="28" t="str">
        <f>CHOOSE(WEEKDAY(T21,1),"Su","M","Tu","W","Th","F","Sa")</f>
        <v>Su</v>
      </c>
      <c r="U20" s="28" t="str">
        <f t="shared" ref="U20:Z20" si="10">CHOOSE(WEEKDAY(U21,1),"Su","M","Tu","W","Th","F","Sa")</f>
        <v>M</v>
      </c>
      <c r="V20" s="28" t="str">
        <f t="shared" si="10"/>
        <v>Tu</v>
      </c>
      <c r="W20" s="28" t="str">
        <f t="shared" si="10"/>
        <v>W</v>
      </c>
      <c r="X20" s="28" t="str">
        <f t="shared" si="10"/>
        <v>Th</v>
      </c>
      <c r="Y20" s="28" t="str">
        <f t="shared" si="10"/>
        <v>F</v>
      </c>
      <c r="Z20" s="28" t="str">
        <f t="shared" si="10"/>
        <v>Sa</v>
      </c>
      <c r="AB20" s="23"/>
      <c r="AC20" s="89" t="str">
        <f>T20</f>
        <v>Su</v>
      </c>
      <c r="AD20" s="89" t="str">
        <f t="shared" ref="AD20:AI20" si="11">U20</f>
        <v>M</v>
      </c>
      <c r="AE20" s="89" t="str">
        <f t="shared" si="11"/>
        <v>Tu</v>
      </c>
      <c r="AF20" s="89" t="str">
        <f t="shared" si="11"/>
        <v>W</v>
      </c>
      <c r="AG20" s="89" t="str">
        <f t="shared" si="11"/>
        <v>Th</v>
      </c>
      <c r="AH20" s="89" t="str">
        <f t="shared" si="11"/>
        <v>F</v>
      </c>
      <c r="AI20" s="89" t="str">
        <f t="shared" si="11"/>
        <v>Sa</v>
      </c>
      <c r="AJ20" s="81" t="s">
        <v>33</v>
      </c>
      <c r="AL20" s="28" t="str">
        <f>CHOOSE(WEEKDAY(AL21,1),"Su","M","Tu","W","Th","F","Sa")</f>
        <v>Su</v>
      </c>
      <c r="AM20" s="28" t="str">
        <f t="shared" ref="AM20:AR20" si="12">CHOOSE(WEEKDAY(AM21,1),"Su","M","Tu","W","Th","F","Sa")</f>
        <v>M</v>
      </c>
      <c r="AN20" s="28" t="str">
        <f t="shared" si="12"/>
        <v>Tu</v>
      </c>
      <c r="AO20" s="28" t="str">
        <f t="shared" si="12"/>
        <v>W</v>
      </c>
      <c r="AP20" s="28" t="str">
        <f t="shared" si="12"/>
        <v>Th</v>
      </c>
      <c r="AQ20" s="28" t="str">
        <f t="shared" si="12"/>
        <v>F</v>
      </c>
      <c r="AR20" s="28" t="str">
        <f t="shared" si="12"/>
        <v>Sa</v>
      </c>
      <c r="AT20" s="23"/>
      <c r="AU20" s="89" t="str">
        <f>AL20</f>
        <v>Su</v>
      </c>
      <c r="AV20" s="89" t="str">
        <f t="shared" ref="AV20:BA20" si="13">AM20</f>
        <v>M</v>
      </c>
      <c r="AW20" s="89" t="str">
        <f t="shared" si="13"/>
        <v>Tu</v>
      </c>
      <c r="AX20" s="89" t="str">
        <f t="shared" si="13"/>
        <v>W</v>
      </c>
      <c r="AY20" s="89" t="str">
        <f t="shared" si="13"/>
        <v>Th</v>
      </c>
      <c r="AZ20" s="89" t="str">
        <f t="shared" si="13"/>
        <v>F</v>
      </c>
      <c r="BA20" s="89" t="str">
        <f t="shared" si="13"/>
        <v>Sa</v>
      </c>
      <c r="BB20" s="81" t="s">
        <v>33</v>
      </c>
      <c r="BD20" s="28" t="str">
        <f>CHOOSE(WEEKDAY(BD21,1),"Su","M","Tu","W","Th","F","Sa")</f>
        <v>Su</v>
      </c>
      <c r="BE20" s="28" t="str">
        <f t="shared" ref="BE20:BJ20" si="14">CHOOSE(WEEKDAY(BE21,1),"Su","M","Tu","W","Th","F","Sa")</f>
        <v>M</v>
      </c>
      <c r="BF20" s="28" t="str">
        <f t="shared" si="14"/>
        <v>Tu</v>
      </c>
      <c r="BG20" s="28" t="str">
        <f t="shared" si="14"/>
        <v>W</v>
      </c>
      <c r="BH20" s="28" t="str">
        <f t="shared" si="14"/>
        <v>Th</v>
      </c>
      <c r="BI20" s="28" t="str">
        <f t="shared" si="14"/>
        <v>F</v>
      </c>
      <c r="BJ20" s="28" t="str">
        <f t="shared" si="14"/>
        <v>Sa</v>
      </c>
      <c r="BL20" s="23"/>
      <c r="BM20" s="89" t="str">
        <f>BD20</f>
        <v>Su</v>
      </c>
      <c r="BN20" s="89" t="str">
        <f t="shared" ref="BN20:BS20" si="15">BE20</f>
        <v>M</v>
      </c>
      <c r="BO20" s="89" t="str">
        <f t="shared" si="15"/>
        <v>Tu</v>
      </c>
      <c r="BP20" s="89" t="str">
        <f t="shared" si="15"/>
        <v>W</v>
      </c>
      <c r="BQ20" s="89" t="str">
        <f t="shared" si="15"/>
        <v>Th</v>
      </c>
      <c r="BR20" s="89" t="str">
        <f t="shared" si="15"/>
        <v>F</v>
      </c>
      <c r="BS20" s="89" t="str">
        <f t="shared" si="15"/>
        <v>Sa</v>
      </c>
      <c r="BT20" s="81" t="s">
        <v>33</v>
      </c>
      <c r="BU20" s="59"/>
      <c r="BV20" s="80" t="s">
        <v>19</v>
      </c>
      <c r="BW20" s="83" t="s">
        <v>18</v>
      </c>
      <c r="BX20" s="63"/>
      <c r="BY20" s="59"/>
      <c r="BZ20" s="59"/>
      <c r="CA20" s="59"/>
      <c r="CB20" s="59"/>
      <c r="CC20" s="59"/>
    </row>
    <row r="21" spans="1:81" ht="12" customHeight="1" x14ac:dyDescent="0.2">
      <c r="B21" s="34">
        <f>K4-WEEKDAY(K4,1)+C4</f>
        <v>41637</v>
      </c>
      <c r="C21" s="34">
        <f>B21+1</f>
        <v>41638</v>
      </c>
      <c r="D21" s="34">
        <f t="shared" ref="D21:H21" si="16">C21+1</f>
        <v>41639</v>
      </c>
      <c r="E21" s="34">
        <f t="shared" si="16"/>
        <v>41640</v>
      </c>
      <c r="F21" s="34">
        <f t="shared" si="16"/>
        <v>41641</v>
      </c>
      <c r="G21" s="34">
        <f t="shared" si="16"/>
        <v>41642</v>
      </c>
      <c r="H21" s="34">
        <f t="shared" si="16"/>
        <v>41643</v>
      </c>
      <c r="J21" s="82">
        <f>IF(DAY(B21)=1,"",B21)</f>
        <v>41637</v>
      </c>
      <c r="K21" s="71">
        <f ca="1">IF(""=IFERROR(INDEX(INDIRECT("Data!C"&amp;$B$4,FALSE),MATCH(B21,Data!$A:$A,0)),$K$6),$K$8,IFERROR(INDEX(INDIRECT("Data!C"&amp;$B$4,FALSE),MATCH(B21,Data!$A:$A,0)),$K$6))</f>
        <v>27</v>
      </c>
      <c r="L21" s="71">
        <f ca="1">IF(""=IFERROR(INDEX(INDIRECT("Data!C"&amp;$B$4,FALSE),MATCH(C21,Data!$A:$A,0)),$K$6),$K$8,IFERROR(INDEX(INDIRECT("Data!C"&amp;$B$4,FALSE),MATCH(C21,Data!$A:$A,0)),$K$6))</f>
        <v>249</v>
      </c>
      <c r="M21" s="71">
        <f ca="1">IF(""=IFERROR(INDEX(INDIRECT("Data!C"&amp;$B$4,FALSE),MATCH(D21,Data!$A:$A,0)),$K$6),$K$8,IFERROR(INDEX(INDIRECT("Data!C"&amp;$B$4,FALSE),MATCH(D21,Data!$A:$A,0)),$K$6))</f>
        <v>269</v>
      </c>
      <c r="N21" s="71">
        <f ca="1">IF(""=IFERROR(INDEX(INDIRECT("Data!C"&amp;$B$4,FALSE),MATCH(E21,Data!$A:$A,0)),$K$6),$K$8,IFERROR(INDEX(INDIRECT("Data!C"&amp;$B$4,FALSE),MATCH(E21,Data!$A:$A,0)),$K$6))</f>
        <v>154</v>
      </c>
      <c r="O21" s="71">
        <f ca="1">IF(""=IFERROR(INDEX(INDIRECT("Data!C"&amp;$B$4,FALSE),MATCH(F21,Data!$A:$A,0)),$K$6),$K$8,IFERROR(INDEX(INDIRECT("Data!C"&amp;$B$4,FALSE),MATCH(F21,Data!$A:$A,0)),$K$6))</f>
        <v>123</v>
      </c>
      <c r="P21" s="71">
        <f ca="1">IF(""=IFERROR(INDEX(INDIRECT("Data!C"&amp;$B$4,FALSE),MATCH(G21,Data!$A:$A,0)),$K$6),$K$8,IFERROR(INDEX(INDIRECT("Data!C"&amp;$B$4,FALSE),MATCH(G21,Data!$A:$A,0)),$K$6))</f>
        <v>88</v>
      </c>
      <c r="Q21" s="71">
        <f ca="1">IF(""=IFERROR(INDEX(INDIRECT("Data!C"&amp;$B$4,FALSE),MATCH(H21,Data!$A:$A,0)),$K$6),$K$8,IFERROR(INDEX(INDIRECT("Data!C"&amp;$B$4,FALSE),MATCH(H21,Data!$A:$A,0)),$K$6))</f>
        <v>20</v>
      </c>
      <c r="R21" s="88">
        <f ca="1">IFERROR(AVERAGE(K21:Q21),"-")</f>
        <v>132.85714285714286</v>
      </c>
      <c r="T21" s="34">
        <f>AC4-WEEKDAY(AC4,1)+$C$4</f>
        <v>41637</v>
      </c>
      <c r="U21" s="34">
        <f>T21+1</f>
        <v>41638</v>
      </c>
      <c r="V21" s="34">
        <f t="shared" ref="V21:Z71" si="17">U21+1</f>
        <v>41639</v>
      </c>
      <c r="W21" s="34">
        <f t="shared" si="17"/>
        <v>41640</v>
      </c>
      <c r="X21" s="34">
        <f t="shared" si="17"/>
        <v>41641</v>
      </c>
      <c r="Y21" s="34">
        <f t="shared" si="17"/>
        <v>41642</v>
      </c>
      <c r="Z21" s="34">
        <f t="shared" si="17"/>
        <v>41643</v>
      </c>
      <c r="AB21" s="82">
        <f>IF(DAY(T21)=1,"",T21)</f>
        <v>41637</v>
      </c>
      <c r="AC21" s="71">
        <f ca="1">IF(""=IFERROR(INDEX(INDIRECT("Data!C"&amp;$T$4,FALSE),MATCH(T21,Data!$A:$A,0)),$AC$6),$AC$8,IFERROR(INDEX(INDIRECT("Data!C"&amp;$T$4,FALSE),MATCH(T21,Data!$A:$A,0)),$AC$6))</f>
        <v>27</v>
      </c>
      <c r="AD21" s="71">
        <f ca="1">IF(""=IFERROR(INDEX(INDIRECT("Data!C"&amp;$T$4,FALSE),MATCH(U21,Data!$A:$A,0)),$AC$6),$AC$8,IFERROR(INDEX(INDIRECT("Data!C"&amp;$T$4,FALSE),MATCH(U21,Data!$A:$A,0)),$AC$6))</f>
        <v>249</v>
      </c>
      <c r="AE21" s="71">
        <f ca="1">IF(""=IFERROR(INDEX(INDIRECT("Data!C"&amp;$T$4,FALSE),MATCH(V21,Data!$A:$A,0)),$AC$6),$AC$8,IFERROR(INDEX(INDIRECT("Data!C"&amp;$T$4,FALSE),MATCH(V21,Data!$A:$A,0)),$AC$6))</f>
        <v>269</v>
      </c>
      <c r="AF21" s="71">
        <f ca="1">IF(""=IFERROR(INDEX(INDIRECT("Data!C"&amp;$T$4,FALSE),MATCH(W21,Data!$A:$A,0)),$AC$6),$AC$8,IFERROR(INDEX(INDIRECT("Data!C"&amp;$T$4,FALSE),MATCH(W21,Data!$A:$A,0)),$AC$6))</f>
        <v>154</v>
      </c>
      <c r="AG21" s="71">
        <f ca="1">IF(""=IFERROR(INDEX(INDIRECT("Data!C"&amp;$T$4,FALSE),MATCH(X21,Data!$A:$A,0)),$AC$6),$AC$8,IFERROR(INDEX(INDIRECT("Data!C"&amp;$T$4,FALSE),MATCH(X21,Data!$A:$A,0)),$AC$6))</f>
        <v>123</v>
      </c>
      <c r="AH21" s="71">
        <f ca="1">IF(""=IFERROR(INDEX(INDIRECT("Data!C"&amp;$T$4,FALSE),MATCH(Y21,Data!$A:$A,0)),$AC$6),$AC$8,IFERROR(INDEX(INDIRECT("Data!C"&amp;$T$4,FALSE),MATCH(Y21,Data!$A:$A,0)),$AC$6))</f>
        <v>88</v>
      </c>
      <c r="AI21" s="71">
        <f ca="1">IF(""=IFERROR(INDEX(INDIRECT("Data!C"&amp;$T$4,FALSE),MATCH(Z21,Data!$A:$A,0)),$AC$6),$AC$8,IFERROR(INDEX(INDIRECT("Data!C"&amp;$T$4,FALSE),MATCH(Z21,Data!$A:$A,0)),$AC$6))</f>
        <v>20</v>
      </c>
      <c r="AJ21" s="88">
        <f ca="1">IFERROR(AVERAGE(AC21:AI21),"-")</f>
        <v>132.85714285714286</v>
      </c>
      <c r="AL21" s="34">
        <f>AU4-WEEKDAY(AU4,1)+$C$4</f>
        <v>41637</v>
      </c>
      <c r="AM21" s="34">
        <f>AL21+1</f>
        <v>41638</v>
      </c>
      <c r="AN21" s="34">
        <f t="shared" ref="AN21:AR71" si="18">AM21+1</f>
        <v>41639</v>
      </c>
      <c r="AO21" s="34">
        <f t="shared" si="18"/>
        <v>41640</v>
      </c>
      <c r="AP21" s="34">
        <f t="shared" si="18"/>
        <v>41641</v>
      </c>
      <c r="AQ21" s="34">
        <f t="shared" si="18"/>
        <v>41642</v>
      </c>
      <c r="AR21" s="34">
        <f t="shared" si="18"/>
        <v>41643</v>
      </c>
      <c r="AT21" s="82">
        <f>IF(DAY(AL21)=1,"",AL21)</f>
        <v>41637</v>
      </c>
      <c r="AU21" s="71">
        <f ca="1">IF(""=IFERROR(INDEX(INDIRECT("Data!C"&amp;$AL$4,FALSE),MATCH(AL21,Data!$A:$A,0)),$AU$6),$AU$8,IFERROR(INDEX(INDIRECT("Data!C"&amp;$AL$4,FALSE),MATCH(AL21,Data!$A:$A,0)),$AU$6))</f>
        <v>27</v>
      </c>
      <c r="AV21" s="71">
        <f ca="1">IF(""=IFERROR(INDEX(INDIRECT("Data!C"&amp;$AL$4,FALSE),MATCH(AM21,Data!$A:$A,0)),$AU$6),$AU$8,IFERROR(INDEX(INDIRECT("Data!C"&amp;$AL$4,FALSE),MATCH(AM21,Data!$A:$A,0)),$AU$6))</f>
        <v>249</v>
      </c>
      <c r="AW21" s="71">
        <f ca="1">IF(""=IFERROR(INDEX(INDIRECT("Data!C"&amp;$AL$4,FALSE),MATCH(AN21,Data!$A:$A,0)),$AU$6),$AU$8,IFERROR(INDEX(INDIRECT("Data!C"&amp;$AL$4,FALSE),MATCH(AN21,Data!$A:$A,0)),$AU$6))</f>
        <v>269</v>
      </c>
      <c r="AX21" s="71">
        <f ca="1">IF(""=IFERROR(INDEX(INDIRECT("Data!C"&amp;$AL$4,FALSE),MATCH(AO21,Data!$A:$A,0)),$AU$6),$AU$8,IFERROR(INDEX(INDIRECT("Data!C"&amp;$AL$4,FALSE),MATCH(AO21,Data!$A:$A,0)),$AU$6))</f>
        <v>154</v>
      </c>
      <c r="AY21" s="71">
        <f ca="1">IF(""=IFERROR(INDEX(INDIRECT("Data!C"&amp;$AL$4,FALSE),MATCH(AP21,Data!$A:$A,0)),$AU$6),$AU$8,IFERROR(INDEX(INDIRECT("Data!C"&amp;$AL$4,FALSE),MATCH(AP21,Data!$A:$A,0)),$AU$6))</f>
        <v>123</v>
      </c>
      <c r="AZ21" s="71">
        <f ca="1">IF(""=IFERROR(INDEX(INDIRECT("Data!C"&amp;$AL$4,FALSE),MATCH(AQ21,Data!$A:$A,0)),$AU$6),$AU$8,IFERROR(INDEX(INDIRECT("Data!C"&amp;$AL$4,FALSE),MATCH(AQ21,Data!$A:$A,0)),$AU$6))</f>
        <v>88</v>
      </c>
      <c r="BA21" s="71">
        <f ca="1">IF(""=IFERROR(INDEX(INDIRECT("Data!C"&amp;$AL$4,FALSE),MATCH(AR21,Data!$A:$A,0)),$AU$6),$AU$8,IFERROR(INDEX(INDIRECT("Data!C"&amp;$AL$4,FALSE),MATCH(AR21,Data!$A:$A,0)),$AU$6))</f>
        <v>20</v>
      </c>
      <c r="BB21" s="88">
        <f ca="1">IFERROR(AVERAGE(AU21:BA21),"-")</f>
        <v>132.85714285714286</v>
      </c>
      <c r="BD21" s="34">
        <f>BM4-WEEKDAY(BM4,1)+$C$4</f>
        <v>41637</v>
      </c>
      <c r="BE21" s="34">
        <f>BD21+1</f>
        <v>41638</v>
      </c>
      <c r="BF21" s="34">
        <f t="shared" ref="BF21:BJ71" si="19">BE21+1</f>
        <v>41639</v>
      </c>
      <c r="BG21" s="34">
        <f t="shared" si="19"/>
        <v>41640</v>
      </c>
      <c r="BH21" s="34">
        <f t="shared" si="19"/>
        <v>41641</v>
      </c>
      <c r="BI21" s="34">
        <f t="shared" si="19"/>
        <v>41642</v>
      </c>
      <c r="BJ21" s="34">
        <f t="shared" si="19"/>
        <v>41643</v>
      </c>
      <c r="BL21" s="82">
        <f>IF(DAY(BD21)=1,"",BD21)</f>
        <v>41637</v>
      </c>
      <c r="BM21" s="71">
        <f ca="1">IF(""=IFERROR(INDEX(INDIRECT("Data!C"&amp;$BD$4,FALSE),MATCH(BD21,Data!$A:$A,0)),$BM$6),$BM$8,IFERROR(INDEX(INDIRECT("Data!C"&amp;$BD$4,FALSE),MATCH(BD21,Data!$A:$A,0)),$BM$6))</f>
        <v>27</v>
      </c>
      <c r="BN21" s="71">
        <f ca="1">IF(""=IFERROR(INDEX(INDIRECT("Data!C"&amp;$BD$4,FALSE),MATCH(BE21,Data!$A:$A,0)),$BM$6),$BM$8,IFERROR(INDEX(INDIRECT("Data!C"&amp;$BD$4,FALSE),MATCH(BE21,Data!$A:$A,0)),$BM$6))</f>
        <v>249</v>
      </c>
      <c r="BO21" s="71">
        <f ca="1">IF(""=IFERROR(INDEX(INDIRECT("Data!C"&amp;$BD$4,FALSE),MATCH(BF21,Data!$A:$A,0)),$BM$6),$BM$8,IFERROR(INDEX(INDIRECT("Data!C"&amp;$BD$4,FALSE),MATCH(BF21,Data!$A:$A,0)),$BM$6))</f>
        <v>269</v>
      </c>
      <c r="BP21" s="71">
        <f ca="1">IF(""=IFERROR(INDEX(INDIRECT("Data!C"&amp;$BD$4,FALSE),MATCH(BG21,Data!$A:$A,0)),$BM$6),$BM$8,IFERROR(INDEX(INDIRECT("Data!C"&amp;$BD$4,FALSE),MATCH(BG21,Data!$A:$A,0)),$BM$6))</f>
        <v>154</v>
      </c>
      <c r="BQ21" s="71">
        <f ca="1">IF(""=IFERROR(INDEX(INDIRECT("Data!C"&amp;$BD$4,FALSE),MATCH(BH21,Data!$A:$A,0)),$BM$6),$BM$8,IFERROR(INDEX(INDIRECT("Data!C"&amp;$BD$4,FALSE),MATCH(BH21,Data!$A:$A,0)),$BM$6))</f>
        <v>123</v>
      </c>
      <c r="BR21" s="71">
        <f ca="1">IF(""=IFERROR(INDEX(INDIRECT("Data!C"&amp;$BD$4,FALSE),MATCH(BI21,Data!$A:$A,0)),$BM$6),$BM$8,IFERROR(INDEX(INDIRECT("Data!C"&amp;$BD$4,FALSE),MATCH(BI21,Data!$A:$A,0)),$BM$6))</f>
        <v>88</v>
      </c>
      <c r="BS21" s="71">
        <f ca="1">IF(""=IFERROR(INDEX(INDIRECT("Data!C"&amp;$BD$4,FALSE),MATCH(BJ21,Data!$A:$A,0)),$BM$6),$BM$8,IFERROR(INDEX(INDIRECT("Data!C"&amp;$BD$4,FALSE),MATCH(BJ21,Data!$A:$A,0)),$BM$6))</f>
        <v>20</v>
      </c>
      <c r="BT21" s="88">
        <f ca="1">IFERROR(AVERAGE(BM21:BS21),"-")</f>
        <v>132.85714285714286</v>
      </c>
      <c r="BV21" s="48"/>
    </row>
    <row r="22" spans="1:81" ht="12" customHeight="1" x14ac:dyDescent="0.2">
      <c r="B22" s="34">
        <f>B21+7</f>
        <v>41644</v>
      </c>
      <c r="C22" s="34">
        <f t="shared" ref="C22:H37" si="20">B22+1</f>
        <v>41645</v>
      </c>
      <c r="D22" s="34">
        <f t="shared" si="20"/>
        <v>41646</v>
      </c>
      <c r="E22" s="34">
        <f t="shared" si="20"/>
        <v>41647</v>
      </c>
      <c r="F22" s="34">
        <f t="shared" si="20"/>
        <v>41648</v>
      </c>
      <c r="G22" s="34">
        <f t="shared" si="20"/>
        <v>41649</v>
      </c>
      <c r="H22" s="34">
        <f t="shared" si="20"/>
        <v>41650</v>
      </c>
      <c r="J22" s="82">
        <f t="array" ref="J22">IFERROR(IF(MATCH(8,DAY(B22:H22),0),H22,""),"")</f>
        <v>41650</v>
      </c>
      <c r="K22" s="71">
        <f ca="1">IF(""=IFERROR(INDEX(INDIRECT("Data!C"&amp;$B$4,FALSE),MATCH(B22,Data!$A:$A,0)),$K$6),$K$8,IFERROR(INDEX(INDIRECT("Data!C"&amp;$B$4,FALSE),MATCH(B22,Data!$A:$A,0)),$K$6))</f>
        <v>23</v>
      </c>
      <c r="L22" s="71">
        <f ca="1">IF(""=IFERROR(INDEX(INDIRECT("Data!C"&amp;$B$4,FALSE),MATCH(C22,Data!$A:$A,0)),$K$6),$K$8,IFERROR(INDEX(INDIRECT("Data!C"&amp;$B$4,FALSE),MATCH(C22,Data!$A:$A,0)),$K$6))</f>
        <v>113</v>
      </c>
      <c r="M22" s="71">
        <f ca="1">IF(""=IFERROR(INDEX(INDIRECT("Data!C"&amp;$B$4,FALSE),MATCH(D22,Data!$A:$A,0)),$K$6),$K$8,IFERROR(INDEX(INDIRECT("Data!C"&amp;$B$4,FALSE),MATCH(D22,Data!$A:$A,0)),$K$6))</f>
        <v>157</v>
      </c>
      <c r="N22" s="71">
        <f ca="1">IF(""=IFERROR(INDEX(INDIRECT("Data!C"&amp;$B$4,FALSE),MATCH(E22,Data!$A:$A,0)),$K$6),$K$8,IFERROR(INDEX(INDIRECT("Data!C"&amp;$B$4,FALSE),MATCH(E22,Data!$A:$A,0)),$K$6))</f>
        <v>116</v>
      </c>
      <c r="O22" s="71">
        <f ca="1">IF(""=IFERROR(INDEX(INDIRECT("Data!C"&amp;$B$4,FALSE),MATCH(F22,Data!$A:$A,0)),$K$6),$K$8,IFERROR(INDEX(INDIRECT("Data!C"&amp;$B$4,FALSE),MATCH(F22,Data!$A:$A,0)),$K$6))</f>
        <v>181</v>
      </c>
      <c r="P22" s="71">
        <f ca="1">IF(""=IFERROR(INDEX(INDIRECT("Data!C"&amp;$B$4,FALSE),MATCH(G22,Data!$A:$A,0)),$K$6),$K$8,IFERROR(INDEX(INDIRECT("Data!C"&amp;$B$4,FALSE),MATCH(G22,Data!$A:$A,0)),$K$6))</f>
        <v>146</v>
      </c>
      <c r="Q22" s="71">
        <f ca="1">IF(""=IFERROR(INDEX(INDIRECT("Data!C"&amp;$B$4,FALSE),MATCH(H22,Data!$A:$A,0)),$K$6),$K$8,IFERROR(INDEX(INDIRECT("Data!C"&amp;$B$4,FALSE),MATCH(H22,Data!$A:$A,0)),$K$6))</f>
        <v>41</v>
      </c>
      <c r="R22" s="88">
        <f t="shared" ref="R22:R73" ca="1" si="21">IFERROR(AVERAGE(K22:Q22),"-")</f>
        <v>111</v>
      </c>
      <c r="T22" s="34">
        <f>T21+7</f>
        <v>41644</v>
      </c>
      <c r="U22" s="34">
        <f t="shared" ref="U22:Z73" si="22">T22+1</f>
        <v>41645</v>
      </c>
      <c r="V22" s="34">
        <f t="shared" si="17"/>
        <v>41646</v>
      </c>
      <c r="W22" s="34">
        <f t="shared" si="17"/>
        <v>41647</v>
      </c>
      <c r="X22" s="34">
        <f t="shared" si="17"/>
        <v>41648</v>
      </c>
      <c r="Y22" s="34">
        <f t="shared" si="17"/>
        <v>41649</v>
      </c>
      <c r="Z22" s="34">
        <f t="shared" si="17"/>
        <v>41650</v>
      </c>
      <c r="AB22" s="82">
        <f t="array" ref="AB22">IFERROR(IF(MATCH(8,DAY(T22:Z22),0),Z22,""),"")</f>
        <v>41650</v>
      </c>
      <c r="AC22" s="71">
        <f ca="1">IF(""=IFERROR(INDEX(INDIRECT("Data!C"&amp;$T$4,FALSE),MATCH(T22,Data!$A:$A,0)),$AC$6),$AC$8,IFERROR(INDEX(INDIRECT("Data!C"&amp;$T$4,FALSE),MATCH(T22,Data!$A:$A,0)),$AC$6))</f>
        <v>23</v>
      </c>
      <c r="AD22" s="71">
        <f ca="1">IF(""=IFERROR(INDEX(INDIRECT("Data!C"&amp;$T$4,FALSE),MATCH(U22,Data!$A:$A,0)),$AC$6),$AC$8,IFERROR(INDEX(INDIRECT("Data!C"&amp;$T$4,FALSE),MATCH(U22,Data!$A:$A,0)),$AC$6))</f>
        <v>113</v>
      </c>
      <c r="AE22" s="71">
        <f ca="1">IF(""=IFERROR(INDEX(INDIRECT("Data!C"&amp;$T$4,FALSE),MATCH(V22,Data!$A:$A,0)),$AC$6),$AC$8,IFERROR(INDEX(INDIRECT("Data!C"&amp;$T$4,FALSE),MATCH(V22,Data!$A:$A,0)),$AC$6))</f>
        <v>157</v>
      </c>
      <c r="AF22" s="71">
        <f ca="1">IF(""=IFERROR(INDEX(INDIRECT("Data!C"&amp;$T$4,FALSE),MATCH(W22,Data!$A:$A,0)),$AC$6),$AC$8,IFERROR(INDEX(INDIRECT("Data!C"&amp;$T$4,FALSE),MATCH(W22,Data!$A:$A,0)),$AC$6))</f>
        <v>116</v>
      </c>
      <c r="AG22" s="71">
        <f ca="1">IF(""=IFERROR(INDEX(INDIRECT("Data!C"&amp;$T$4,FALSE),MATCH(X22,Data!$A:$A,0)),$AC$6),$AC$8,IFERROR(INDEX(INDIRECT("Data!C"&amp;$T$4,FALSE),MATCH(X22,Data!$A:$A,0)),$AC$6))</f>
        <v>181</v>
      </c>
      <c r="AH22" s="71">
        <f ca="1">IF(""=IFERROR(INDEX(INDIRECT("Data!C"&amp;$T$4,FALSE),MATCH(Y22,Data!$A:$A,0)),$AC$6),$AC$8,IFERROR(INDEX(INDIRECT("Data!C"&amp;$T$4,FALSE),MATCH(Y22,Data!$A:$A,0)),$AC$6))</f>
        <v>146</v>
      </c>
      <c r="AI22" s="71">
        <f ca="1">IF(""=IFERROR(INDEX(INDIRECT("Data!C"&amp;$T$4,FALSE),MATCH(Z22,Data!$A:$A,0)),$AC$6),$AC$8,IFERROR(INDEX(INDIRECT("Data!C"&amp;$T$4,FALSE),MATCH(Z22,Data!$A:$A,0)),$AC$6))</f>
        <v>41</v>
      </c>
      <c r="AJ22" s="88">
        <f t="shared" ref="AJ22:AJ73" ca="1" si="23">IFERROR(AVERAGE(AC22:AI22),"-")</f>
        <v>111</v>
      </c>
      <c r="AL22" s="34">
        <f>AL21+7</f>
        <v>41644</v>
      </c>
      <c r="AM22" s="34">
        <f t="shared" ref="AM22:AR73" si="24">AL22+1</f>
        <v>41645</v>
      </c>
      <c r="AN22" s="34">
        <f t="shared" si="18"/>
        <v>41646</v>
      </c>
      <c r="AO22" s="34">
        <f t="shared" si="18"/>
        <v>41647</v>
      </c>
      <c r="AP22" s="34">
        <f t="shared" si="18"/>
        <v>41648</v>
      </c>
      <c r="AQ22" s="34">
        <f t="shared" si="18"/>
        <v>41649</v>
      </c>
      <c r="AR22" s="34">
        <f t="shared" si="18"/>
        <v>41650</v>
      </c>
      <c r="AT22" s="82">
        <f t="array" ref="AT22">IFERROR(IF(MATCH(8,DAY(AL22:AR22),0),AR22,""),"")</f>
        <v>41650</v>
      </c>
      <c r="AU22" s="71">
        <f ca="1">IF(""=IFERROR(INDEX(INDIRECT("Data!C"&amp;$AL$4,FALSE),MATCH(AL22,Data!$A:$A,0)),$AU$6),$AU$8,IFERROR(INDEX(INDIRECT("Data!C"&amp;$AL$4,FALSE),MATCH(AL22,Data!$A:$A,0)),$AU$6))</f>
        <v>23</v>
      </c>
      <c r="AV22" s="71">
        <f ca="1">IF(""=IFERROR(INDEX(INDIRECT("Data!C"&amp;$AL$4,FALSE),MATCH(AM22,Data!$A:$A,0)),$AU$6),$AU$8,IFERROR(INDEX(INDIRECT("Data!C"&amp;$AL$4,FALSE),MATCH(AM22,Data!$A:$A,0)),$AU$6))</f>
        <v>113</v>
      </c>
      <c r="AW22" s="71">
        <f ca="1">IF(""=IFERROR(INDEX(INDIRECT("Data!C"&amp;$AL$4,FALSE),MATCH(AN22,Data!$A:$A,0)),$AU$6),$AU$8,IFERROR(INDEX(INDIRECT("Data!C"&amp;$AL$4,FALSE),MATCH(AN22,Data!$A:$A,0)),$AU$6))</f>
        <v>157</v>
      </c>
      <c r="AX22" s="71">
        <f ca="1">IF(""=IFERROR(INDEX(INDIRECT("Data!C"&amp;$AL$4,FALSE),MATCH(AO22,Data!$A:$A,0)),$AU$6),$AU$8,IFERROR(INDEX(INDIRECT("Data!C"&amp;$AL$4,FALSE),MATCH(AO22,Data!$A:$A,0)),$AU$6))</f>
        <v>116</v>
      </c>
      <c r="AY22" s="71">
        <f ca="1">IF(""=IFERROR(INDEX(INDIRECT("Data!C"&amp;$AL$4,FALSE),MATCH(AP22,Data!$A:$A,0)),$AU$6),$AU$8,IFERROR(INDEX(INDIRECT("Data!C"&amp;$AL$4,FALSE),MATCH(AP22,Data!$A:$A,0)),$AU$6))</f>
        <v>181</v>
      </c>
      <c r="AZ22" s="71">
        <f ca="1">IF(""=IFERROR(INDEX(INDIRECT("Data!C"&amp;$AL$4,FALSE),MATCH(AQ22,Data!$A:$A,0)),$AU$6),$AU$8,IFERROR(INDEX(INDIRECT("Data!C"&amp;$AL$4,FALSE),MATCH(AQ22,Data!$A:$A,0)),$AU$6))</f>
        <v>146</v>
      </c>
      <c r="BA22" s="71">
        <f ca="1">IF(""=IFERROR(INDEX(INDIRECT("Data!C"&amp;$AL$4,FALSE),MATCH(AR22,Data!$A:$A,0)),$AU$6),$AU$8,IFERROR(INDEX(INDIRECT("Data!C"&amp;$AL$4,FALSE),MATCH(AR22,Data!$A:$A,0)),$AU$6))</f>
        <v>41</v>
      </c>
      <c r="BB22" s="88">
        <f t="shared" ref="BB22:BB73" ca="1" si="25">IFERROR(AVERAGE(AU22:BA22),"-")</f>
        <v>111</v>
      </c>
      <c r="BD22" s="34">
        <f>BD21+7</f>
        <v>41644</v>
      </c>
      <c r="BE22" s="34">
        <f t="shared" ref="BE22:BJ73" si="26">BD22+1</f>
        <v>41645</v>
      </c>
      <c r="BF22" s="34">
        <f t="shared" si="19"/>
        <v>41646</v>
      </c>
      <c r="BG22" s="34">
        <f t="shared" si="19"/>
        <v>41647</v>
      </c>
      <c r="BH22" s="34">
        <f t="shared" si="19"/>
        <v>41648</v>
      </c>
      <c r="BI22" s="34">
        <f t="shared" si="19"/>
        <v>41649</v>
      </c>
      <c r="BJ22" s="34">
        <f t="shared" si="19"/>
        <v>41650</v>
      </c>
      <c r="BL22" s="82">
        <f t="array" ref="BL22">IFERROR(IF(MATCH(8,DAY(BD22:BJ22),0),BJ22,""),"")</f>
        <v>41650</v>
      </c>
      <c r="BM22" s="71">
        <f ca="1">IF(""=IFERROR(INDEX(INDIRECT("Data!C"&amp;$BD$4,FALSE),MATCH(BD22,Data!$A:$A,0)),$BM$6),$BM$8,IFERROR(INDEX(INDIRECT("Data!C"&amp;$BD$4,FALSE),MATCH(BD22,Data!$A:$A,0)),$BM$6))</f>
        <v>23</v>
      </c>
      <c r="BN22" s="71">
        <f ca="1">IF(""=IFERROR(INDEX(INDIRECT("Data!C"&amp;$BD$4,FALSE),MATCH(BE22,Data!$A:$A,0)),$BM$6),$BM$8,IFERROR(INDEX(INDIRECT("Data!C"&amp;$BD$4,FALSE),MATCH(BE22,Data!$A:$A,0)),$BM$6))</f>
        <v>113</v>
      </c>
      <c r="BO22" s="71">
        <f ca="1">IF(""=IFERROR(INDEX(INDIRECT("Data!C"&amp;$BD$4,FALSE),MATCH(BF22,Data!$A:$A,0)),$BM$6),$BM$8,IFERROR(INDEX(INDIRECT("Data!C"&amp;$BD$4,FALSE),MATCH(BF22,Data!$A:$A,0)),$BM$6))</f>
        <v>157</v>
      </c>
      <c r="BP22" s="71">
        <f ca="1">IF(""=IFERROR(INDEX(INDIRECT("Data!C"&amp;$BD$4,FALSE),MATCH(BG22,Data!$A:$A,0)),$BM$6),$BM$8,IFERROR(INDEX(INDIRECT("Data!C"&amp;$BD$4,FALSE),MATCH(BG22,Data!$A:$A,0)),$BM$6))</f>
        <v>116</v>
      </c>
      <c r="BQ22" s="71">
        <f ca="1">IF(""=IFERROR(INDEX(INDIRECT("Data!C"&amp;$BD$4,FALSE),MATCH(BH22,Data!$A:$A,0)),$BM$6),$BM$8,IFERROR(INDEX(INDIRECT("Data!C"&amp;$BD$4,FALSE),MATCH(BH22,Data!$A:$A,0)),$BM$6))</f>
        <v>181</v>
      </c>
      <c r="BR22" s="71">
        <f ca="1">IF(""=IFERROR(INDEX(INDIRECT("Data!C"&amp;$BD$4,FALSE),MATCH(BI22,Data!$A:$A,0)),$BM$6),$BM$8,IFERROR(INDEX(INDIRECT("Data!C"&amp;$BD$4,FALSE),MATCH(BI22,Data!$A:$A,0)),$BM$6))</f>
        <v>146</v>
      </c>
      <c r="BS22" s="71">
        <f ca="1">IF(""=IFERROR(INDEX(INDIRECT("Data!C"&amp;$BD$4,FALSE),MATCH(BJ22,Data!$A:$A,0)),$BM$6),$BM$8,IFERROR(INDEX(INDIRECT("Data!C"&amp;$BD$4,FALSE),MATCH(BJ22,Data!$A:$A,0)),$BM$6))</f>
        <v>41</v>
      </c>
      <c r="BT22" s="88">
        <f t="shared" ref="BT22:BT73" ca="1" si="27">IFERROR(AVERAGE(BM22:BS22),"-")</f>
        <v>111</v>
      </c>
      <c r="BV22" s="66" t="s">
        <v>30</v>
      </c>
      <c r="BW22" s="64" t="s">
        <v>38</v>
      </c>
    </row>
    <row r="23" spans="1:81" ht="12" customHeight="1" x14ac:dyDescent="0.2">
      <c r="B23" s="34">
        <f t="shared" ref="B23:B73" si="28">B22+7</f>
        <v>41651</v>
      </c>
      <c r="C23" s="34">
        <f t="shared" si="20"/>
        <v>41652</v>
      </c>
      <c r="D23" s="34">
        <f t="shared" si="20"/>
        <v>41653</v>
      </c>
      <c r="E23" s="34">
        <f t="shared" si="20"/>
        <v>41654</v>
      </c>
      <c r="F23" s="34">
        <f t="shared" si="20"/>
        <v>41655</v>
      </c>
      <c r="G23" s="34">
        <f t="shared" si="20"/>
        <v>41656</v>
      </c>
      <c r="H23" s="34">
        <f t="shared" si="20"/>
        <v>41657</v>
      </c>
      <c r="J23" s="82" t="str">
        <f t="array" ref="J23">IFERROR(IF(MATCH(8,DAY(B23:H23),0),H23,""),"")</f>
        <v/>
      </c>
      <c r="K23" s="71">
        <f ca="1">IF(""=IFERROR(INDEX(INDIRECT("Data!C"&amp;$B$4,FALSE),MATCH(B23,Data!$A:$A,0)),$K$6),$K$8,IFERROR(INDEX(INDIRECT("Data!C"&amp;$B$4,FALSE),MATCH(B23,Data!$A:$A,0)),$K$6))</f>
        <v>22</v>
      </c>
      <c r="L23" s="71">
        <f ca="1">IF(""=IFERROR(INDEX(INDIRECT("Data!C"&amp;$B$4,FALSE),MATCH(C23,Data!$A:$A,0)),$K$6),$K$8,IFERROR(INDEX(INDIRECT("Data!C"&amp;$B$4,FALSE),MATCH(C23,Data!$A:$A,0)),$K$6))</f>
        <v>128</v>
      </c>
      <c r="M23" s="71">
        <f ca="1">IF(""=IFERROR(INDEX(INDIRECT("Data!C"&amp;$B$4,FALSE),MATCH(D23,Data!$A:$A,0)),$K$6),$K$8,IFERROR(INDEX(INDIRECT("Data!C"&amp;$B$4,FALSE),MATCH(D23,Data!$A:$A,0)),$K$6))</f>
        <v>211</v>
      </c>
      <c r="N23" s="71">
        <f ca="1">IF(""=IFERROR(INDEX(INDIRECT("Data!C"&amp;$B$4,FALSE),MATCH(E23,Data!$A:$A,0)),$K$6),$K$8,IFERROR(INDEX(INDIRECT("Data!C"&amp;$B$4,FALSE),MATCH(E23,Data!$A:$A,0)),$K$6))</f>
        <v>262</v>
      </c>
      <c r="O23" s="71">
        <f ca="1">IF(""=IFERROR(INDEX(INDIRECT("Data!C"&amp;$B$4,FALSE),MATCH(F23,Data!$A:$A,0)),$K$6),$K$8,IFERROR(INDEX(INDIRECT("Data!C"&amp;$B$4,FALSE),MATCH(F23,Data!$A:$A,0)),$K$6))</f>
        <v>205</v>
      </c>
      <c r="P23" s="71">
        <f ca="1">IF(""=IFERROR(INDEX(INDIRECT("Data!C"&amp;$B$4,FALSE),MATCH(G23,Data!$A:$A,0)),$K$6),$K$8,IFERROR(INDEX(INDIRECT("Data!C"&amp;$B$4,FALSE),MATCH(G23,Data!$A:$A,0)),$K$6))</f>
        <v>147</v>
      </c>
      <c r="Q23" s="71">
        <f ca="1">IF(""=IFERROR(INDEX(INDIRECT("Data!C"&amp;$B$4,FALSE),MATCH(H23,Data!$A:$A,0)),$K$6),$K$8,IFERROR(INDEX(INDIRECT("Data!C"&amp;$B$4,FALSE),MATCH(H23,Data!$A:$A,0)),$K$6))</f>
        <v>45</v>
      </c>
      <c r="R23" s="88">
        <f t="shared" ca="1" si="21"/>
        <v>145.71428571428572</v>
      </c>
      <c r="T23" s="34">
        <f t="shared" ref="T23:T73" si="29">T22+7</f>
        <v>41651</v>
      </c>
      <c r="U23" s="34">
        <f t="shared" si="22"/>
        <v>41652</v>
      </c>
      <c r="V23" s="34">
        <f t="shared" si="17"/>
        <v>41653</v>
      </c>
      <c r="W23" s="34">
        <f t="shared" si="17"/>
        <v>41654</v>
      </c>
      <c r="X23" s="34">
        <f t="shared" si="17"/>
        <v>41655</v>
      </c>
      <c r="Y23" s="34">
        <f t="shared" si="17"/>
        <v>41656</v>
      </c>
      <c r="Z23" s="34">
        <f t="shared" si="17"/>
        <v>41657</v>
      </c>
      <c r="AB23" s="82" t="str">
        <f t="array" ref="AB23">IFERROR(IF(MATCH(8,DAY(T23:Z23),0),Z23,""),"")</f>
        <v/>
      </c>
      <c r="AC23" s="71">
        <f ca="1">IF(""=IFERROR(INDEX(INDIRECT("Data!C"&amp;$T$4,FALSE),MATCH(T23,Data!$A:$A,0)),$AC$6),$AC$8,IFERROR(INDEX(INDIRECT("Data!C"&amp;$T$4,FALSE),MATCH(T23,Data!$A:$A,0)),$AC$6))</f>
        <v>22</v>
      </c>
      <c r="AD23" s="71">
        <f ca="1">IF(""=IFERROR(INDEX(INDIRECT("Data!C"&amp;$T$4,FALSE),MATCH(U23,Data!$A:$A,0)),$AC$6),$AC$8,IFERROR(INDEX(INDIRECT("Data!C"&amp;$T$4,FALSE),MATCH(U23,Data!$A:$A,0)),$AC$6))</f>
        <v>128</v>
      </c>
      <c r="AE23" s="71">
        <f ca="1">IF(""=IFERROR(INDEX(INDIRECT("Data!C"&amp;$T$4,FALSE),MATCH(V23,Data!$A:$A,0)),$AC$6),$AC$8,IFERROR(INDEX(INDIRECT("Data!C"&amp;$T$4,FALSE),MATCH(V23,Data!$A:$A,0)),$AC$6))</f>
        <v>211</v>
      </c>
      <c r="AF23" s="71">
        <f ca="1">IF(""=IFERROR(INDEX(INDIRECT("Data!C"&amp;$T$4,FALSE),MATCH(W23,Data!$A:$A,0)),$AC$6),$AC$8,IFERROR(INDEX(INDIRECT("Data!C"&amp;$T$4,FALSE),MATCH(W23,Data!$A:$A,0)),$AC$6))</f>
        <v>262</v>
      </c>
      <c r="AG23" s="71">
        <f ca="1">IF(""=IFERROR(INDEX(INDIRECT("Data!C"&amp;$T$4,FALSE),MATCH(X23,Data!$A:$A,0)),$AC$6),$AC$8,IFERROR(INDEX(INDIRECT("Data!C"&amp;$T$4,FALSE),MATCH(X23,Data!$A:$A,0)),$AC$6))</f>
        <v>205</v>
      </c>
      <c r="AH23" s="71">
        <f ca="1">IF(""=IFERROR(INDEX(INDIRECT("Data!C"&amp;$T$4,FALSE),MATCH(Y23,Data!$A:$A,0)),$AC$6),$AC$8,IFERROR(INDEX(INDIRECT("Data!C"&amp;$T$4,FALSE),MATCH(Y23,Data!$A:$A,0)),$AC$6))</f>
        <v>147</v>
      </c>
      <c r="AI23" s="71">
        <f ca="1">IF(""=IFERROR(INDEX(INDIRECT("Data!C"&amp;$T$4,FALSE),MATCH(Z23,Data!$A:$A,0)),$AC$6),$AC$8,IFERROR(INDEX(INDIRECT("Data!C"&amp;$T$4,FALSE),MATCH(Z23,Data!$A:$A,0)),$AC$6))</f>
        <v>45</v>
      </c>
      <c r="AJ23" s="88">
        <f t="shared" ca="1" si="23"/>
        <v>145.71428571428572</v>
      </c>
      <c r="AL23" s="34">
        <f t="shared" ref="AL23:AL73" si="30">AL22+7</f>
        <v>41651</v>
      </c>
      <c r="AM23" s="34">
        <f t="shared" si="24"/>
        <v>41652</v>
      </c>
      <c r="AN23" s="34">
        <f t="shared" si="18"/>
        <v>41653</v>
      </c>
      <c r="AO23" s="34">
        <f t="shared" si="18"/>
        <v>41654</v>
      </c>
      <c r="AP23" s="34">
        <f t="shared" si="18"/>
        <v>41655</v>
      </c>
      <c r="AQ23" s="34">
        <f t="shared" si="18"/>
        <v>41656</v>
      </c>
      <c r="AR23" s="34">
        <f t="shared" si="18"/>
        <v>41657</v>
      </c>
      <c r="AT23" s="82" t="str">
        <f t="array" ref="AT23">IFERROR(IF(MATCH(8,DAY(AL23:AR23),0),AR23,""),"")</f>
        <v/>
      </c>
      <c r="AU23" s="71">
        <f ca="1">IF(""=IFERROR(INDEX(INDIRECT("Data!C"&amp;$AL$4,FALSE),MATCH(AL23,Data!$A:$A,0)),$AU$6),$AU$8,IFERROR(INDEX(INDIRECT("Data!C"&amp;$AL$4,FALSE),MATCH(AL23,Data!$A:$A,0)),$AU$6))</f>
        <v>22</v>
      </c>
      <c r="AV23" s="71">
        <f ca="1">IF(""=IFERROR(INDEX(INDIRECT("Data!C"&amp;$AL$4,FALSE),MATCH(AM23,Data!$A:$A,0)),$AU$6),$AU$8,IFERROR(INDEX(INDIRECT("Data!C"&amp;$AL$4,FALSE),MATCH(AM23,Data!$A:$A,0)),$AU$6))</f>
        <v>128</v>
      </c>
      <c r="AW23" s="71">
        <f ca="1">IF(""=IFERROR(INDEX(INDIRECT("Data!C"&amp;$AL$4,FALSE),MATCH(AN23,Data!$A:$A,0)),$AU$6),$AU$8,IFERROR(INDEX(INDIRECT("Data!C"&amp;$AL$4,FALSE),MATCH(AN23,Data!$A:$A,0)),$AU$6))</f>
        <v>211</v>
      </c>
      <c r="AX23" s="71">
        <f ca="1">IF(""=IFERROR(INDEX(INDIRECT("Data!C"&amp;$AL$4,FALSE),MATCH(AO23,Data!$A:$A,0)),$AU$6),$AU$8,IFERROR(INDEX(INDIRECT("Data!C"&amp;$AL$4,FALSE),MATCH(AO23,Data!$A:$A,0)),$AU$6))</f>
        <v>262</v>
      </c>
      <c r="AY23" s="71">
        <f ca="1">IF(""=IFERROR(INDEX(INDIRECT("Data!C"&amp;$AL$4,FALSE),MATCH(AP23,Data!$A:$A,0)),$AU$6),$AU$8,IFERROR(INDEX(INDIRECT("Data!C"&amp;$AL$4,FALSE),MATCH(AP23,Data!$A:$A,0)),$AU$6))</f>
        <v>205</v>
      </c>
      <c r="AZ23" s="71">
        <f ca="1">IF(""=IFERROR(INDEX(INDIRECT("Data!C"&amp;$AL$4,FALSE),MATCH(AQ23,Data!$A:$A,0)),$AU$6),$AU$8,IFERROR(INDEX(INDIRECT("Data!C"&amp;$AL$4,FALSE),MATCH(AQ23,Data!$A:$A,0)),$AU$6))</f>
        <v>147</v>
      </c>
      <c r="BA23" s="71">
        <f ca="1">IF(""=IFERROR(INDEX(INDIRECT("Data!C"&amp;$AL$4,FALSE),MATCH(AR23,Data!$A:$A,0)),$AU$6),$AU$8,IFERROR(INDEX(INDIRECT("Data!C"&amp;$AL$4,FALSE),MATCH(AR23,Data!$A:$A,0)),$AU$6))</f>
        <v>45</v>
      </c>
      <c r="BB23" s="88">
        <f t="shared" ca="1" si="25"/>
        <v>145.71428571428572</v>
      </c>
      <c r="BD23" s="34">
        <f t="shared" ref="BD23:BD73" si="31">BD22+7</f>
        <v>41651</v>
      </c>
      <c r="BE23" s="34">
        <f t="shared" si="26"/>
        <v>41652</v>
      </c>
      <c r="BF23" s="34">
        <f t="shared" si="19"/>
        <v>41653</v>
      </c>
      <c r="BG23" s="34">
        <f t="shared" si="19"/>
        <v>41654</v>
      </c>
      <c r="BH23" s="34">
        <f t="shared" si="19"/>
        <v>41655</v>
      </c>
      <c r="BI23" s="34">
        <f t="shared" si="19"/>
        <v>41656</v>
      </c>
      <c r="BJ23" s="34">
        <f t="shared" si="19"/>
        <v>41657</v>
      </c>
      <c r="BL23" s="82" t="str">
        <f t="array" ref="BL23">IFERROR(IF(MATCH(8,DAY(BD23:BJ23),0),BJ23,""),"")</f>
        <v/>
      </c>
      <c r="BM23" s="71">
        <f ca="1">IF(""=IFERROR(INDEX(INDIRECT("Data!C"&amp;$BD$4,FALSE),MATCH(BD23,Data!$A:$A,0)),$BM$6),$BM$8,IFERROR(INDEX(INDIRECT("Data!C"&amp;$BD$4,FALSE),MATCH(BD23,Data!$A:$A,0)),$BM$6))</f>
        <v>22</v>
      </c>
      <c r="BN23" s="71">
        <f ca="1">IF(""=IFERROR(INDEX(INDIRECT("Data!C"&amp;$BD$4,FALSE),MATCH(BE23,Data!$A:$A,0)),$BM$6),$BM$8,IFERROR(INDEX(INDIRECT("Data!C"&amp;$BD$4,FALSE),MATCH(BE23,Data!$A:$A,0)),$BM$6))</f>
        <v>128</v>
      </c>
      <c r="BO23" s="71">
        <f ca="1">IF(""=IFERROR(INDEX(INDIRECT("Data!C"&amp;$BD$4,FALSE),MATCH(BF23,Data!$A:$A,0)),$BM$6),$BM$8,IFERROR(INDEX(INDIRECT("Data!C"&amp;$BD$4,FALSE),MATCH(BF23,Data!$A:$A,0)),$BM$6))</f>
        <v>211</v>
      </c>
      <c r="BP23" s="71">
        <f ca="1">IF(""=IFERROR(INDEX(INDIRECT("Data!C"&amp;$BD$4,FALSE),MATCH(BG23,Data!$A:$A,0)),$BM$6),$BM$8,IFERROR(INDEX(INDIRECT("Data!C"&amp;$BD$4,FALSE),MATCH(BG23,Data!$A:$A,0)),$BM$6))</f>
        <v>262</v>
      </c>
      <c r="BQ23" s="71">
        <f ca="1">IF(""=IFERROR(INDEX(INDIRECT("Data!C"&amp;$BD$4,FALSE),MATCH(BH23,Data!$A:$A,0)),$BM$6),$BM$8,IFERROR(INDEX(INDIRECT("Data!C"&amp;$BD$4,FALSE),MATCH(BH23,Data!$A:$A,0)),$BM$6))</f>
        <v>205</v>
      </c>
      <c r="BR23" s="71">
        <f ca="1">IF(""=IFERROR(INDEX(INDIRECT("Data!C"&amp;$BD$4,FALSE),MATCH(BI23,Data!$A:$A,0)),$BM$6),$BM$8,IFERROR(INDEX(INDIRECT("Data!C"&amp;$BD$4,FALSE),MATCH(BI23,Data!$A:$A,0)),$BM$6))</f>
        <v>147</v>
      </c>
      <c r="BS23" s="71">
        <f ca="1">IF(""=IFERROR(INDEX(INDIRECT("Data!C"&amp;$BD$4,FALSE),MATCH(BJ23,Data!$A:$A,0)),$BM$6),$BM$8,IFERROR(INDEX(INDIRECT("Data!C"&amp;$BD$4,FALSE),MATCH(BJ23,Data!$A:$A,0)),$BM$6))</f>
        <v>45</v>
      </c>
      <c r="BT23" s="88">
        <f t="shared" ca="1" si="27"/>
        <v>145.71428571428572</v>
      </c>
      <c r="BV23" s="97"/>
      <c r="BW23" s="12"/>
    </row>
    <row r="24" spans="1:81" ht="12" customHeight="1" x14ac:dyDescent="0.2">
      <c r="B24" s="34">
        <f t="shared" si="28"/>
        <v>41658</v>
      </c>
      <c r="C24" s="34">
        <f t="shared" si="20"/>
        <v>41659</v>
      </c>
      <c r="D24" s="34">
        <f t="shared" si="20"/>
        <v>41660</v>
      </c>
      <c r="E24" s="34">
        <f t="shared" si="20"/>
        <v>41661</v>
      </c>
      <c r="F24" s="34">
        <f t="shared" si="20"/>
        <v>41662</v>
      </c>
      <c r="G24" s="34">
        <f t="shared" si="20"/>
        <v>41663</v>
      </c>
      <c r="H24" s="34">
        <f t="shared" si="20"/>
        <v>41664</v>
      </c>
      <c r="J24" s="82" t="str">
        <f t="array" ref="J24">IFERROR(IF(MATCH(8,DAY(B24:H24),0),H24,""),"")</f>
        <v/>
      </c>
      <c r="K24" s="71">
        <f ca="1">IF(""=IFERROR(INDEX(INDIRECT("Data!C"&amp;$B$4,FALSE),MATCH(B24,Data!$A:$A,0)),$K$6),$K$8,IFERROR(INDEX(INDIRECT("Data!C"&amp;$B$4,FALSE),MATCH(B24,Data!$A:$A,0)),$K$6))</f>
        <v>17</v>
      </c>
      <c r="L24" s="71">
        <f ca="1">IF(""=IFERROR(INDEX(INDIRECT("Data!C"&amp;$B$4,FALSE),MATCH(C24,Data!$A:$A,0)),$K$6),$K$8,IFERROR(INDEX(INDIRECT("Data!C"&amp;$B$4,FALSE),MATCH(C24,Data!$A:$A,0)),$K$6))</f>
        <v>329</v>
      </c>
      <c r="M24" s="71">
        <f ca="1">IF(""=IFERROR(INDEX(INDIRECT("Data!C"&amp;$B$4,FALSE),MATCH(D24,Data!$A:$A,0)),$K$6),$K$8,IFERROR(INDEX(INDIRECT("Data!C"&amp;$B$4,FALSE),MATCH(D24,Data!$A:$A,0)),$K$6))</f>
        <v>220</v>
      </c>
      <c r="N24" s="71">
        <f ca="1">IF(""=IFERROR(INDEX(INDIRECT("Data!C"&amp;$B$4,FALSE),MATCH(E24,Data!$A:$A,0)),$K$6),$K$8,IFERROR(INDEX(INDIRECT("Data!C"&amp;$B$4,FALSE),MATCH(E24,Data!$A:$A,0)),$K$6))</f>
        <v>220</v>
      </c>
      <c r="O24" s="71">
        <f ca="1">IF(""=IFERROR(INDEX(INDIRECT("Data!C"&amp;$B$4,FALSE),MATCH(F24,Data!$A:$A,0)),$K$6),$K$8,IFERROR(INDEX(INDIRECT("Data!C"&amp;$B$4,FALSE),MATCH(F24,Data!$A:$A,0)),$K$6))</f>
        <v>238</v>
      </c>
      <c r="P24" s="71">
        <f ca="1">IF(""=IFERROR(INDEX(INDIRECT("Data!C"&amp;$B$4,FALSE),MATCH(G24,Data!$A:$A,0)),$K$6),$K$8,IFERROR(INDEX(INDIRECT("Data!C"&amp;$B$4,FALSE),MATCH(G24,Data!$A:$A,0)),$K$6))</f>
        <v>197</v>
      </c>
      <c r="Q24" s="71">
        <f ca="1">IF(""=IFERROR(INDEX(INDIRECT("Data!C"&amp;$B$4,FALSE),MATCH(H24,Data!$A:$A,0)),$K$6),$K$8,IFERROR(INDEX(INDIRECT("Data!C"&amp;$B$4,FALSE),MATCH(H24,Data!$A:$A,0)),$K$6))</f>
        <v>56</v>
      </c>
      <c r="R24" s="88">
        <f t="shared" ca="1" si="21"/>
        <v>182.42857142857142</v>
      </c>
      <c r="T24" s="34">
        <f t="shared" si="29"/>
        <v>41658</v>
      </c>
      <c r="U24" s="34">
        <f t="shared" si="22"/>
        <v>41659</v>
      </c>
      <c r="V24" s="34">
        <f t="shared" si="17"/>
        <v>41660</v>
      </c>
      <c r="W24" s="34">
        <f t="shared" si="17"/>
        <v>41661</v>
      </c>
      <c r="X24" s="34">
        <f t="shared" si="17"/>
        <v>41662</v>
      </c>
      <c r="Y24" s="34">
        <f t="shared" si="17"/>
        <v>41663</v>
      </c>
      <c r="Z24" s="34">
        <f t="shared" si="17"/>
        <v>41664</v>
      </c>
      <c r="AB24" s="82" t="str">
        <f t="array" ref="AB24">IFERROR(IF(MATCH(8,DAY(T24:Z24),0),Z24,""),"")</f>
        <v/>
      </c>
      <c r="AC24" s="71">
        <f ca="1">IF(""=IFERROR(INDEX(INDIRECT("Data!C"&amp;$T$4,FALSE),MATCH(T24,Data!$A:$A,0)),$AC$6),$AC$8,IFERROR(INDEX(INDIRECT("Data!C"&amp;$T$4,FALSE),MATCH(T24,Data!$A:$A,0)),$AC$6))</f>
        <v>17</v>
      </c>
      <c r="AD24" s="71">
        <f ca="1">IF(""=IFERROR(INDEX(INDIRECT("Data!C"&amp;$T$4,FALSE),MATCH(U24,Data!$A:$A,0)),$AC$6),$AC$8,IFERROR(INDEX(INDIRECT("Data!C"&amp;$T$4,FALSE),MATCH(U24,Data!$A:$A,0)),$AC$6))</f>
        <v>329</v>
      </c>
      <c r="AE24" s="71">
        <f ca="1">IF(""=IFERROR(INDEX(INDIRECT("Data!C"&amp;$T$4,FALSE),MATCH(V24,Data!$A:$A,0)),$AC$6),$AC$8,IFERROR(INDEX(INDIRECT("Data!C"&amp;$T$4,FALSE),MATCH(V24,Data!$A:$A,0)),$AC$6))</f>
        <v>220</v>
      </c>
      <c r="AF24" s="71">
        <f ca="1">IF(""=IFERROR(INDEX(INDIRECT("Data!C"&amp;$T$4,FALSE),MATCH(W24,Data!$A:$A,0)),$AC$6),$AC$8,IFERROR(INDEX(INDIRECT("Data!C"&amp;$T$4,FALSE),MATCH(W24,Data!$A:$A,0)),$AC$6))</f>
        <v>220</v>
      </c>
      <c r="AG24" s="71">
        <f ca="1">IF(""=IFERROR(INDEX(INDIRECT("Data!C"&amp;$T$4,FALSE),MATCH(X24,Data!$A:$A,0)),$AC$6),$AC$8,IFERROR(INDEX(INDIRECT("Data!C"&amp;$T$4,FALSE),MATCH(X24,Data!$A:$A,0)),$AC$6))</f>
        <v>238</v>
      </c>
      <c r="AH24" s="71">
        <f ca="1">IF(""=IFERROR(INDEX(INDIRECT("Data!C"&amp;$T$4,FALSE),MATCH(Y24,Data!$A:$A,0)),$AC$6),$AC$8,IFERROR(INDEX(INDIRECT("Data!C"&amp;$T$4,FALSE),MATCH(Y24,Data!$A:$A,0)),$AC$6))</f>
        <v>197</v>
      </c>
      <c r="AI24" s="71">
        <f ca="1">IF(""=IFERROR(INDEX(INDIRECT("Data!C"&amp;$T$4,FALSE),MATCH(Z24,Data!$A:$A,0)),$AC$6),$AC$8,IFERROR(INDEX(INDIRECT("Data!C"&amp;$T$4,FALSE),MATCH(Z24,Data!$A:$A,0)),$AC$6))</f>
        <v>56</v>
      </c>
      <c r="AJ24" s="88">
        <f t="shared" ca="1" si="23"/>
        <v>182.42857142857142</v>
      </c>
      <c r="AL24" s="34">
        <f t="shared" si="30"/>
        <v>41658</v>
      </c>
      <c r="AM24" s="34">
        <f t="shared" si="24"/>
        <v>41659</v>
      </c>
      <c r="AN24" s="34">
        <f t="shared" si="18"/>
        <v>41660</v>
      </c>
      <c r="AO24" s="34">
        <f t="shared" si="18"/>
        <v>41661</v>
      </c>
      <c r="AP24" s="34">
        <f t="shared" si="18"/>
        <v>41662</v>
      </c>
      <c r="AQ24" s="34">
        <f t="shared" si="18"/>
        <v>41663</v>
      </c>
      <c r="AR24" s="34">
        <f t="shared" si="18"/>
        <v>41664</v>
      </c>
      <c r="AT24" s="82" t="str">
        <f t="array" ref="AT24">IFERROR(IF(MATCH(8,DAY(AL24:AR24),0),AR24,""),"")</f>
        <v/>
      </c>
      <c r="AU24" s="71">
        <f ca="1">IF(""=IFERROR(INDEX(INDIRECT("Data!C"&amp;$AL$4,FALSE),MATCH(AL24,Data!$A:$A,0)),$AU$6),$AU$8,IFERROR(INDEX(INDIRECT("Data!C"&amp;$AL$4,FALSE),MATCH(AL24,Data!$A:$A,0)),$AU$6))</f>
        <v>17</v>
      </c>
      <c r="AV24" s="71">
        <f ca="1">IF(""=IFERROR(INDEX(INDIRECT("Data!C"&amp;$AL$4,FALSE),MATCH(AM24,Data!$A:$A,0)),$AU$6),$AU$8,IFERROR(INDEX(INDIRECT("Data!C"&amp;$AL$4,FALSE),MATCH(AM24,Data!$A:$A,0)),$AU$6))</f>
        <v>329</v>
      </c>
      <c r="AW24" s="71">
        <f ca="1">IF(""=IFERROR(INDEX(INDIRECT("Data!C"&amp;$AL$4,FALSE),MATCH(AN24,Data!$A:$A,0)),$AU$6),$AU$8,IFERROR(INDEX(INDIRECT("Data!C"&amp;$AL$4,FALSE),MATCH(AN24,Data!$A:$A,0)),$AU$6))</f>
        <v>220</v>
      </c>
      <c r="AX24" s="71">
        <f ca="1">IF(""=IFERROR(INDEX(INDIRECT("Data!C"&amp;$AL$4,FALSE),MATCH(AO24,Data!$A:$A,0)),$AU$6),$AU$8,IFERROR(INDEX(INDIRECT("Data!C"&amp;$AL$4,FALSE),MATCH(AO24,Data!$A:$A,0)),$AU$6))</f>
        <v>220</v>
      </c>
      <c r="AY24" s="71">
        <f ca="1">IF(""=IFERROR(INDEX(INDIRECT("Data!C"&amp;$AL$4,FALSE),MATCH(AP24,Data!$A:$A,0)),$AU$6),$AU$8,IFERROR(INDEX(INDIRECT("Data!C"&amp;$AL$4,FALSE),MATCH(AP24,Data!$A:$A,0)),$AU$6))</f>
        <v>238</v>
      </c>
      <c r="AZ24" s="71">
        <f ca="1">IF(""=IFERROR(INDEX(INDIRECT("Data!C"&amp;$AL$4,FALSE),MATCH(AQ24,Data!$A:$A,0)),$AU$6),$AU$8,IFERROR(INDEX(INDIRECT("Data!C"&amp;$AL$4,FALSE),MATCH(AQ24,Data!$A:$A,0)),$AU$6))</f>
        <v>197</v>
      </c>
      <c r="BA24" s="71">
        <f ca="1">IF(""=IFERROR(INDEX(INDIRECT("Data!C"&amp;$AL$4,FALSE),MATCH(AR24,Data!$A:$A,0)),$AU$6),$AU$8,IFERROR(INDEX(INDIRECT("Data!C"&amp;$AL$4,FALSE),MATCH(AR24,Data!$A:$A,0)),$AU$6))</f>
        <v>56</v>
      </c>
      <c r="BB24" s="88">
        <f t="shared" ca="1" si="25"/>
        <v>182.42857142857142</v>
      </c>
      <c r="BD24" s="34">
        <f t="shared" si="31"/>
        <v>41658</v>
      </c>
      <c r="BE24" s="34">
        <f t="shared" si="26"/>
        <v>41659</v>
      </c>
      <c r="BF24" s="34">
        <f t="shared" si="19"/>
        <v>41660</v>
      </c>
      <c r="BG24" s="34">
        <f t="shared" si="19"/>
        <v>41661</v>
      </c>
      <c r="BH24" s="34">
        <f t="shared" si="19"/>
        <v>41662</v>
      </c>
      <c r="BI24" s="34">
        <f t="shared" si="19"/>
        <v>41663</v>
      </c>
      <c r="BJ24" s="34">
        <f t="shared" si="19"/>
        <v>41664</v>
      </c>
      <c r="BL24" s="82" t="str">
        <f t="array" ref="BL24">IFERROR(IF(MATCH(8,DAY(BD24:BJ24),0),BJ24,""),"")</f>
        <v/>
      </c>
      <c r="BM24" s="71">
        <f ca="1">IF(""=IFERROR(INDEX(INDIRECT("Data!C"&amp;$BD$4,FALSE),MATCH(BD24,Data!$A:$A,0)),$BM$6),$BM$8,IFERROR(INDEX(INDIRECT("Data!C"&amp;$BD$4,FALSE),MATCH(BD24,Data!$A:$A,0)),$BM$6))</f>
        <v>17</v>
      </c>
      <c r="BN24" s="71">
        <f ca="1">IF(""=IFERROR(INDEX(INDIRECT("Data!C"&amp;$BD$4,FALSE),MATCH(BE24,Data!$A:$A,0)),$BM$6),$BM$8,IFERROR(INDEX(INDIRECT("Data!C"&amp;$BD$4,FALSE),MATCH(BE24,Data!$A:$A,0)),$BM$6))</f>
        <v>329</v>
      </c>
      <c r="BO24" s="71">
        <f ca="1">IF(""=IFERROR(INDEX(INDIRECT("Data!C"&amp;$BD$4,FALSE),MATCH(BF24,Data!$A:$A,0)),$BM$6),$BM$8,IFERROR(INDEX(INDIRECT("Data!C"&amp;$BD$4,FALSE),MATCH(BF24,Data!$A:$A,0)),$BM$6))</f>
        <v>220</v>
      </c>
      <c r="BP24" s="71">
        <f ca="1">IF(""=IFERROR(INDEX(INDIRECT("Data!C"&amp;$BD$4,FALSE),MATCH(BG24,Data!$A:$A,0)),$BM$6),$BM$8,IFERROR(INDEX(INDIRECT("Data!C"&amp;$BD$4,FALSE),MATCH(BG24,Data!$A:$A,0)),$BM$6))</f>
        <v>220</v>
      </c>
      <c r="BQ24" s="71">
        <f ca="1">IF(""=IFERROR(INDEX(INDIRECT("Data!C"&amp;$BD$4,FALSE),MATCH(BH24,Data!$A:$A,0)),$BM$6),$BM$8,IFERROR(INDEX(INDIRECT("Data!C"&amp;$BD$4,FALSE),MATCH(BH24,Data!$A:$A,0)),$BM$6))</f>
        <v>238</v>
      </c>
      <c r="BR24" s="71">
        <f ca="1">IF(""=IFERROR(INDEX(INDIRECT("Data!C"&amp;$BD$4,FALSE),MATCH(BI24,Data!$A:$A,0)),$BM$6),$BM$8,IFERROR(INDEX(INDIRECT("Data!C"&amp;$BD$4,FALSE),MATCH(BI24,Data!$A:$A,0)),$BM$6))</f>
        <v>197</v>
      </c>
      <c r="BS24" s="71">
        <f ca="1">IF(""=IFERROR(INDEX(INDIRECT("Data!C"&amp;$BD$4,FALSE),MATCH(BJ24,Data!$A:$A,0)),$BM$6),$BM$8,IFERROR(INDEX(INDIRECT("Data!C"&amp;$BD$4,FALSE),MATCH(BJ24,Data!$A:$A,0)),$BM$6))</f>
        <v>56</v>
      </c>
      <c r="BT24" s="88">
        <f t="shared" ca="1" si="27"/>
        <v>182.42857142857142</v>
      </c>
      <c r="BV24" s="96" t="s">
        <v>62</v>
      </c>
    </row>
    <row r="25" spans="1:81" ht="12" customHeight="1" x14ac:dyDescent="0.2">
      <c r="B25" s="34">
        <f t="shared" si="28"/>
        <v>41665</v>
      </c>
      <c r="C25" s="34">
        <f t="shared" si="20"/>
        <v>41666</v>
      </c>
      <c r="D25" s="34">
        <f t="shared" si="20"/>
        <v>41667</v>
      </c>
      <c r="E25" s="34">
        <f t="shared" si="20"/>
        <v>41668</v>
      </c>
      <c r="F25" s="34">
        <f t="shared" si="20"/>
        <v>41669</v>
      </c>
      <c r="G25" s="34">
        <f t="shared" si="20"/>
        <v>41670</v>
      </c>
      <c r="H25" s="34">
        <f t="shared" si="20"/>
        <v>41671</v>
      </c>
      <c r="J25" s="82" t="str">
        <f t="array" ref="J25">IFERROR(IF(MATCH(8,DAY(B25:H25),0),H25,""),"")</f>
        <v/>
      </c>
      <c r="K25" s="71">
        <f ca="1">IF(""=IFERROR(INDEX(INDIRECT("Data!C"&amp;$B$4,FALSE),MATCH(B25,Data!$A:$A,0)),$K$6),$K$8,IFERROR(INDEX(INDIRECT("Data!C"&amp;$B$4,FALSE),MATCH(B25,Data!$A:$A,0)),$K$6))</f>
        <v>31</v>
      </c>
      <c r="L25" s="71">
        <f ca="1">IF(""=IFERROR(INDEX(INDIRECT("Data!C"&amp;$B$4,FALSE),MATCH(C25,Data!$A:$A,0)),$K$6),$K$8,IFERROR(INDEX(INDIRECT("Data!C"&amp;$B$4,FALSE),MATCH(C25,Data!$A:$A,0)),$K$6))</f>
        <v>311</v>
      </c>
      <c r="M25" s="71">
        <f ca="1">IF(""=IFERROR(INDEX(INDIRECT("Data!C"&amp;$B$4,FALSE),MATCH(D25,Data!$A:$A,0)),$K$6),$K$8,IFERROR(INDEX(INDIRECT("Data!C"&amp;$B$4,FALSE),MATCH(D25,Data!$A:$A,0)),$K$6))</f>
        <v>283</v>
      </c>
      <c r="N25" s="71">
        <f ca="1">IF(""=IFERROR(INDEX(INDIRECT("Data!C"&amp;$B$4,FALSE),MATCH(E25,Data!$A:$A,0)),$K$6),$K$8,IFERROR(INDEX(INDIRECT("Data!C"&amp;$B$4,FALSE),MATCH(E25,Data!$A:$A,0)),$K$6))</f>
        <v>227</v>
      </c>
      <c r="O25" s="71">
        <f ca="1">IF(""=IFERROR(INDEX(INDIRECT("Data!C"&amp;$B$4,FALSE),MATCH(F25,Data!$A:$A,0)),$K$6),$K$8,IFERROR(INDEX(INDIRECT("Data!C"&amp;$B$4,FALSE),MATCH(F25,Data!$A:$A,0)),$K$6))</f>
        <v>204</v>
      </c>
      <c r="P25" s="71">
        <f ca="1">IF(""=IFERROR(INDEX(INDIRECT("Data!C"&amp;$B$4,FALSE),MATCH(G25,Data!$A:$A,0)),$K$6),$K$8,IFERROR(INDEX(INDIRECT("Data!C"&amp;$B$4,FALSE),MATCH(G25,Data!$A:$A,0)),$K$6))</f>
        <v>179</v>
      </c>
      <c r="Q25" s="71">
        <f ca="1">IF(""=IFERROR(INDEX(INDIRECT("Data!C"&amp;$B$4,FALSE),MATCH(H25,Data!$A:$A,0)),$K$6),$K$8,IFERROR(INDEX(INDIRECT("Data!C"&amp;$B$4,FALSE),MATCH(H25,Data!$A:$A,0)),$K$6))</f>
        <v>80</v>
      </c>
      <c r="R25" s="88">
        <f t="shared" ca="1" si="21"/>
        <v>187.85714285714286</v>
      </c>
      <c r="T25" s="34">
        <f t="shared" si="29"/>
        <v>41665</v>
      </c>
      <c r="U25" s="34">
        <f t="shared" si="22"/>
        <v>41666</v>
      </c>
      <c r="V25" s="34">
        <f t="shared" si="17"/>
        <v>41667</v>
      </c>
      <c r="W25" s="34">
        <f t="shared" si="17"/>
        <v>41668</v>
      </c>
      <c r="X25" s="34">
        <f t="shared" si="17"/>
        <v>41669</v>
      </c>
      <c r="Y25" s="34">
        <f t="shared" si="17"/>
        <v>41670</v>
      </c>
      <c r="Z25" s="34">
        <f t="shared" si="17"/>
        <v>41671</v>
      </c>
      <c r="AB25" s="82" t="str">
        <f t="array" ref="AB25">IFERROR(IF(MATCH(8,DAY(T25:Z25),0),Z25,""),"")</f>
        <v/>
      </c>
      <c r="AC25" s="71">
        <f ca="1">IF(""=IFERROR(INDEX(INDIRECT("Data!C"&amp;$T$4,FALSE),MATCH(T25,Data!$A:$A,0)),$AC$6),$AC$8,IFERROR(INDEX(INDIRECT("Data!C"&amp;$T$4,FALSE),MATCH(T25,Data!$A:$A,0)),$AC$6))</f>
        <v>31</v>
      </c>
      <c r="AD25" s="71">
        <f ca="1">IF(""=IFERROR(INDEX(INDIRECT("Data!C"&amp;$T$4,FALSE),MATCH(U25,Data!$A:$A,0)),$AC$6),$AC$8,IFERROR(INDEX(INDIRECT("Data!C"&amp;$T$4,FALSE),MATCH(U25,Data!$A:$A,0)),$AC$6))</f>
        <v>311</v>
      </c>
      <c r="AE25" s="71">
        <f ca="1">IF(""=IFERROR(INDEX(INDIRECT("Data!C"&amp;$T$4,FALSE),MATCH(V25,Data!$A:$A,0)),$AC$6),$AC$8,IFERROR(INDEX(INDIRECT("Data!C"&amp;$T$4,FALSE),MATCH(V25,Data!$A:$A,0)),$AC$6))</f>
        <v>283</v>
      </c>
      <c r="AF25" s="71">
        <f ca="1">IF(""=IFERROR(INDEX(INDIRECT("Data!C"&amp;$T$4,FALSE),MATCH(W25,Data!$A:$A,0)),$AC$6),$AC$8,IFERROR(INDEX(INDIRECT("Data!C"&amp;$T$4,FALSE),MATCH(W25,Data!$A:$A,0)),$AC$6))</f>
        <v>227</v>
      </c>
      <c r="AG25" s="71">
        <f ca="1">IF(""=IFERROR(INDEX(INDIRECT("Data!C"&amp;$T$4,FALSE),MATCH(X25,Data!$A:$A,0)),$AC$6),$AC$8,IFERROR(INDEX(INDIRECT("Data!C"&amp;$T$4,FALSE),MATCH(X25,Data!$A:$A,0)),$AC$6))</f>
        <v>204</v>
      </c>
      <c r="AH25" s="71">
        <f ca="1">IF(""=IFERROR(INDEX(INDIRECT("Data!C"&amp;$T$4,FALSE),MATCH(Y25,Data!$A:$A,0)),$AC$6),$AC$8,IFERROR(INDEX(INDIRECT("Data!C"&amp;$T$4,FALSE),MATCH(Y25,Data!$A:$A,0)),$AC$6))</f>
        <v>179</v>
      </c>
      <c r="AI25" s="71">
        <f ca="1">IF(""=IFERROR(INDEX(INDIRECT("Data!C"&amp;$T$4,FALSE),MATCH(Z25,Data!$A:$A,0)),$AC$6),$AC$8,IFERROR(INDEX(INDIRECT("Data!C"&amp;$T$4,FALSE),MATCH(Z25,Data!$A:$A,0)),$AC$6))</f>
        <v>80</v>
      </c>
      <c r="AJ25" s="88">
        <f t="shared" ca="1" si="23"/>
        <v>187.85714285714286</v>
      </c>
      <c r="AL25" s="34">
        <f t="shared" si="30"/>
        <v>41665</v>
      </c>
      <c r="AM25" s="34">
        <f t="shared" si="24"/>
        <v>41666</v>
      </c>
      <c r="AN25" s="34">
        <f t="shared" si="18"/>
        <v>41667</v>
      </c>
      <c r="AO25" s="34">
        <f t="shared" si="18"/>
        <v>41668</v>
      </c>
      <c r="AP25" s="34">
        <f t="shared" si="18"/>
        <v>41669</v>
      </c>
      <c r="AQ25" s="34">
        <f t="shared" si="18"/>
        <v>41670</v>
      </c>
      <c r="AR25" s="34">
        <f t="shared" si="18"/>
        <v>41671</v>
      </c>
      <c r="AT25" s="82" t="str">
        <f t="array" ref="AT25">IFERROR(IF(MATCH(8,DAY(AL25:AR25),0),AR25,""),"")</f>
        <v/>
      </c>
      <c r="AU25" s="71">
        <f ca="1">IF(""=IFERROR(INDEX(INDIRECT("Data!C"&amp;$AL$4,FALSE),MATCH(AL25,Data!$A:$A,0)),$AU$6),$AU$8,IFERROR(INDEX(INDIRECT("Data!C"&amp;$AL$4,FALSE),MATCH(AL25,Data!$A:$A,0)),$AU$6))</f>
        <v>31</v>
      </c>
      <c r="AV25" s="71">
        <f ca="1">IF(""=IFERROR(INDEX(INDIRECT("Data!C"&amp;$AL$4,FALSE),MATCH(AM25,Data!$A:$A,0)),$AU$6),$AU$8,IFERROR(INDEX(INDIRECT("Data!C"&amp;$AL$4,FALSE),MATCH(AM25,Data!$A:$A,0)),$AU$6))</f>
        <v>311</v>
      </c>
      <c r="AW25" s="71">
        <f ca="1">IF(""=IFERROR(INDEX(INDIRECT("Data!C"&amp;$AL$4,FALSE),MATCH(AN25,Data!$A:$A,0)),$AU$6),$AU$8,IFERROR(INDEX(INDIRECT("Data!C"&amp;$AL$4,FALSE),MATCH(AN25,Data!$A:$A,0)),$AU$6))</f>
        <v>283</v>
      </c>
      <c r="AX25" s="71">
        <f ca="1">IF(""=IFERROR(INDEX(INDIRECT("Data!C"&amp;$AL$4,FALSE),MATCH(AO25,Data!$A:$A,0)),$AU$6),$AU$8,IFERROR(INDEX(INDIRECT("Data!C"&amp;$AL$4,FALSE),MATCH(AO25,Data!$A:$A,0)),$AU$6))</f>
        <v>227</v>
      </c>
      <c r="AY25" s="71">
        <f ca="1">IF(""=IFERROR(INDEX(INDIRECT("Data!C"&amp;$AL$4,FALSE),MATCH(AP25,Data!$A:$A,0)),$AU$6),$AU$8,IFERROR(INDEX(INDIRECT("Data!C"&amp;$AL$4,FALSE),MATCH(AP25,Data!$A:$A,0)),$AU$6))</f>
        <v>204</v>
      </c>
      <c r="AZ25" s="71">
        <f ca="1">IF(""=IFERROR(INDEX(INDIRECT("Data!C"&amp;$AL$4,FALSE),MATCH(AQ25,Data!$A:$A,0)),$AU$6),$AU$8,IFERROR(INDEX(INDIRECT("Data!C"&amp;$AL$4,FALSE),MATCH(AQ25,Data!$A:$A,0)),$AU$6))</f>
        <v>179</v>
      </c>
      <c r="BA25" s="71">
        <f ca="1">IF(""=IFERROR(INDEX(INDIRECT("Data!C"&amp;$AL$4,FALSE),MATCH(AR25,Data!$A:$A,0)),$AU$6),$AU$8,IFERROR(INDEX(INDIRECT("Data!C"&amp;$AL$4,FALSE),MATCH(AR25,Data!$A:$A,0)),$AU$6))</f>
        <v>80</v>
      </c>
      <c r="BB25" s="88">
        <f t="shared" ca="1" si="25"/>
        <v>187.85714285714286</v>
      </c>
      <c r="BD25" s="34">
        <f t="shared" si="31"/>
        <v>41665</v>
      </c>
      <c r="BE25" s="34">
        <f t="shared" si="26"/>
        <v>41666</v>
      </c>
      <c r="BF25" s="34">
        <f t="shared" si="19"/>
        <v>41667</v>
      </c>
      <c r="BG25" s="34">
        <f t="shared" si="19"/>
        <v>41668</v>
      </c>
      <c r="BH25" s="34">
        <f t="shared" si="19"/>
        <v>41669</v>
      </c>
      <c r="BI25" s="34">
        <f t="shared" si="19"/>
        <v>41670</v>
      </c>
      <c r="BJ25" s="34">
        <f t="shared" si="19"/>
        <v>41671</v>
      </c>
      <c r="BL25" s="82" t="str">
        <f t="array" ref="BL25">IFERROR(IF(MATCH(8,DAY(BD25:BJ25),0),BJ25,""),"")</f>
        <v/>
      </c>
      <c r="BM25" s="71">
        <f ca="1">IF(""=IFERROR(INDEX(INDIRECT("Data!C"&amp;$BD$4,FALSE),MATCH(BD25,Data!$A:$A,0)),$BM$6),$BM$8,IFERROR(INDEX(INDIRECT("Data!C"&amp;$BD$4,FALSE),MATCH(BD25,Data!$A:$A,0)),$BM$6))</f>
        <v>31</v>
      </c>
      <c r="BN25" s="71">
        <f ca="1">IF(""=IFERROR(INDEX(INDIRECT("Data!C"&amp;$BD$4,FALSE),MATCH(BE25,Data!$A:$A,0)),$BM$6),$BM$8,IFERROR(INDEX(INDIRECT("Data!C"&amp;$BD$4,FALSE),MATCH(BE25,Data!$A:$A,0)),$BM$6))</f>
        <v>311</v>
      </c>
      <c r="BO25" s="71">
        <f ca="1">IF(""=IFERROR(INDEX(INDIRECT("Data!C"&amp;$BD$4,FALSE),MATCH(BF25,Data!$A:$A,0)),$BM$6),$BM$8,IFERROR(INDEX(INDIRECT("Data!C"&amp;$BD$4,FALSE),MATCH(BF25,Data!$A:$A,0)),$BM$6))</f>
        <v>283</v>
      </c>
      <c r="BP25" s="71">
        <f ca="1">IF(""=IFERROR(INDEX(INDIRECT("Data!C"&amp;$BD$4,FALSE),MATCH(BG25,Data!$A:$A,0)),$BM$6),$BM$8,IFERROR(INDEX(INDIRECT("Data!C"&amp;$BD$4,FALSE),MATCH(BG25,Data!$A:$A,0)),$BM$6))</f>
        <v>227</v>
      </c>
      <c r="BQ25" s="71">
        <f ca="1">IF(""=IFERROR(INDEX(INDIRECT("Data!C"&amp;$BD$4,FALSE),MATCH(BH25,Data!$A:$A,0)),$BM$6),$BM$8,IFERROR(INDEX(INDIRECT("Data!C"&amp;$BD$4,FALSE),MATCH(BH25,Data!$A:$A,0)),$BM$6))</f>
        <v>204</v>
      </c>
      <c r="BR25" s="71">
        <f ca="1">IF(""=IFERROR(INDEX(INDIRECT("Data!C"&amp;$BD$4,FALSE),MATCH(BI25,Data!$A:$A,0)),$BM$6),$BM$8,IFERROR(INDEX(INDIRECT("Data!C"&amp;$BD$4,FALSE),MATCH(BI25,Data!$A:$A,0)),$BM$6))</f>
        <v>179</v>
      </c>
      <c r="BS25" s="71">
        <f ca="1">IF(""=IFERROR(INDEX(INDIRECT("Data!C"&amp;$BD$4,FALSE),MATCH(BJ25,Data!$A:$A,0)),$BM$6),$BM$8,IFERROR(INDEX(INDIRECT("Data!C"&amp;$BD$4,FALSE),MATCH(BJ25,Data!$A:$A,0)),$BM$6))</f>
        <v>80</v>
      </c>
      <c r="BT25" s="88">
        <f t="shared" ca="1" si="27"/>
        <v>187.85714285714286</v>
      </c>
      <c r="BV25" s="96" t="s">
        <v>63</v>
      </c>
    </row>
    <row r="26" spans="1:81" ht="12" customHeight="1" x14ac:dyDescent="0.2">
      <c r="B26" s="34">
        <f t="shared" si="28"/>
        <v>41672</v>
      </c>
      <c r="C26" s="34">
        <f t="shared" si="20"/>
        <v>41673</v>
      </c>
      <c r="D26" s="34">
        <f t="shared" si="20"/>
        <v>41674</v>
      </c>
      <c r="E26" s="34">
        <f t="shared" si="20"/>
        <v>41675</v>
      </c>
      <c r="F26" s="34">
        <f t="shared" si="20"/>
        <v>41676</v>
      </c>
      <c r="G26" s="34">
        <f t="shared" si="20"/>
        <v>41677</v>
      </c>
      <c r="H26" s="34">
        <f t="shared" si="20"/>
        <v>41678</v>
      </c>
      <c r="J26" s="82">
        <f t="array" ref="J26">IFERROR(IF(MATCH(8,DAY(B26:H26),0),H26,""),"")</f>
        <v>41678</v>
      </c>
      <c r="K26" s="71">
        <f ca="1">IF(""=IFERROR(INDEX(INDIRECT("Data!C"&amp;$B$4,FALSE),MATCH(B26,Data!$A:$A,0)),$K$6),$K$8,IFERROR(INDEX(INDIRECT("Data!C"&amp;$B$4,FALSE),MATCH(B26,Data!$A:$A,0)),$K$6))</f>
        <v>40</v>
      </c>
      <c r="L26" s="71">
        <f ca="1">IF(""=IFERROR(INDEX(INDIRECT("Data!C"&amp;$B$4,FALSE),MATCH(C26,Data!$A:$A,0)),$K$6),$K$8,IFERROR(INDEX(INDIRECT("Data!C"&amp;$B$4,FALSE),MATCH(C26,Data!$A:$A,0)),$K$6))</f>
        <v>449</v>
      </c>
      <c r="M26" s="71">
        <f ca="1">IF(""=IFERROR(INDEX(INDIRECT("Data!C"&amp;$B$4,FALSE),MATCH(D26,Data!$A:$A,0)),$K$6),$K$8,IFERROR(INDEX(INDIRECT("Data!C"&amp;$B$4,FALSE),MATCH(D26,Data!$A:$A,0)),$K$6))</f>
        <v>406</v>
      </c>
      <c r="N26" s="71">
        <f ca="1">IF(""=IFERROR(INDEX(INDIRECT("Data!C"&amp;$B$4,FALSE),MATCH(E26,Data!$A:$A,0)),$K$6),$K$8,IFERROR(INDEX(INDIRECT("Data!C"&amp;$B$4,FALSE),MATCH(E26,Data!$A:$A,0)),$K$6))</f>
        <v>369</v>
      </c>
      <c r="O26" s="71">
        <f ca="1">IF(""=IFERROR(INDEX(INDIRECT("Data!C"&amp;$B$4,FALSE),MATCH(F26,Data!$A:$A,0)),$K$6),$K$8,IFERROR(INDEX(INDIRECT("Data!C"&amp;$B$4,FALSE),MATCH(F26,Data!$A:$A,0)),$K$6))</f>
        <v>272</v>
      </c>
      <c r="P26" s="71">
        <f ca="1">IF(""=IFERROR(INDEX(INDIRECT("Data!C"&amp;$B$4,FALSE),MATCH(G26,Data!$A:$A,0)),$K$6),$K$8,IFERROR(INDEX(INDIRECT("Data!C"&amp;$B$4,FALSE),MATCH(G26,Data!$A:$A,0)),$K$6))</f>
        <v>228</v>
      </c>
      <c r="Q26" s="71">
        <f ca="1">IF(""=IFERROR(INDEX(INDIRECT("Data!C"&amp;$B$4,FALSE),MATCH(H26,Data!$A:$A,0)),$K$6),$K$8,IFERROR(INDEX(INDIRECT("Data!C"&amp;$B$4,FALSE),MATCH(H26,Data!$A:$A,0)),$K$6))</f>
        <v>72</v>
      </c>
      <c r="R26" s="88">
        <f t="shared" ca="1" si="21"/>
        <v>262.28571428571428</v>
      </c>
      <c r="T26" s="34">
        <f t="shared" si="29"/>
        <v>41672</v>
      </c>
      <c r="U26" s="34">
        <f t="shared" si="22"/>
        <v>41673</v>
      </c>
      <c r="V26" s="34">
        <f t="shared" si="17"/>
        <v>41674</v>
      </c>
      <c r="W26" s="34">
        <f t="shared" si="17"/>
        <v>41675</v>
      </c>
      <c r="X26" s="34">
        <f t="shared" si="17"/>
        <v>41676</v>
      </c>
      <c r="Y26" s="34">
        <f t="shared" si="17"/>
        <v>41677</v>
      </c>
      <c r="Z26" s="34">
        <f t="shared" si="17"/>
        <v>41678</v>
      </c>
      <c r="AB26" s="82">
        <f t="array" ref="AB26">IFERROR(IF(MATCH(8,DAY(T26:Z26),0),Z26,""),"")</f>
        <v>41678</v>
      </c>
      <c r="AC26" s="71">
        <f ca="1">IF(""=IFERROR(INDEX(INDIRECT("Data!C"&amp;$T$4,FALSE),MATCH(T26,Data!$A:$A,0)),$AC$6),$AC$8,IFERROR(INDEX(INDIRECT("Data!C"&amp;$T$4,FALSE),MATCH(T26,Data!$A:$A,0)),$AC$6))</f>
        <v>40</v>
      </c>
      <c r="AD26" s="71">
        <f ca="1">IF(""=IFERROR(INDEX(INDIRECT("Data!C"&amp;$T$4,FALSE),MATCH(U26,Data!$A:$A,0)),$AC$6),$AC$8,IFERROR(INDEX(INDIRECT("Data!C"&amp;$T$4,FALSE),MATCH(U26,Data!$A:$A,0)),$AC$6))</f>
        <v>449</v>
      </c>
      <c r="AE26" s="71">
        <f ca="1">IF(""=IFERROR(INDEX(INDIRECT("Data!C"&amp;$T$4,FALSE),MATCH(V26,Data!$A:$A,0)),$AC$6),$AC$8,IFERROR(INDEX(INDIRECT("Data!C"&amp;$T$4,FALSE),MATCH(V26,Data!$A:$A,0)),$AC$6))</f>
        <v>406</v>
      </c>
      <c r="AF26" s="71">
        <f ca="1">IF(""=IFERROR(INDEX(INDIRECT("Data!C"&amp;$T$4,FALSE),MATCH(W26,Data!$A:$A,0)),$AC$6),$AC$8,IFERROR(INDEX(INDIRECT("Data!C"&amp;$T$4,FALSE),MATCH(W26,Data!$A:$A,0)),$AC$6))</f>
        <v>369</v>
      </c>
      <c r="AG26" s="71">
        <f ca="1">IF(""=IFERROR(INDEX(INDIRECT("Data!C"&amp;$T$4,FALSE),MATCH(X26,Data!$A:$A,0)),$AC$6),$AC$8,IFERROR(INDEX(INDIRECT("Data!C"&amp;$T$4,FALSE),MATCH(X26,Data!$A:$A,0)),$AC$6))</f>
        <v>272</v>
      </c>
      <c r="AH26" s="71">
        <f ca="1">IF(""=IFERROR(INDEX(INDIRECT("Data!C"&amp;$T$4,FALSE),MATCH(Y26,Data!$A:$A,0)),$AC$6),$AC$8,IFERROR(INDEX(INDIRECT("Data!C"&amp;$T$4,FALSE),MATCH(Y26,Data!$A:$A,0)),$AC$6))</f>
        <v>228</v>
      </c>
      <c r="AI26" s="71">
        <f ca="1">IF(""=IFERROR(INDEX(INDIRECT("Data!C"&amp;$T$4,FALSE),MATCH(Z26,Data!$A:$A,0)),$AC$6),$AC$8,IFERROR(INDEX(INDIRECT("Data!C"&amp;$T$4,FALSE),MATCH(Z26,Data!$A:$A,0)),$AC$6))</f>
        <v>72</v>
      </c>
      <c r="AJ26" s="88">
        <f t="shared" ca="1" si="23"/>
        <v>262.28571428571428</v>
      </c>
      <c r="AL26" s="34">
        <f t="shared" si="30"/>
        <v>41672</v>
      </c>
      <c r="AM26" s="34">
        <f t="shared" si="24"/>
        <v>41673</v>
      </c>
      <c r="AN26" s="34">
        <f t="shared" si="18"/>
        <v>41674</v>
      </c>
      <c r="AO26" s="34">
        <f t="shared" si="18"/>
        <v>41675</v>
      </c>
      <c r="AP26" s="34">
        <f t="shared" si="18"/>
        <v>41676</v>
      </c>
      <c r="AQ26" s="34">
        <f t="shared" si="18"/>
        <v>41677</v>
      </c>
      <c r="AR26" s="34">
        <f t="shared" si="18"/>
        <v>41678</v>
      </c>
      <c r="AT26" s="82">
        <f t="array" ref="AT26">IFERROR(IF(MATCH(8,DAY(AL26:AR26),0),AR26,""),"")</f>
        <v>41678</v>
      </c>
      <c r="AU26" s="71">
        <f ca="1">IF(""=IFERROR(INDEX(INDIRECT("Data!C"&amp;$AL$4,FALSE),MATCH(AL26,Data!$A:$A,0)),$AU$6),$AU$8,IFERROR(INDEX(INDIRECT("Data!C"&amp;$AL$4,FALSE),MATCH(AL26,Data!$A:$A,0)),$AU$6))</f>
        <v>40</v>
      </c>
      <c r="AV26" s="71">
        <f ca="1">IF(""=IFERROR(INDEX(INDIRECT("Data!C"&amp;$AL$4,FALSE),MATCH(AM26,Data!$A:$A,0)),$AU$6),$AU$8,IFERROR(INDEX(INDIRECT("Data!C"&amp;$AL$4,FALSE),MATCH(AM26,Data!$A:$A,0)),$AU$6))</f>
        <v>449</v>
      </c>
      <c r="AW26" s="71">
        <f ca="1">IF(""=IFERROR(INDEX(INDIRECT("Data!C"&amp;$AL$4,FALSE),MATCH(AN26,Data!$A:$A,0)),$AU$6),$AU$8,IFERROR(INDEX(INDIRECT("Data!C"&amp;$AL$4,FALSE),MATCH(AN26,Data!$A:$A,0)),$AU$6))</f>
        <v>406</v>
      </c>
      <c r="AX26" s="71">
        <f ca="1">IF(""=IFERROR(INDEX(INDIRECT("Data!C"&amp;$AL$4,FALSE),MATCH(AO26,Data!$A:$A,0)),$AU$6),$AU$8,IFERROR(INDEX(INDIRECT("Data!C"&amp;$AL$4,FALSE),MATCH(AO26,Data!$A:$A,0)),$AU$6))</f>
        <v>369</v>
      </c>
      <c r="AY26" s="71">
        <f ca="1">IF(""=IFERROR(INDEX(INDIRECT("Data!C"&amp;$AL$4,FALSE),MATCH(AP26,Data!$A:$A,0)),$AU$6),$AU$8,IFERROR(INDEX(INDIRECT("Data!C"&amp;$AL$4,FALSE),MATCH(AP26,Data!$A:$A,0)),$AU$6))</f>
        <v>272</v>
      </c>
      <c r="AZ26" s="71">
        <f ca="1">IF(""=IFERROR(INDEX(INDIRECT("Data!C"&amp;$AL$4,FALSE),MATCH(AQ26,Data!$A:$A,0)),$AU$6),$AU$8,IFERROR(INDEX(INDIRECT("Data!C"&amp;$AL$4,FALSE),MATCH(AQ26,Data!$A:$A,0)),$AU$6))</f>
        <v>228</v>
      </c>
      <c r="BA26" s="71">
        <f ca="1">IF(""=IFERROR(INDEX(INDIRECT("Data!C"&amp;$AL$4,FALSE),MATCH(AR26,Data!$A:$A,0)),$AU$6),$AU$8,IFERROR(INDEX(INDIRECT("Data!C"&amp;$AL$4,FALSE),MATCH(AR26,Data!$A:$A,0)),$AU$6))</f>
        <v>72</v>
      </c>
      <c r="BB26" s="88">
        <f t="shared" ca="1" si="25"/>
        <v>262.28571428571428</v>
      </c>
      <c r="BD26" s="34">
        <f t="shared" si="31"/>
        <v>41672</v>
      </c>
      <c r="BE26" s="34">
        <f t="shared" si="26"/>
        <v>41673</v>
      </c>
      <c r="BF26" s="34">
        <f t="shared" si="19"/>
        <v>41674</v>
      </c>
      <c r="BG26" s="34">
        <f t="shared" si="19"/>
        <v>41675</v>
      </c>
      <c r="BH26" s="34">
        <f t="shared" si="19"/>
        <v>41676</v>
      </c>
      <c r="BI26" s="34">
        <f t="shared" si="19"/>
        <v>41677</v>
      </c>
      <c r="BJ26" s="34">
        <f t="shared" si="19"/>
        <v>41678</v>
      </c>
      <c r="BL26" s="82">
        <f t="array" ref="BL26">IFERROR(IF(MATCH(8,DAY(BD26:BJ26),0),BJ26,""),"")</f>
        <v>41678</v>
      </c>
      <c r="BM26" s="71">
        <f ca="1">IF(""=IFERROR(INDEX(INDIRECT("Data!C"&amp;$BD$4,FALSE),MATCH(BD26,Data!$A:$A,0)),$BM$6),$BM$8,IFERROR(INDEX(INDIRECT("Data!C"&amp;$BD$4,FALSE),MATCH(BD26,Data!$A:$A,0)),$BM$6))</f>
        <v>40</v>
      </c>
      <c r="BN26" s="71">
        <f ca="1">IF(""=IFERROR(INDEX(INDIRECT("Data!C"&amp;$BD$4,FALSE),MATCH(BE26,Data!$A:$A,0)),$BM$6),$BM$8,IFERROR(INDEX(INDIRECT("Data!C"&amp;$BD$4,FALSE),MATCH(BE26,Data!$A:$A,0)),$BM$6))</f>
        <v>449</v>
      </c>
      <c r="BO26" s="71">
        <f ca="1">IF(""=IFERROR(INDEX(INDIRECT("Data!C"&amp;$BD$4,FALSE),MATCH(BF26,Data!$A:$A,0)),$BM$6),$BM$8,IFERROR(INDEX(INDIRECT("Data!C"&amp;$BD$4,FALSE),MATCH(BF26,Data!$A:$A,0)),$BM$6))</f>
        <v>406</v>
      </c>
      <c r="BP26" s="71">
        <f ca="1">IF(""=IFERROR(INDEX(INDIRECT("Data!C"&amp;$BD$4,FALSE),MATCH(BG26,Data!$A:$A,0)),$BM$6),$BM$8,IFERROR(INDEX(INDIRECT("Data!C"&amp;$BD$4,FALSE),MATCH(BG26,Data!$A:$A,0)),$BM$6))</f>
        <v>369</v>
      </c>
      <c r="BQ26" s="71">
        <f ca="1">IF(""=IFERROR(INDEX(INDIRECT("Data!C"&amp;$BD$4,FALSE),MATCH(BH26,Data!$A:$A,0)),$BM$6),$BM$8,IFERROR(INDEX(INDIRECT("Data!C"&amp;$BD$4,FALSE),MATCH(BH26,Data!$A:$A,0)),$BM$6))</f>
        <v>272</v>
      </c>
      <c r="BR26" s="71">
        <f ca="1">IF(""=IFERROR(INDEX(INDIRECT("Data!C"&amp;$BD$4,FALSE),MATCH(BI26,Data!$A:$A,0)),$BM$6),$BM$8,IFERROR(INDEX(INDIRECT("Data!C"&amp;$BD$4,FALSE),MATCH(BI26,Data!$A:$A,0)),$BM$6))</f>
        <v>228</v>
      </c>
      <c r="BS26" s="71">
        <f ca="1">IF(""=IFERROR(INDEX(INDIRECT("Data!C"&amp;$BD$4,FALSE),MATCH(BJ26,Data!$A:$A,0)),$BM$6),$BM$8,IFERROR(INDEX(INDIRECT("Data!C"&amp;$BD$4,FALSE),MATCH(BJ26,Data!$A:$A,0)),$BM$6))</f>
        <v>72</v>
      </c>
      <c r="BT26" s="88">
        <f t="shared" ca="1" si="27"/>
        <v>262.28571428571428</v>
      </c>
      <c r="BV26" s="96"/>
    </row>
    <row r="27" spans="1:81" ht="12" customHeight="1" x14ac:dyDescent="0.2">
      <c r="B27" s="34">
        <f t="shared" si="28"/>
        <v>41679</v>
      </c>
      <c r="C27" s="34">
        <f t="shared" si="20"/>
        <v>41680</v>
      </c>
      <c r="D27" s="34">
        <f t="shared" si="20"/>
        <v>41681</v>
      </c>
      <c r="E27" s="34">
        <f t="shared" si="20"/>
        <v>41682</v>
      </c>
      <c r="F27" s="34">
        <f t="shared" si="20"/>
        <v>41683</v>
      </c>
      <c r="G27" s="34">
        <f t="shared" si="20"/>
        <v>41684</v>
      </c>
      <c r="H27" s="34">
        <f t="shared" si="20"/>
        <v>41685</v>
      </c>
      <c r="J27" s="82" t="str">
        <f t="array" ref="J27">IFERROR(IF(MATCH(8,DAY(B27:H27),0),H27,""),"")</f>
        <v/>
      </c>
      <c r="K27" s="71">
        <f ca="1">IF(""=IFERROR(INDEX(INDIRECT("Data!C"&amp;$B$4,FALSE),MATCH(B27,Data!$A:$A,0)),$K$6),$K$8,IFERROR(INDEX(INDIRECT("Data!C"&amp;$B$4,FALSE),MATCH(B27,Data!$A:$A,0)),$K$6))</f>
        <v>30</v>
      </c>
      <c r="L27" s="71">
        <f ca="1">IF(""=IFERROR(INDEX(INDIRECT("Data!C"&amp;$B$4,FALSE),MATCH(C27,Data!$A:$A,0)),$K$6),$K$8,IFERROR(INDEX(INDIRECT("Data!C"&amp;$B$4,FALSE),MATCH(C27,Data!$A:$A,0)),$K$6))</f>
        <v>413</v>
      </c>
      <c r="M27" s="71">
        <f ca="1">IF(""=IFERROR(INDEX(INDIRECT("Data!C"&amp;$B$4,FALSE),MATCH(D27,Data!$A:$A,0)),$K$6),$K$8,IFERROR(INDEX(INDIRECT("Data!C"&amp;$B$4,FALSE),MATCH(D27,Data!$A:$A,0)),$K$6))</f>
        <v>410</v>
      </c>
      <c r="N27" s="71">
        <f ca="1">IF(""=IFERROR(INDEX(INDIRECT("Data!C"&amp;$B$4,FALSE),MATCH(E27,Data!$A:$A,0)),$K$6),$K$8,IFERROR(INDEX(INDIRECT("Data!C"&amp;$B$4,FALSE),MATCH(E27,Data!$A:$A,0)),$K$6))</f>
        <v>271</v>
      </c>
      <c r="O27" s="71">
        <f ca="1">IF(""=IFERROR(INDEX(INDIRECT("Data!C"&amp;$B$4,FALSE),MATCH(F27,Data!$A:$A,0)),$K$6),$K$8,IFERROR(INDEX(INDIRECT("Data!C"&amp;$B$4,FALSE),MATCH(F27,Data!$A:$A,0)),$K$6))</f>
        <v>207</v>
      </c>
      <c r="P27" s="71">
        <f ca="1">IF(""=IFERROR(INDEX(INDIRECT("Data!C"&amp;$B$4,FALSE),MATCH(G27,Data!$A:$A,0)),$K$6),$K$8,IFERROR(INDEX(INDIRECT("Data!C"&amp;$B$4,FALSE),MATCH(G27,Data!$A:$A,0)),$K$6))</f>
        <v>236</v>
      </c>
      <c r="Q27" s="71">
        <f ca="1">IF(""=IFERROR(INDEX(INDIRECT("Data!C"&amp;$B$4,FALSE),MATCH(H27,Data!$A:$A,0)),$K$6),$K$8,IFERROR(INDEX(INDIRECT("Data!C"&amp;$B$4,FALSE),MATCH(H27,Data!$A:$A,0)),$K$6))</f>
        <v>70</v>
      </c>
      <c r="R27" s="88">
        <f t="shared" ca="1" si="21"/>
        <v>233.85714285714286</v>
      </c>
      <c r="T27" s="34">
        <f t="shared" si="29"/>
        <v>41679</v>
      </c>
      <c r="U27" s="34">
        <f t="shared" si="22"/>
        <v>41680</v>
      </c>
      <c r="V27" s="34">
        <f t="shared" si="17"/>
        <v>41681</v>
      </c>
      <c r="W27" s="34">
        <f t="shared" si="17"/>
        <v>41682</v>
      </c>
      <c r="X27" s="34">
        <f t="shared" si="17"/>
        <v>41683</v>
      </c>
      <c r="Y27" s="34">
        <f t="shared" si="17"/>
        <v>41684</v>
      </c>
      <c r="Z27" s="34">
        <f t="shared" si="17"/>
        <v>41685</v>
      </c>
      <c r="AB27" s="82" t="str">
        <f t="array" ref="AB27">IFERROR(IF(MATCH(8,DAY(T27:Z27),0),Z27,""),"")</f>
        <v/>
      </c>
      <c r="AC27" s="71">
        <f ca="1">IF(""=IFERROR(INDEX(INDIRECT("Data!C"&amp;$T$4,FALSE),MATCH(T27,Data!$A:$A,0)),$AC$6),$AC$8,IFERROR(INDEX(INDIRECT("Data!C"&amp;$T$4,FALSE),MATCH(T27,Data!$A:$A,0)),$AC$6))</f>
        <v>30</v>
      </c>
      <c r="AD27" s="71">
        <f ca="1">IF(""=IFERROR(INDEX(INDIRECT("Data!C"&amp;$T$4,FALSE),MATCH(U27,Data!$A:$A,0)),$AC$6),$AC$8,IFERROR(INDEX(INDIRECT("Data!C"&amp;$T$4,FALSE),MATCH(U27,Data!$A:$A,0)),$AC$6))</f>
        <v>413</v>
      </c>
      <c r="AE27" s="71">
        <f ca="1">IF(""=IFERROR(INDEX(INDIRECT("Data!C"&amp;$T$4,FALSE),MATCH(V27,Data!$A:$A,0)),$AC$6),$AC$8,IFERROR(INDEX(INDIRECT("Data!C"&amp;$T$4,FALSE),MATCH(V27,Data!$A:$A,0)),$AC$6))</f>
        <v>410</v>
      </c>
      <c r="AF27" s="71">
        <f ca="1">IF(""=IFERROR(INDEX(INDIRECT("Data!C"&amp;$T$4,FALSE),MATCH(W27,Data!$A:$A,0)),$AC$6),$AC$8,IFERROR(INDEX(INDIRECT("Data!C"&amp;$T$4,FALSE),MATCH(W27,Data!$A:$A,0)),$AC$6))</f>
        <v>271</v>
      </c>
      <c r="AG27" s="71">
        <f ca="1">IF(""=IFERROR(INDEX(INDIRECT("Data!C"&amp;$T$4,FALSE),MATCH(X27,Data!$A:$A,0)),$AC$6),$AC$8,IFERROR(INDEX(INDIRECT("Data!C"&amp;$T$4,FALSE),MATCH(X27,Data!$A:$A,0)),$AC$6))</f>
        <v>207</v>
      </c>
      <c r="AH27" s="71">
        <f ca="1">IF(""=IFERROR(INDEX(INDIRECT("Data!C"&amp;$T$4,FALSE),MATCH(Y27,Data!$A:$A,0)),$AC$6),$AC$8,IFERROR(INDEX(INDIRECT("Data!C"&amp;$T$4,FALSE),MATCH(Y27,Data!$A:$A,0)),$AC$6))</f>
        <v>236</v>
      </c>
      <c r="AI27" s="71">
        <f ca="1">IF(""=IFERROR(INDEX(INDIRECT("Data!C"&amp;$T$4,FALSE),MATCH(Z27,Data!$A:$A,0)),$AC$6),$AC$8,IFERROR(INDEX(INDIRECT("Data!C"&amp;$T$4,FALSE),MATCH(Z27,Data!$A:$A,0)),$AC$6))</f>
        <v>70</v>
      </c>
      <c r="AJ27" s="88">
        <f t="shared" ca="1" si="23"/>
        <v>233.85714285714286</v>
      </c>
      <c r="AL27" s="34">
        <f t="shared" si="30"/>
        <v>41679</v>
      </c>
      <c r="AM27" s="34">
        <f t="shared" si="24"/>
        <v>41680</v>
      </c>
      <c r="AN27" s="34">
        <f t="shared" si="18"/>
        <v>41681</v>
      </c>
      <c r="AO27" s="34">
        <f t="shared" si="18"/>
        <v>41682</v>
      </c>
      <c r="AP27" s="34">
        <f t="shared" si="18"/>
        <v>41683</v>
      </c>
      <c r="AQ27" s="34">
        <f t="shared" si="18"/>
        <v>41684</v>
      </c>
      <c r="AR27" s="34">
        <f t="shared" si="18"/>
        <v>41685</v>
      </c>
      <c r="AT27" s="82" t="str">
        <f t="array" ref="AT27">IFERROR(IF(MATCH(8,DAY(AL27:AR27),0),AR27,""),"")</f>
        <v/>
      </c>
      <c r="AU27" s="71">
        <f ca="1">IF(""=IFERROR(INDEX(INDIRECT("Data!C"&amp;$AL$4,FALSE),MATCH(AL27,Data!$A:$A,0)),$AU$6),$AU$8,IFERROR(INDEX(INDIRECT("Data!C"&amp;$AL$4,FALSE),MATCH(AL27,Data!$A:$A,0)),$AU$6))</f>
        <v>30</v>
      </c>
      <c r="AV27" s="71">
        <f ca="1">IF(""=IFERROR(INDEX(INDIRECT("Data!C"&amp;$AL$4,FALSE),MATCH(AM27,Data!$A:$A,0)),$AU$6),$AU$8,IFERROR(INDEX(INDIRECT("Data!C"&amp;$AL$4,FALSE),MATCH(AM27,Data!$A:$A,0)),$AU$6))</f>
        <v>413</v>
      </c>
      <c r="AW27" s="71">
        <f ca="1">IF(""=IFERROR(INDEX(INDIRECT("Data!C"&amp;$AL$4,FALSE),MATCH(AN27,Data!$A:$A,0)),$AU$6),$AU$8,IFERROR(INDEX(INDIRECT("Data!C"&amp;$AL$4,FALSE),MATCH(AN27,Data!$A:$A,0)),$AU$6))</f>
        <v>410</v>
      </c>
      <c r="AX27" s="71">
        <f ca="1">IF(""=IFERROR(INDEX(INDIRECT("Data!C"&amp;$AL$4,FALSE),MATCH(AO27,Data!$A:$A,0)),$AU$6),$AU$8,IFERROR(INDEX(INDIRECT("Data!C"&amp;$AL$4,FALSE),MATCH(AO27,Data!$A:$A,0)),$AU$6))</f>
        <v>271</v>
      </c>
      <c r="AY27" s="71">
        <f ca="1">IF(""=IFERROR(INDEX(INDIRECT("Data!C"&amp;$AL$4,FALSE),MATCH(AP27,Data!$A:$A,0)),$AU$6),$AU$8,IFERROR(INDEX(INDIRECT("Data!C"&amp;$AL$4,FALSE),MATCH(AP27,Data!$A:$A,0)),$AU$6))</f>
        <v>207</v>
      </c>
      <c r="AZ27" s="71">
        <f ca="1">IF(""=IFERROR(INDEX(INDIRECT("Data!C"&amp;$AL$4,FALSE),MATCH(AQ27,Data!$A:$A,0)),$AU$6),$AU$8,IFERROR(INDEX(INDIRECT("Data!C"&amp;$AL$4,FALSE),MATCH(AQ27,Data!$A:$A,0)),$AU$6))</f>
        <v>236</v>
      </c>
      <c r="BA27" s="71">
        <f ca="1">IF(""=IFERROR(INDEX(INDIRECT("Data!C"&amp;$AL$4,FALSE),MATCH(AR27,Data!$A:$A,0)),$AU$6),$AU$8,IFERROR(INDEX(INDIRECT("Data!C"&amp;$AL$4,FALSE),MATCH(AR27,Data!$A:$A,0)),$AU$6))</f>
        <v>70</v>
      </c>
      <c r="BB27" s="88">
        <f t="shared" ca="1" si="25"/>
        <v>233.85714285714286</v>
      </c>
      <c r="BD27" s="34">
        <f t="shared" si="31"/>
        <v>41679</v>
      </c>
      <c r="BE27" s="34">
        <f t="shared" si="26"/>
        <v>41680</v>
      </c>
      <c r="BF27" s="34">
        <f t="shared" si="19"/>
        <v>41681</v>
      </c>
      <c r="BG27" s="34">
        <f t="shared" si="19"/>
        <v>41682</v>
      </c>
      <c r="BH27" s="34">
        <f t="shared" si="19"/>
        <v>41683</v>
      </c>
      <c r="BI27" s="34">
        <f t="shared" si="19"/>
        <v>41684</v>
      </c>
      <c r="BJ27" s="34">
        <f t="shared" si="19"/>
        <v>41685</v>
      </c>
      <c r="BL27" s="82" t="str">
        <f t="array" ref="BL27">IFERROR(IF(MATCH(8,DAY(BD27:BJ27),0),BJ27,""),"")</f>
        <v/>
      </c>
      <c r="BM27" s="71">
        <f ca="1">IF(""=IFERROR(INDEX(INDIRECT("Data!C"&amp;$BD$4,FALSE),MATCH(BD27,Data!$A:$A,0)),$BM$6),$BM$8,IFERROR(INDEX(INDIRECT("Data!C"&amp;$BD$4,FALSE),MATCH(BD27,Data!$A:$A,0)),$BM$6))</f>
        <v>30</v>
      </c>
      <c r="BN27" s="71">
        <f ca="1">IF(""=IFERROR(INDEX(INDIRECT("Data!C"&amp;$BD$4,FALSE),MATCH(BE27,Data!$A:$A,0)),$BM$6),$BM$8,IFERROR(INDEX(INDIRECT("Data!C"&amp;$BD$4,FALSE),MATCH(BE27,Data!$A:$A,0)),$BM$6))</f>
        <v>413</v>
      </c>
      <c r="BO27" s="71">
        <f ca="1">IF(""=IFERROR(INDEX(INDIRECT("Data!C"&amp;$BD$4,FALSE),MATCH(BF27,Data!$A:$A,0)),$BM$6),$BM$8,IFERROR(INDEX(INDIRECT("Data!C"&amp;$BD$4,FALSE),MATCH(BF27,Data!$A:$A,0)),$BM$6))</f>
        <v>410</v>
      </c>
      <c r="BP27" s="71">
        <f ca="1">IF(""=IFERROR(INDEX(INDIRECT("Data!C"&amp;$BD$4,FALSE),MATCH(BG27,Data!$A:$A,0)),$BM$6),$BM$8,IFERROR(INDEX(INDIRECT("Data!C"&amp;$BD$4,FALSE),MATCH(BG27,Data!$A:$A,0)),$BM$6))</f>
        <v>271</v>
      </c>
      <c r="BQ27" s="71">
        <f ca="1">IF(""=IFERROR(INDEX(INDIRECT("Data!C"&amp;$BD$4,FALSE),MATCH(BH27,Data!$A:$A,0)),$BM$6),$BM$8,IFERROR(INDEX(INDIRECT("Data!C"&amp;$BD$4,FALSE),MATCH(BH27,Data!$A:$A,0)),$BM$6))</f>
        <v>207</v>
      </c>
      <c r="BR27" s="71">
        <f ca="1">IF(""=IFERROR(INDEX(INDIRECT("Data!C"&amp;$BD$4,FALSE),MATCH(BI27,Data!$A:$A,0)),$BM$6),$BM$8,IFERROR(INDEX(INDIRECT("Data!C"&amp;$BD$4,FALSE),MATCH(BI27,Data!$A:$A,0)),$BM$6))</f>
        <v>236</v>
      </c>
      <c r="BS27" s="71">
        <f ca="1">IF(""=IFERROR(INDEX(INDIRECT("Data!C"&amp;$BD$4,FALSE),MATCH(BJ27,Data!$A:$A,0)),$BM$6),$BM$8,IFERROR(INDEX(INDIRECT("Data!C"&amp;$BD$4,FALSE),MATCH(BJ27,Data!$A:$A,0)),$BM$6))</f>
        <v>70</v>
      </c>
      <c r="BT27" s="88">
        <f t="shared" ca="1" si="27"/>
        <v>233.85714285714286</v>
      </c>
      <c r="BV27" s="96" t="s">
        <v>72</v>
      </c>
    </row>
    <row r="28" spans="1:81" ht="12" customHeight="1" x14ac:dyDescent="0.2">
      <c r="B28" s="34">
        <f t="shared" si="28"/>
        <v>41686</v>
      </c>
      <c r="C28" s="34">
        <f t="shared" si="20"/>
        <v>41687</v>
      </c>
      <c r="D28" s="34">
        <f t="shared" si="20"/>
        <v>41688</v>
      </c>
      <c r="E28" s="34">
        <f t="shared" si="20"/>
        <v>41689</v>
      </c>
      <c r="F28" s="34">
        <f t="shared" si="20"/>
        <v>41690</v>
      </c>
      <c r="G28" s="34">
        <f t="shared" si="20"/>
        <v>41691</v>
      </c>
      <c r="H28" s="34">
        <f t="shared" si="20"/>
        <v>41692</v>
      </c>
      <c r="J28" s="82" t="str">
        <f t="array" ref="J28">IFERROR(IF(MATCH(8,DAY(B28:H28),0),H28,""),"")</f>
        <v/>
      </c>
      <c r="K28" s="71">
        <f ca="1">IF(""=IFERROR(INDEX(INDIRECT("Data!C"&amp;$B$4,FALSE),MATCH(B28,Data!$A:$A,0)),$K$6),$K$8,IFERROR(INDEX(INDIRECT("Data!C"&amp;$B$4,FALSE),MATCH(B28,Data!$A:$A,0)),$K$6))</f>
        <v>48</v>
      </c>
      <c r="L28" s="71">
        <f ca="1">IF(""=IFERROR(INDEX(INDIRECT("Data!C"&amp;$B$4,FALSE),MATCH(C28,Data!$A:$A,0)),$K$6),$K$8,IFERROR(INDEX(INDIRECT("Data!C"&amp;$B$4,FALSE),MATCH(C28,Data!$A:$A,0)),$K$6))</f>
        <v>401</v>
      </c>
      <c r="M28" s="71">
        <f ca="1">IF(""=IFERROR(INDEX(INDIRECT("Data!C"&amp;$B$4,FALSE),MATCH(D28,Data!$A:$A,0)),$K$6),$K$8,IFERROR(INDEX(INDIRECT("Data!C"&amp;$B$4,FALSE),MATCH(D28,Data!$A:$A,0)),$K$6))</f>
        <v>300</v>
      </c>
      <c r="N28" s="71">
        <f ca="1">IF(""=IFERROR(INDEX(INDIRECT("Data!C"&amp;$B$4,FALSE),MATCH(E28,Data!$A:$A,0)),$K$6),$K$8,IFERROR(INDEX(INDIRECT("Data!C"&amp;$B$4,FALSE),MATCH(E28,Data!$A:$A,0)),$K$6))</f>
        <v>285</v>
      </c>
      <c r="O28" s="71">
        <f ca="1">IF(""=IFERROR(INDEX(INDIRECT("Data!C"&amp;$B$4,FALSE),MATCH(F28,Data!$A:$A,0)),$K$6),$K$8,IFERROR(INDEX(INDIRECT("Data!C"&amp;$B$4,FALSE),MATCH(F28,Data!$A:$A,0)),$K$6))</f>
        <v>247</v>
      </c>
      <c r="P28" s="71">
        <f ca="1">IF(""=IFERROR(INDEX(INDIRECT("Data!C"&amp;$B$4,FALSE),MATCH(G28,Data!$A:$A,0)),$K$6),$K$8,IFERROR(INDEX(INDIRECT("Data!C"&amp;$B$4,FALSE),MATCH(G28,Data!$A:$A,0)),$K$6))</f>
        <v>292</v>
      </c>
      <c r="Q28" s="71">
        <f ca="1">IF(""=IFERROR(INDEX(INDIRECT("Data!C"&amp;$B$4,FALSE),MATCH(H28,Data!$A:$A,0)),$K$6),$K$8,IFERROR(INDEX(INDIRECT("Data!C"&amp;$B$4,FALSE),MATCH(H28,Data!$A:$A,0)),$K$6))</f>
        <v>66</v>
      </c>
      <c r="R28" s="88">
        <f t="shared" ca="1" si="21"/>
        <v>234.14285714285714</v>
      </c>
      <c r="T28" s="34">
        <f t="shared" si="29"/>
        <v>41686</v>
      </c>
      <c r="U28" s="34">
        <f t="shared" si="22"/>
        <v>41687</v>
      </c>
      <c r="V28" s="34">
        <f t="shared" si="17"/>
        <v>41688</v>
      </c>
      <c r="W28" s="34">
        <f t="shared" si="17"/>
        <v>41689</v>
      </c>
      <c r="X28" s="34">
        <f t="shared" si="17"/>
        <v>41690</v>
      </c>
      <c r="Y28" s="34">
        <f t="shared" si="17"/>
        <v>41691</v>
      </c>
      <c r="Z28" s="34">
        <f t="shared" si="17"/>
        <v>41692</v>
      </c>
      <c r="AB28" s="82" t="str">
        <f t="array" ref="AB28">IFERROR(IF(MATCH(8,DAY(T28:Z28),0),Z28,""),"")</f>
        <v/>
      </c>
      <c r="AC28" s="71">
        <f ca="1">IF(""=IFERROR(INDEX(INDIRECT("Data!C"&amp;$T$4,FALSE),MATCH(T28,Data!$A:$A,0)),$AC$6),$AC$8,IFERROR(INDEX(INDIRECT("Data!C"&amp;$T$4,FALSE),MATCH(T28,Data!$A:$A,0)),$AC$6))</f>
        <v>48</v>
      </c>
      <c r="AD28" s="71">
        <f ca="1">IF(""=IFERROR(INDEX(INDIRECT("Data!C"&amp;$T$4,FALSE),MATCH(U28,Data!$A:$A,0)),$AC$6),$AC$8,IFERROR(INDEX(INDIRECT("Data!C"&amp;$T$4,FALSE),MATCH(U28,Data!$A:$A,0)),$AC$6))</f>
        <v>401</v>
      </c>
      <c r="AE28" s="71">
        <f ca="1">IF(""=IFERROR(INDEX(INDIRECT("Data!C"&amp;$T$4,FALSE),MATCH(V28,Data!$A:$A,0)),$AC$6),$AC$8,IFERROR(INDEX(INDIRECT("Data!C"&amp;$T$4,FALSE),MATCH(V28,Data!$A:$A,0)),$AC$6))</f>
        <v>300</v>
      </c>
      <c r="AF28" s="71">
        <f ca="1">IF(""=IFERROR(INDEX(INDIRECT("Data!C"&amp;$T$4,FALSE),MATCH(W28,Data!$A:$A,0)),$AC$6),$AC$8,IFERROR(INDEX(INDIRECT("Data!C"&amp;$T$4,FALSE),MATCH(W28,Data!$A:$A,0)),$AC$6))</f>
        <v>285</v>
      </c>
      <c r="AG28" s="71">
        <f ca="1">IF(""=IFERROR(INDEX(INDIRECT("Data!C"&amp;$T$4,FALSE),MATCH(X28,Data!$A:$A,0)),$AC$6),$AC$8,IFERROR(INDEX(INDIRECT("Data!C"&amp;$T$4,FALSE),MATCH(X28,Data!$A:$A,0)),$AC$6))</f>
        <v>247</v>
      </c>
      <c r="AH28" s="71">
        <f ca="1">IF(""=IFERROR(INDEX(INDIRECT("Data!C"&amp;$T$4,FALSE),MATCH(Y28,Data!$A:$A,0)),$AC$6),$AC$8,IFERROR(INDEX(INDIRECT("Data!C"&amp;$T$4,FALSE),MATCH(Y28,Data!$A:$A,0)),$AC$6))</f>
        <v>292</v>
      </c>
      <c r="AI28" s="71">
        <f ca="1">IF(""=IFERROR(INDEX(INDIRECT("Data!C"&amp;$T$4,FALSE),MATCH(Z28,Data!$A:$A,0)),$AC$6),$AC$8,IFERROR(INDEX(INDIRECT("Data!C"&amp;$T$4,FALSE),MATCH(Z28,Data!$A:$A,0)),$AC$6))</f>
        <v>66</v>
      </c>
      <c r="AJ28" s="88">
        <f t="shared" ca="1" si="23"/>
        <v>234.14285714285714</v>
      </c>
      <c r="AL28" s="34">
        <f t="shared" si="30"/>
        <v>41686</v>
      </c>
      <c r="AM28" s="34">
        <f t="shared" si="24"/>
        <v>41687</v>
      </c>
      <c r="AN28" s="34">
        <f t="shared" si="18"/>
        <v>41688</v>
      </c>
      <c r="AO28" s="34">
        <f t="shared" si="18"/>
        <v>41689</v>
      </c>
      <c r="AP28" s="34">
        <f t="shared" si="18"/>
        <v>41690</v>
      </c>
      <c r="AQ28" s="34">
        <f t="shared" si="18"/>
        <v>41691</v>
      </c>
      <c r="AR28" s="34">
        <f t="shared" si="18"/>
        <v>41692</v>
      </c>
      <c r="AT28" s="82" t="str">
        <f t="array" ref="AT28">IFERROR(IF(MATCH(8,DAY(AL28:AR28),0),AR28,""),"")</f>
        <v/>
      </c>
      <c r="AU28" s="71">
        <f ca="1">IF(""=IFERROR(INDEX(INDIRECT("Data!C"&amp;$AL$4,FALSE),MATCH(AL28,Data!$A:$A,0)),$AU$6),$AU$8,IFERROR(INDEX(INDIRECT("Data!C"&amp;$AL$4,FALSE),MATCH(AL28,Data!$A:$A,0)),$AU$6))</f>
        <v>48</v>
      </c>
      <c r="AV28" s="71">
        <f ca="1">IF(""=IFERROR(INDEX(INDIRECT("Data!C"&amp;$AL$4,FALSE),MATCH(AM28,Data!$A:$A,0)),$AU$6),$AU$8,IFERROR(INDEX(INDIRECT("Data!C"&amp;$AL$4,FALSE),MATCH(AM28,Data!$A:$A,0)),$AU$6))</f>
        <v>401</v>
      </c>
      <c r="AW28" s="71">
        <f ca="1">IF(""=IFERROR(INDEX(INDIRECT("Data!C"&amp;$AL$4,FALSE),MATCH(AN28,Data!$A:$A,0)),$AU$6),$AU$8,IFERROR(INDEX(INDIRECT("Data!C"&amp;$AL$4,FALSE),MATCH(AN28,Data!$A:$A,0)),$AU$6))</f>
        <v>300</v>
      </c>
      <c r="AX28" s="71">
        <f ca="1">IF(""=IFERROR(INDEX(INDIRECT("Data!C"&amp;$AL$4,FALSE),MATCH(AO28,Data!$A:$A,0)),$AU$6),$AU$8,IFERROR(INDEX(INDIRECT("Data!C"&amp;$AL$4,FALSE),MATCH(AO28,Data!$A:$A,0)),$AU$6))</f>
        <v>285</v>
      </c>
      <c r="AY28" s="71">
        <f ca="1">IF(""=IFERROR(INDEX(INDIRECT("Data!C"&amp;$AL$4,FALSE),MATCH(AP28,Data!$A:$A,0)),$AU$6),$AU$8,IFERROR(INDEX(INDIRECT("Data!C"&amp;$AL$4,FALSE),MATCH(AP28,Data!$A:$A,0)),$AU$6))</f>
        <v>247</v>
      </c>
      <c r="AZ28" s="71">
        <f ca="1">IF(""=IFERROR(INDEX(INDIRECT("Data!C"&amp;$AL$4,FALSE),MATCH(AQ28,Data!$A:$A,0)),$AU$6),$AU$8,IFERROR(INDEX(INDIRECT("Data!C"&amp;$AL$4,FALSE),MATCH(AQ28,Data!$A:$A,0)),$AU$6))</f>
        <v>292</v>
      </c>
      <c r="BA28" s="71">
        <f ca="1">IF(""=IFERROR(INDEX(INDIRECT("Data!C"&amp;$AL$4,FALSE),MATCH(AR28,Data!$A:$A,0)),$AU$6),$AU$8,IFERROR(INDEX(INDIRECT("Data!C"&amp;$AL$4,FALSE),MATCH(AR28,Data!$A:$A,0)),$AU$6))</f>
        <v>66</v>
      </c>
      <c r="BB28" s="88">
        <f t="shared" ca="1" si="25"/>
        <v>234.14285714285714</v>
      </c>
      <c r="BD28" s="34">
        <f t="shared" si="31"/>
        <v>41686</v>
      </c>
      <c r="BE28" s="34">
        <f t="shared" si="26"/>
        <v>41687</v>
      </c>
      <c r="BF28" s="34">
        <f t="shared" si="19"/>
        <v>41688</v>
      </c>
      <c r="BG28" s="34">
        <f t="shared" si="19"/>
        <v>41689</v>
      </c>
      <c r="BH28" s="34">
        <f t="shared" si="19"/>
        <v>41690</v>
      </c>
      <c r="BI28" s="34">
        <f t="shared" si="19"/>
        <v>41691</v>
      </c>
      <c r="BJ28" s="34">
        <f t="shared" si="19"/>
        <v>41692</v>
      </c>
      <c r="BL28" s="82" t="str">
        <f t="array" ref="BL28">IFERROR(IF(MATCH(8,DAY(BD28:BJ28),0),BJ28,""),"")</f>
        <v/>
      </c>
      <c r="BM28" s="71">
        <f ca="1">IF(""=IFERROR(INDEX(INDIRECT("Data!C"&amp;$BD$4,FALSE),MATCH(BD28,Data!$A:$A,0)),$BM$6),$BM$8,IFERROR(INDEX(INDIRECT("Data!C"&amp;$BD$4,FALSE),MATCH(BD28,Data!$A:$A,0)),$BM$6))</f>
        <v>48</v>
      </c>
      <c r="BN28" s="71">
        <f ca="1">IF(""=IFERROR(INDEX(INDIRECT("Data!C"&amp;$BD$4,FALSE),MATCH(BE28,Data!$A:$A,0)),$BM$6),$BM$8,IFERROR(INDEX(INDIRECT("Data!C"&amp;$BD$4,FALSE),MATCH(BE28,Data!$A:$A,0)),$BM$6))</f>
        <v>401</v>
      </c>
      <c r="BO28" s="71">
        <f ca="1">IF(""=IFERROR(INDEX(INDIRECT("Data!C"&amp;$BD$4,FALSE),MATCH(BF28,Data!$A:$A,0)),$BM$6),$BM$8,IFERROR(INDEX(INDIRECT("Data!C"&amp;$BD$4,FALSE),MATCH(BF28,Data!$A:$A,0)),$BM$6))</f>
        <v>300</v>
      </c>
      <c r="BP28" s="71">
        <f ca="1">IF(""=IFERROR(INDEX(INDIRECT("Data!C"&amp;$BD$4,FALSE),MATCH(BG28,Data!$A:$A,0)),$BM$6),$BM$8,IFERROR(INDEX(INDIRECT("Data!C"&amp;$BD$4,FALSE),MATCH(BG28,Data!$A:$A,0)),$BM$6))</f>
        <v>285</v>
      </c>
      <c r="BQ28" s="71">
        <f ca="1">IF(""=IFERROR(INDEX(INDIRECT("Data!C"&amp;$BD$4,FALSE),MATCH(BH28,Data!$A:$A,0)),$BM$6),$BM$8,IFERROR(INDEX(INDIRECT("Data!C"&amp;$BD$4,FALSE),MATCH(BH28,Data!$A:$A,0)),$BM$6))</f>
        <v>247</v>
      </c>
      <c r="BR28" s="71">
        <f ca="1">IF(""=IFERROR(INDEX(INDIRECT("Data!C"&amp;$BD$4,FALSE),MATCH(BI28,Data!$A:$A,0)),$BM$6),$BM$8,IFERROR(INDEX(INDIRECT("Data!C"&amp;$BD$4,FALSE),MATCH(BI28,Data!$A:$A,0)),$BM$6))</f>
        <v>292</v>
      </c>
      <c r="BS28" s="71">
        <f ca="1">IF(""=IFERROR(INDEX(INDIRECT("Data!C"&amp;$BD$4,FALSE),MATCH(BJ28,Data!$A:$A,0)),$BM$6),$BM$8,IFERROR(INDEX(INDIRECT("Data!C"&amp;$BD$4,FALSE),MATCH(BJ28,Data!$A:$A,0)),$BM$6))</f>
        <v>66</v>
      </c>
      <c r="BT28" s="88">
        <f t="shared" ca="1" si="27"/>
        <v>234.14285714285714</v>
      </c>
      <c r="BV28" s="96" t="s">
        <v>73</v>
      </c>
      <c r="BY28" s="1"/>
    </row>
    <row r="29" spans="1:81" ht="12" customHeight="1" x14ac:dyDescent="0.2">
      <c r="B29" s="34">
        <f t="shared" si="28"/>
        <v>41693</v>
      </c>
      <c r="C29" s="34">
        <f t="shared" si="20"/>
        <v>41694</v>
      </c>
      <c r="D29" s="34">
        <f t="shared" si="20"/>
        <v>41695</v>
      </c>
      <c r="E29" s="34">
        <f t="shared" si="20"/>
        <v>41696</v>
      </c>
      <c r="F29" s="34">
        <f t="shared" si="20"/>
        <v>41697</v>
      </c>
      <c r="G29" s="34">
        <f t="shared" si="20"/>
        <v>41698</v>
      </c>
      <c r="H29" s="34">
        <f t="shared" si="20"/>
        <v>41699</v>
      </c>
      <c r="J29" s="82" t="str">
        <f t="array" ref="J29">IFERROR(IF(MATCH(8,DAY(B29:H29),0),H29,""),"")</f>
        <v/>
      </c>
      <c r="K29" s="71">
        <f ca="1">IF(""=IFERROR(INDEX(INDIRECT("Data!C"&amp;$B$4,FALSE),MATCH(B29,Data!$A:$A,0)),$K$6),$K$8,IFERROR(INDEX(INDIRECT("Data!C"&amp;$B$4,FALSE),MATCH(B29,Data!$A:$A,0)),$K$6))</f>
        <v>42</v>
      </c>
      <c r="L29" s="71">
        <f ca="1">IF(""=IFERROR(INDEX(INDIRECT("Data!C"&amp;$B$4,FALSE),MATCH(C29,Data!$A:$A,0)),$K$6),$K$8,IFERROR(INDEX(INDIRECT("Data!C"&amp;$B$4,FALSE),MATCH(C29,Data!$A:$A,0)),$K$6))</f>
        <v>458</v>
      </c>
      <c r="M29" s="71">
        <f ca="1">IF(""=IFERROR(INDEX(INDIRECT("Data!C"&amp;$B$4,FALSE),MATCH(D29,Data!$A:$A,0)),$K$6),$K$8,IFERROR(INDEX(INDIRECT("Data!C"&amp;$B$4,FALSE),MATCH(D29,Data!$A:$A,0)),$K$6))</f>
        <v>369</v>
      </c>
      <c r="N29" s="71">
        <f ca="1">IF(""=IFERROR(INDEX(INDIRECT("Data!C"&amp;$B$4,FALSE),MATCH(E29,Data!$A:$A,0)),$K$6),$K$8,IFERROR(INDEX(INDIRECT("Data!C"&amp;$B$4,FALSE),MATCH(E29,Data!$A:$A,0)),$K$6))</f>
        <v>336</v>
      </c>
      <c r="O29" s="71">
        <f ca="1">IF(""=IFERROR(INDEX(INDIRECT("Data!C"&amp;$B$4,FALSE),MATCH(F29,Data!$A:$A,0)),$K$6),$K$8,IFERROR(INDEX(INDIRECT("Data!C"&amp;$B$4,FALSE),MATCH(F29,Data!$A:$A,0)),$K$6))</f>
        <v>285</v>
      </c>
      <c r="P29" s="71">
        <f ca="1">IF(""=IFERROR(INDEX(INDIRECT("Data!C"&amp;$B$4,FALSE),MATCH(G29,Data!$A:$A,0)),$K$6),$K$8,IFERROR(INDEX(INDIRECT("Data!C"&amp;$B$4,FALSE),MATCH(G29,Data!$A:$A,0)),$K$6))</f>
        <v>255</v>
      </c>
      <c r="Q29" s="71">
        <f ca="1">IF(""=IFERROR(INDEX(INDIRECT("Data!C"&amp;$B$4,FALSE),MATCH(H29,Data!$A:$A,0)),$K$6),$K$8,IFERROR(INDEX(INDIRECT("Data!C"&amp;$B$4,FALSE),MATCH(H29,Data!$A:$A,0)),$K$6))</f>
        <v>63</v>
      </c>
      <c r="R29" s="88">
        <f t="shared" ca="1" si="21"/>
        <v>258.28571428571428</v>
      </c>
      <c r="T29" s="34">
        <f t="shared" si="29"/>
        <v>41693</v>
      </c>
      <c r="U29" s="34">
        <f t="shared" si="22"/>
        <v>41694</v>
      </c>
      <c r="V29" s="34">
        <f t="shared" si="17"/>
        <v>41695</v>
      </c>
      <c r="W29" s="34">
        <f t="shared" si="17"/>
        <v>41696</v>
      </c>
      <c r="X29" s="34">
        <f t="shared" si="17"/>
        <v>41697</v>
      </c>
      <c r="Y29" s="34">
        <f t="shared" si="17"/>
        <v>41698</v>
      </c>
      <c r="Z29" s="34">
        <f t="shared" si="17"/>
        <v>41699</v>
      </c>
      <c r="AB29" s="82" t="str">
        <f t="array" ref="AB29">IFERROR(IF(MATCH(8,DAY(T29:Z29),0),Z29,""),"")</f>
        <v/>
      </c>
      <c r="AC29" s="71">
        <f ca="1">IF(""=IFERROR(INDEX(INDIRECT("Data!C"&amp;$T$4,FALSE),MATCH(T29,Data!$A:$A,0)),$AC$6),$AC$8,IFERROR(INDEX(INDIRECT("Data!C"&amp;$T$4,FALSE),MATCH(T29,Data!$A:$A,0)),$AC$6))</f>
        <v>42</v>
      </c>
      <c r="AD29" s="71">
        <f ca="1">IF(""=IFERROR(INDEX(INDIRECT("Data!C"&amp;$T$4,FALSE),MATCH(U29,Data!$A:$A,0)),$AC$6),$AC$8,IFERROR(INDEX(INDIRECT("Data!C"&amp;$T$4,FALSE),MATCH(U29,Data!$A:$A,0)),$AC$6))</f>
        <v>458</v>
      </c>
      <c r="AE29" s="71">
        <f ca="1">IF(""=IFERROR(INDEX(INDIRECT("Data!C"&amp;$T$4,FALSE),MATCH(V29,Data!$A:$A,0)),$AC$6),$AC$8,IFERROR(INDEX(INDIRECT("Data!C"&amp;$T$4,FALSE),MATCH(V29,Data!$A:$A,0)),$AC$6))</f>
        <v>369</v>
      </c>
      <c r="AF29" s="71">
        <f ca="1">IF(""=IFERROR(INDEX(INDIRECT("Data!C"&amp;$T$4,FALSE),MATCH(W29,Data!$A:$A,0)),$AC$6),$AC$8,IFERROR(INDEX(INDIRECT("Data!C"&amp;$T$4,FALSE),MATCH(W29,Data!$A:$A,0)),$AC$6))</f>
        <v>336</v>
      </c>
      <c r="AG29" s="71">
        <f ca="1">IF(""=IFERROR(INDEX(INDIRECT("Data!C"&amp;$T$4,FALSE),MATCH(X29,Data!$A:$A,0)),$AC$6),$AC$8,IFERROR(INDEX(INDIRECT("Data!C"&amp;$T$4,FALSE),MATCH(X29,Data!$A:$A,0)),$AC$6))</f>
        <v>285</v>
      </c>
      <c r="AH29" s="71">
        <f ca="1">IF(""=IFERROR(INDEX(INDIRECT("Data!C"&amp;$T$4,FALSE),MATCH(Y29,Data!$A:$A,0)),$AC$6),$AC$8,IFERROR(INDEX(INDIRECT("Data!C"&amp;$T$4,FALSE),MATCH(Y29,Data!$A:$A,0)),$AC$6))</f>
        <v>255</v>
      </c>
      <c r="AI29" s="71">
        <f ca="1">IF(""=IFERROR(INDEX(INDIRECT("Data!C"&amp;$T$4,FALSE),MATCH(Z29,Data!$A:$A,0)),$AC$6),$AC$8,IFERROR(INDEX(INDIRECT("Data!C"&amp;$T$4,FALSE),MATCH(Z29,Data!$A:$A,0)),$AC$6))</f>
        <v>63</v>
      </c>
      <c r="AJ29" s="88">
        <f t="shared" ca="1" si="23"/>
        <v>258.28571428571428</v>
      </c>
      <c r="AL29" s="34">
        <f t="shared" si="30"/>
        <v>41693</v>
      </c>
      <c r="AM29" s="34">
        <f t="shared" si="24"/>
        <v>41694</v>
      </c>
      <c r="AN29" s="34">
        <f t="shared" si="18"/>
        <v>41695</v>
      </c>
      <c r="AO29" s="34">
        <f t="shared" si="18"/>
        <v>41696</v>
      </c>
      <c r="AP29" s="34">
        <f t="shared" si="18"/>
        <v>41697</v>
      </c>
      <c r="AQ29" s="34">
        <f t="shared" si="18"/>
        <v>41698</v>
      </c>
      <c r="AR29" s="34">
        <f t="shared" si="18"/>
        <v>41699</v>
      </c>
      <c r="AT29" s="82" t="str">
        <f t="array" ref="AT29">IFERROR(IF(MATCH(8,DAY(AL29:AR29),0),AR29,""),"")</f>
        <v/>
      </c>
      <c r="AU29" s="71">
        <f ca="1">IF(""=IFERROR(INDEX(INDIRECT("Data!C"&amp;$AL$4,FALSE),MATCH(AL29,Data!$A:$A,0)),$AU$6),$AU$8,IFERROR(INDEX(INDIRECT("Data!C"&amp;$AL$4,FALSE),MATCH(AL29,Data!$A:$A,0)),$AU$6))</f>
        <v>42</v>
      </c>
      <c r="AV29" s="71">
        <f ca="1">IF(""=IFERROR(INDEX(INDIRECT("Data!C"&amp;$AL$4,FALSE),MATCH(AM29,Data!$A:$A,0)),$AU$6),$AU$8,IFERROR(INDEX(INDIRECT("Data!C"&amp;$AL$4,FALSE),MATCH(AM29,Data!$A:$A,0)),$AU$6))</f>
        <v>458</v>
      </c>
      <c r="AW29" s="71">
        <f ca="1">IF(""=IFERROR(INDEX(INDIRECT("Data!C"&amp;$AL$4,FALSE),MATCH(AN29,Data!$A:$A,0)),$AU$6),$AU$8,IFERROR(INDEX(INDIRECT("Data!C"&amp;$AL$4,FALSE),MATCH(AN29,Data!$A:$A,0)),$AU$6))</f>
        <v>369</v>
      </c>
      <c r="AX29" s="71">
        <f ca="1">IF(""=IFERROR(INDEX(INDIRECT("Data!C"&amp;$AL$4,FALSE),MATCH(AO29,Data!$A:$A,0)),$AU$6),$AU$8,IFERROR(INDEX(INDIRECT("Data!C"&amp;$AL$4,FALSE),MATCH(AO29,Data!$A:$A,0)),$AU$6))</f>
        <v>336</v>
      </c>
      <c r="AY29" s="71">
        <f ca="1">IF(""=IFERROR(INDEX(INDIRECT("Data!C"&amp;$AL$4,FALSE),MATCH(AP29,Data!$A:$A,0)),$AU$6),$AU$8,IFERROR(INDEX(INDIRECT("Data!C"&amp;$AL$4,FALSE),MATCH(AP29,Data!$A:$A,0)),$AU$6))</f>
        <v>285</v>
      </c>
      <c r="AZ29" s="71">
        <f ca="1">IF(""=IFERROR(INDEX(INDIRECT("Data!C"&amp;$AL$4,FALSE),MATCH(AQ29,Data!$A:$A,0)),$AU$6),$AU$8,IFERROR(INDEX(INDIRECT("Data!C"&amp;$AL$4,FALSE),MATCH(AQ29,Data!$A:$A,0)),$AU$6))</f>
        <v>255</v>
      </c>
      <c r="BA29" s="71">
        <f ca="1">IF(""=IFERROR(INDEX(INDIRECT("Data!C"&amp;$AL$4,FALSE),MATCH(AR29,Data!$A:$A,0)),$AU$6),$AU$8,IFERROR(INDEX(INDIRECT("Data!C"&amp;$AL$4,FALSE),MATCH(AR29,Data!$A:$A,0)),$AU$6))</f>
        <v>63</v>
      </c>
      <c r="BB29" s="88">
        <f t="shared" ca="1" si="25"/>
        <v>258.28571428571428</v>
      </c>
      <c r="BD29" s="34">
        <f t="shared" si="31"/>
        <v>41693</v>
      </c>
      <c r="BE29" s="34">
        <f t="shared" si="26"/>
        <v>41694</v>
      </c>
      <c r="BF29" s="34">
        <f t="shared" si="19"/>
        <v>41695</v>
      </c>
      <c r="BG29" s="34">
        <f t="shared" si="19"/>
        <v>41696</v>
      </c>
      <c r="BH29" s="34">
        <f t="shared" si="19"/>
        <v>41697</v>
      </c>
      <c r="BI29" s="34">
        <f t="shared" si="19"/>
        <v>41698</v>
      </c>
      <c r="BJ29" s="34">
        <f t="shared" si="19"/>
        <v>41699</v>
      </c>
      <c r="BL29" s="82" t="str">
        <f t="array" ref="BL29">IFERROR(IF(MATCH(8,DAY(BD29:BJ29),0),BJ29,""),"")</f>
        <v/>
      </c>
      <c r="BM29" s="71">
        <f ca="1">IF(""=IFERROR(INDEX(INDIRECT("Data!C"&amp;$BD$4,FALSE),MATCH(BD29,Data!$A:$A,0)),$BM$6),$BM$8,IFERROR(INDEX(INDIRECT("Data!C"&amp;$BD$4,FALSE),MATCH(BD29,Data!$A:$A,0)),$BM$6))</f>
        <v>42</v>
      </c>
      <c r="BN29" s="71">
        <f ca="1">IF(""=IFERROR(INDEX(INDIRECT("Data!C"&amp;$BD$4,FALSE),MATCH(BE29,Data!$A:$A,0)),$BM$6),$BM$8,IFERROR(INDEX(INDIRECT("Data!C"&amp;$BD$4,FALSE),MATCH(BE29,Data!$A:$A,0)),$BM$6))</f>
        <v>458</v>
      </c>
      <c r="BO29" s="71">
        <f ca="1">IF(""=IFERROR(INDEX(INDIRECT("Data!C"&amp;$BD$4,FALSE),MATCH(BF29,Data!$A:$A,0)),$BM$6),$BM$8,IFERROR(INDEX(INDIRECT("Data!C"&amp;$BD$4,FALSE),MATCH(BF29,Data!$A:$A,0)),$BM$6))</f>
        <v>369</v>
      </c>
      <c r="BP29" s="71">
        <f ca="1">IF(""=IFERROR(INDEX(INDIRECT("Data!C"&amp;$BD$4,FALSE),MATCH(BG29,Data!$A:$A,0)),$BM$6),$BM$8,IFERROR(INDEX(INDIRECT("Data!C"&amp;$BD$4,FALSE),MATCH(BG29,Data!$A:$A,0)),$BM$6))</f>
        <v>336</v>
      </c>
      <c r="BQ29" s="71">
        <f ca="1">IF(""=IFERROR(INDEX(INDIRECT("Data!C"&amp;$BD$4,FALSE),MATCH(BH29,Data!$A:$A,0)),$BM$6),$BM$8,IFERROR(INDEX(INDIRECT("Data!C"&amp;$BD$4,FALSE),MATCH(BH29,Data!$A:$A,0)),$BM$6))</f>
        <v>285</v>
      </c>
      <c r="BR29" s="71">
        <f ca="1">IF(""=IFERROR(INDEX(INDIRECT("Data!C"&amp;$BD$4,FALSE),MATCH(BI29,Data!$A:$A,0)),$BM$6),$BM$8,IFERROR(INDEX(INDIRECT("Data!C"&amp;$BD$4,FALSE),MATCH(BI29,Data!$A:$A,0)),$BM$6))</f>
        <v>255</v>
      </c>
      <c r="BS29" s="71">
        <f ca="1">IF(""=IFERROR(INDEX(INDIRECT("Data!C"&amp;$BD$4,FALSE),MATCH(BJ29,Data!$A:$A,0)),$BM$6),$BM$8,IFERROR(INDEX(INDIRECT("Data!C"&amp;$BD$4,FALSE),MATCH(BJ29,Data!$A:$A,0)),$BM$6))</f>
        <v>63</v>
      </c>
      <c r="BT29" s="88">
        <f t="shared" ca="1" si="27"/>
        <v>258.28571428571428</v>
      </c>
      <c r="BV29" s="98" t="s">
        <v>74</v>
      </c>
    </row>
    <row r="30" spans="1:81" ht="12" customHeight="1" x14ac:dyDescent="0.2">
      <c r="B30" s="34">
        <f t="shared" si="28"/>
        <v>41700</v>
      </c>
      <c r="C30" s="34">
        <f t="shared" si="20"/>
        <v>41701</v>
      </c>
      <c r="D30" s="34">
        <f t="shared" si="20"/>
        <v>41702</v>
      </c>
      <c r="E30" s="34">
        <f t="shared" si="20"/>
        <v>41703</v>
      </c>
      <c r="F30" s="34">
        <f t="shared" si="20"/>
        <v>41704</v>
      </c>
      <c r="G30" s="34">
        <f t="shared" si="20"/>
        <v>41705</v>
      </c>
      <c r="H30" s="34">
        <f t="shared" si="20"/>
        <v>41706</v>
      </c>
      <c r="J30" s="82">
        <f t="array" ref="J30">IFERROR(IF(MATCH(8,DAY(B30:H30),0),H30,""),"")</f>
        <v>41706</v>
      </c>
      <c r="K30" s="71">
        <f ca="1">IF(""=IFERROR(INDEX(INDIRECT("Data!C"&amp;$B$4,FALSE),MATCH(B30,Data!$A:$A,0)),$K$6),$K$8,IFERROR(INDEX(INDIRECT("Data!C"&amp;$B$4,FALSE),MATCH(B30,Data!$A:$A,0)),$K$6))</f>
        <v>39</v>
      </c>
      <c r="L30" s="71">
        <f ca="1">IF(""=IFERROR(INDEX(INDIRECT("Data!C"&amp;$B$4,FALSE),MATCH(C30,Data!$A:$A,0)),$K$6),$K$8,IFERROR(INDEX(INDIRECT("Data!C"&amp;$B$4,FALSE),MATCH(C30,Data!$A:$A,0)),$K$6))</f>
        <v>391</v>
      </c>
      <c r="M30" s="71">
        <f ca="1">IF(""=IFERROR(INDEX(INDIRECT("Data!C"&amp;$B$4,FALSE),MATCH(D30,Data!$A:$A,0)),$K$6),$K$8,IFERROR(INDEX(INDIRECT("Data!C"&amp;$B$4,FALSE),MATCH(D30,Data!$A:$A,0)),$K$6))</f>
        <v>378</v>
      </c>
      <c r="N30" s="71">
        <f ca="1">IF(""=IFERROR(INDEX(INDIRECT("Data!C"&amp;$B$4,FALSE),MATCH(E30,Data!$A:$A,0)),$K$6),$K$8,IFERROR(INDEX(INDIRECT("Data!C"&amp;$B$4,FALSE),MATCH(E30,Data!$A:$A,0)),$K$6))</f>
        <v>317</v>
      </c>
      <c r="O30" s="71">
        <f ca="1">IF(""=IFERROR(INDEX(INDIRECT("Data!C"&amp;$B$4,FALSE),MATCH(F30,Data!$A:$A,0)),$K$6),$K$8,IFERROR(INDEX(INDIRECT("Data!C"&amp;$B$4,FALSE),MATCH(F30,Data!$A:$A,0)),$K$6))</f>
        <v>247</v>
      </c>
      <c r="P30" s="71">
        <f ca="1">IF(""=IFERROR(INDEX(INDIRECT("Data!C"&amp;$B$4,FALSE),MATCH(G30,Data!$A:$A,0)),$K$6),$K$8,IFERROR(INDEX(INDIRECT("Data!C"&amp;$B$4,FALSE),MATCH(G30,Data!$A:$A,0)),$K$6))</f>
        <v>162</v>
      </c>
      <c r="Q30" s="71">
        <f ca="1">IF(""=IFERROR(INDEX(INDIRECT("Data!C"&amp;$B$4,FALSE),MATCH(H30,Data!$A:$A,0)),$K$6),$K$8,IFERROR(INDEX(INDIRECT("Data!C"&amp;$B$4,FALSE),MATCH(H30,Data!$A:$A,0)),$K$6))</f>
        <v>67</v>
      </c>
      <c r="R30" s="88">
        <f t="shared" ca="1" si="21"/>
        <v>228.71428571428572</v>
      </c>
      <c r="T30" s="34">
        <f t="shared" si="29"/>
        <v>41700</v>
      </c>
      <c r="U30" s="34">
        <f t="shared" si="22"/>
        <v>41701</v>
      </c>
      <c r="V30" s="34">
        <f t="shared" si="17"/>
        <v>41702</v>
      </c>
      <c r="W30" s="34">
        <f t="shared" si="17"/>
        <v>41703</v>
      </c>
      <c r="X30" s="34">
        <f t="shared" si="17"/>
        <v>41704</v>
      </c>
      <c r="Y30" s="34">
        <f t="shared" si="17"/>
        <v>41705</v>
      </c>
      <c r="Z30" s="34">
        <f t="shared" si="17"/>
        <v>41706</v>
      </c>
      <c r="AB30" s="82">
        <f t="array" ref="AB30">IFERROR(IF(MATCH(8,DAY(T30:Z30),0),Z30,""),"")</f>
        <v>41706</v>
      </c>
      <c r="AC30" s="71">
        <f ca="1">IF(""=IFERROR(INDEX(INDIRECT("Data!C"&amp;$T$4,FALSE),MATCH(T30,Data!$A:$A,0)),$AC$6),$AC$8,IFERROR(INDEX(INDIRECT("Data!C"&amp;$T$4,FALSE),MATCH(T30,Data!$A:$A,0)),$AC$6))</f>
        <v>39</v>
      </c>
      <c r="AD30" s="71">
        <f ca="1">IF(""=IFERROR(INDEX(INDIRECT("Data!C"&amp;$T$4,FALSE),MATCH(U30,Data!$A:$A,0)),$AC$6),$AC$8,IFERROR(INDEX(INDIRECT("Data!C"&amp;$T$4,FALSE),MATCH(U30,Data!$A:$A,0)),$AC$6))</f>
        <v>391</v>
      </c>
      <c r="AE30" s="71">
        <f ca="1">IF(""=IFERROR(INDEX(INDIRECT("Data!C"&amp;$T$4,FALSE),MATCH(V30,Data!$A:$A,0)),$AC$6),$AC$8,IFERROR(INDEX(INDIRECT("Data!C"&amp;$T$4,FALSE),MATCH(V30,Data!$A:$A,0)),$AC$6))</f>
        <v>378</v>
      </c>
      <c r="AF30" s="71">
        <f ca="1">IF(""=IFERROR(INDEX(INDIRECT("Data!C"&amp;$T$4,FALSE),MATCH(W30,Data!$A:$A,0)),$AC$6),$AC$8,IFERROR(INDEX(INDIRECT("Data!C"&amp;$T$4,FALSE),MATCH(W30,Data!$A:$A,0)),$AC$6))</f>
        <v>317</v>
      </c>
      <c r="AG30" s="71">
        <f ca="1">IF(""=IFERROR(INDEX(INDIRECT("Data!C"&amp;$T$4,FALSE),MATCH(X30,Data!$A:$A,0)),$AC$6),$AC$8,IFERROR(INDEX(INDIRECT("Data!C"&amp;$T$4,FALSE),MATCH(X30,Data!$A:$A,0)),$AC$6))</f>
        <v>247</v>
      </c>
      <c r="AH30" s="71">
        <f ca="1">IF(""=IFERROR(INDEX(INDIRECT("Data!C"&amp;$T$4,FALSE),MATCH(Y30,Data!$A:$A,0)),$AC$6),$AC$8,IFERROR(INDEX(INDIRECT("Data!C"&amp;$T$4,FALSE),MATCH(Y30,Data!$A:$A,0)),$AC$6))</f>
        <v>162</v>
      </c>
      <c r="AI30" s="71">
        <f ca="1">IF(""=IFERROR(INDEX(INDIRECT("Data!C"&amp;$T$4,FALSE),MATCH(Z30,Data!$A:$A,0)),$AC$6),$AC$8,IFERROR(INDEX(INDIRECT("Data!C"&amp;$T$4,FALSE),MATCH(Z30,Data!$A:$A,0)),$AC$6))</f>
        <v>67</v>
      </c>
      <c r="AJ30" s="88">
        <f t="shared" ca="1" si="23"/>
        <v>228.71428571428572</v>
      </c>
      <c r="AL30" s="34">
        <f t="shared" si="30"/>
        <v>41700</v>
      </c>
      <c r="AM30" s="34">
        <f t="shared" si="24"/>
        <v>41701</v>
      </c>
      <c r="AN30" s="34">
        <f t="shared" si="18"/>
        <v>41702</v>
      </c>
      <c r="AO30" s="34">
        <f t="shared" si="18"/>
        <v>41703</v>
      </c>
      <c r="AP30" s="34">
        <f t="shared" si="18"/>
        <v>41704</v>
      </c>
      <c r="AQ30" s="34">
        <f t="shared" si="18"/>
        <v>41705</v>
      </c>
      <c r="AR30" s="34">
        <f t="shared" si="18"/>
        <v>41706</v>
      </c>
      <c r="AT30" s="82">
        <f t="array" ref="AT30">IFERROR(IF(MATCH(8,DAY(AL30:AR30),0),AR30,""),"")</f>
        <v>41706</v>
      </c>
      <c r="AU30" s="71">
        <f ca="1">IF(""=IFERROR(INDEX(INDIRECT("Data!C"&amp;$AL$4,FALSE),MATCH(AL30,Data!$A:$A,0)),$AU$6),$AU$8,IFERROR(INDEX(INDIRECT("Data!C"&amp;$AL$4,FALSE),MATCH(AL30,Data!$A:$A,0)),$AU$6))</f>
        <v>39</v>
      </c>
      <c r="AV30" s="71">
        <f ca="1">IF(""=IFERROR(INDEX(INDIRECT("Data!C"&amp;$AL$4,FALSE),MATCH(AM30,Data!$A:$A,0)),$AU$6),$AU$8,IFERROR(INDEX(INDIRECT("Data!C"&amp;$AL$4,FALSE),MATCH(AM30,Data!$A:$A,0)),$AU$6))</f>
        <v>391</v>
      </c>
      <c r="AW30" s="71">
        <f ca="1">IF(""=IFERROR(INDEX(INDIRECT("Data!C"&amp;$AL$4,FALSE),MATCH(AN30,Data!$A:$A,0)),$AU$6),$AU$8,IFERROR(INDEX(INDIRECT("Data!C"&amp;$AL$4,FALSE),MATCH(AN30,Data!$A:$A,0)),$AU$6))</f>
        <v>378</v>
      </c>
      <c r="AX30" s="71">
        <f ca="1">IF(""=IFERROR(INDEX(INDIRECT("Data!C"&amp;$AL$4,FALSE),MATCH(AO30,Data!$A:$A,0)),$AU$6),$AU$8,IFERROR(INDEX(INDIRECT("Data!C"&amp;$AL$4,FALSE),MATCH(AO30,Data!$A:$A,0)),$AU$6))</f>
        <v>317</v>
      </c>
      <c r="AY30" s="71">
        <f ca="1">IF(""=IFERROR(INDEX(INDIRECT("Data!C"&amp;$AL$4,FALSE),MATCH(AP30,Data!$A:$A,0)),$AU$6),$AU$8,IFERROR(INDEX(INDIRECT("Data!C"&amp;$AL$4,FALSE),MATCH(AP30,Data!$A:$A,0)),$AU$6))</f>
        <v>247</v>
      </c>
      <c r="AZ30" s="71">
        <f ca="1">IF(""=IFERROR(INDEX(INDIRECT("Data!C"&amp;$AL$4,FALSE),MATCH(AQ30,Data!$A:$A,0)),$AU$6),$AU$8,IFERROR(INDEX(INDIRECT("Data!C"&amp;$AL$4,FALSE),MATCH(AQ30,Data!$A:$A,0)),$AU$6))</f>
        <v>162</v>
      </c>
      <c r="BA30" s="71">
        <f ca="1">IF(""=IFERROR(INDEX(INDIRECT("Data!C"&amp;$AL$4,FALSE),MATCH(AR30,Data!$A:$A,0)),$AU$6),$AU$8,IFERROR(INDEX(INDIRECT("Data!C"&amp;$AL$4,FALSE),MATCH(AR30,Data!$A:$A,0)),$AU$6))</f>
        <v>67</v>
      </c>
      <c r="BB30" s="88">
        <f t="shared" ca="1" si="25"/>
        <v>228.71428571428572</v>
      </c>
      <c r="BD30" s="34">
        <f t="shared" si="31"/>
        <v>41700</v>
      </c>
      <c r="BE30" s="34">
        <f t="shared" si="26"/>
        <v>41701</v>
      </c>
      <c r="BF30" s="34">
        <f t="shared" si="19"/>
        <v>41702</v>
      </c>
      <c r="BG30" s="34">
        <f t="shared" si="19"/>
        <v>41703</v>
      </c>
      <c r="BH30" s="34">
        <f t="shared" si="19"/>
        <v>41704</v>
      </c>
      <c r="BI30" s="34">
        <f t="shared" si="19"/>
        <v>41705</v>
      </c>
      <c r="BJ30" s="34">
        <f t="shared" si="19"/>
        <v>41706</v>
      </c>
      <c r="BL30" s="82">
        <f t="array" ref="BL30">IFERROR(IF(MATCH(8,DAY(BD30:BJ30),0),BJ30,""),"")</f>
        <v>41706</v>
      </c>
      <c r="BM30" s="71">
        <f ca="1">IF(""=IFERROR(INDEX(INDIRECT("Data!C"&amp;$BD$4,FALSE),MATCH(BD30,Data!$A:$A,0)),$BM$6),$BM$8,IFERROR(INDEX(INDIRECT("Data!C"&amp;$BD$4,FALSE),MATCH(BD30,Data!$A:$A,0)),$BM$6))</f>
        <v>39</v>
      </c>
      <c r="BN30" s="71">
        <f ca="1">IF(""=IFERROR(INDEX(INDIRECT("Data!C"&amp;$BD$4,FALSE),MATCH(BE30,Data!$A:$A,0)),$BM$6),$BM$8,IFERROR(INDEX(INDIRECT("Data!C"&amp;$BD$4,FALSE),MATCH(BE30,Data!$A:$A,0)),$BM$6))</f>
        <v>391</v>
      </c>
      <c r="BO30" s="71">
        <f ca="1">IF(""=IFERROR(INDEX(INDIRECT("Data!C"&amp;$BD$4,FALSE),MATCH(BF30,Data!$A:$A,0)),$BM$6),$BM$8,IFERROR(INDEX(INDIRECT("Data!C"&amp;$BD$4,FALSE),MATCH(BF30,Data!$A:$A,0)),$BM$6))</f>
        <v>378</v>
      </c>
      <c r="BP30" s="71">
        <f ca="1">IF(""=IFERROR(INDEX(INDIRECT("Data!C"&amp;$BD$4,FALSE),MATCH(BG30,Data!$A:$A,0)),$BM$6),$BM$8,IFERROR(INDEX(INDIRECT("Data!C"&amp;$BD$4,FALSE),MATCH(BG30,Data!$A:$A,0)),$BM$6))</f>
        <v>317</v>
      </c>
      <c r="BQ30" s="71">
        <f ca="1">IF(""=IFERROR(INDEX(INDIRECT("Data!C"&amp;$BD$4,FALSE),MATCH(BH30,Data!$A:$A,0)),$BM$6),$BM$8,IFERROR(INDEX(INDIRECT("Data!C"&amp;$BD$4,FALSE),MATCH(BH30,Data!$A:$A,0)),$BM$6))</f>
        <v>247</v>
      </c>
      <c r="BR30" s="71">
        <f ca="1">IF(""=IFERROR(INDEX(INDIRECT("Data!C"&amp;$BD$4,FALSE),MATCH(BI30,Data!$A:$A,0)),$BM$6),$BM$8,IFERROR(INDEX(INDIRECT("Data!C"&amp;$BD$4,FALSE),MATCH(BI30,Data!$A:$A,0)),$BM$6))</f>
        <v>162</v>
      </c>
      <c r="BS30" s="71">
        <f ca="1">IF(""=IFERROR(INDEX(INDIRECT("Data!C"&amp;$BD$4,FALSE),MATCH(BJ30,Data!$A:$A,0)),$BM$6),$BM$8,IFERROR(INDEX(INDIRECT("Data!C"&amp;$BD$4,FALSE),MATCH(BJ30,Data!$A:$A,0)),$BM$6))</f>
        <v>67</v>
      </c>
      <c r="BT30" s="88">
        <f t="shared" ca="1" si="27"/>
        <v>228.71428571428572</v>
      </c>
      <c r="BV30" s="98" t="s">
        <v>75</v>
      </c>
    </row>
    <row r="31" spans="1:81" ht="12" customHeight="1" x14ac:dyDescent="0.2">
      <c r="B31" s="34">
        <f t="shared" si="28"/>
        <v>41707</v>
      </c>
      <c r="C31" s="34">
        <f t="shared" si="20"/>
        <v>41708</v>
      </c>
      <c r="D31" s="34">
        <f t="shared" si="20"/>
        <v>41709</v>
      </c>
      <c r="E31" s="34">
        <f t="shared" si="20"/>
        <v>41710</v>
      </c>
      <c r="F31" s="34">
        <f t="shared" si="20"/>
        <v>41711</v>
      </c>
      <c r="G31" s="34">
        <f t="shared" si="20"/>
        <v>41712</v>
      </c>
      <c r="H31" s="34">
        <f t="shared" si="20"/>
        <v>41713</v>
      </c>
      <c r="J31" s="82" t="str">
        <f t="array" ref="J31">IFERROR(IF(MATCH(8,DAY(B31:H31),0),H31,""),"")</f>
        <v/>
      </c>
      <c r="K31" s="71">
        <f ca="1">IF(""=IFERROR(INDEX(INDIRECT("Data!C"&amp;$B$4,FALSE),MATCH(B31,Data!$A:$A,0)),$K$6),$K$8,IFERROR(INDEX(INDIRECT("Data!C"&amp;$B$4,FALSE),MATCH(B31,Data!$A:$A,0)),$K$6))</f>
        <v>30</v>
      </c>
      <c r="L31" s="71">
        <f ca="1">IF(""=IFERROR(INDEX(INDIRECT("Data!C"&amp;$B$4,FALSE),MATCH(C31,Data!$A:$A,0)),$K$6),$K$8,IFERROR(INDEX(INDIRECT("Data!C"&amp;$B$4,FALSE),MATCH(C31,Data!$A:$A,0)),$K$6))</f>
        <v>258</v>
      </c>
      <c r="M31" s="71">
        <f ca="1">IF(""=IFERROR(INDEX(INDIRECT("Data!C"&amp;$B$4,FALSE),MATCH(D31,Data!$A:$A,0)),$K$6),$K$8,IFERROR(INDEX(INDIRECT("Data!C"&amp;$B$4,FALSE),MATCH(D31,Data!$A:$A,0)),$K$6))</f>
        <v>260</v>
      </c>
      <c r="N31" s="71">
        <f ca="1">IF(""=IFERROR(INDEX(INDIRECT("Data!C"&amp;$B$4,FALSE),MATCH(E31,Data!$A:$A,0)),$K$6),$K$8,IFERROR(INDEX(INDIRECT("Data!C"&amp;$B$4,FALSE),MATCH(E31,Data!$A:$A,0)),$K$6))</f>
        <v>237</v>
      </c>
      <c r="O31" s="71">
        <f ca="1">IF(""=IFERROR(INDEX(INDIRECT("Data!C"&amp;$B$4,FALSE),MATCH(F31,Data!$A:$A,0)),$K$6),$K$8,IFERROR(INDEX(INDIRECT("Data!C"&amp;$B$4,FALSE),MATCH(F31,Data!$A:$A,0)),$K$6))</f>
        <v>235</v>
      </c>
      <c r="P31" s="71">
        <f ca="1">IF(""=IFERROR(INDEX(INDIRECT("Data!C"&amp;$B$4,FALSE),MATCH(G31,Data!$A:$A,0)),$K$6),$K$8,IFERROR(INDEX(INDIRECT("Data!C"&amp;$B$4,FALSE),MATCH(G31,Data!$A:$A,0)),$K$6))</f>
        <v>145</v>
      </c>
      <c r="Q31" s="71">
        <f ca="1">IF(""=IFERROR(INDEX(INDIRECT("Data!C"&amp;$B$4,FALSE),MATCH(H31,Data!$A:$A,0)),$K$6),$K$8,IFERROR(INDEX(INDIRECT("Data!C"&amp;$B$4,FALSE),MATCH(H31,Data!$A:$A,0)),$K$6))</f>
        <v>35</v>
      </c>
      <c r="R31" s="88">
        <f t="shared" ca="1" si="21"/>
        <v>171.42857142857142</v>
      </c>
      <c r="T31" s="34">
        <f t="shared" si="29"/>
        <v>41707</v>
      </c>
      <c r="U31" s="34">
        <f t="shared" si="22"/>
        <v>41708</v>
      </c>
      <c r="V31" s="34">
        <f t="shared" si="17"/>
        <v>41709</v>
      </c>
      <c r="W31" s="34">
        <f t="shared" si="17"/>
        <v>41710</v>
      </c>
      <c r="X31" s="34">
        <f t="shared" si="17"/>
        <v>41711</v>
      </c>
      <c r="Y31" s="34">
        <f t="shared" si="17"/>
        <v>41712</v>
      </c>
      <c r="Z31" s="34">
        <f t="shared" si="17"/>
        <v>41713</v>
      </c>
      <c r="AB31" s="82" t="str">
        <f t="array" ref="AB31">IFERROR(IF(MATCH(8,DAY(T31:Z31),0),Z31,""),"")</f>
        <v/>
      </c>
      <c r="AC31" s="71">
        <f ca="1">IF(""=IFERROR(INDEX(INDIRECT("Data!C"&amp;$T$4,FALSE),MATCH(T31,Data!$A:$A,0)),$AC$6),$AC$8,IFERROR(INDEX(INDIRECT("Data!C"&amp;$T$4,FALSE),MATCH(T31,Data!$A:$A,0)),$AC$6))</f>
        <v>30</v>
      </c>
      <c r="AD31" s="71">
        <f ca="1">IF(""=IFERROR(INDEX(INDIRECT("Data!C"&amp;$T$4,FALSE),MATCH(U31,Data!$A:$A,0)),$AC$6),$AC$8,IFERROR(INDEX(INDIRECT("Data!C"&amp;$T$4,FALSE),MATCH(U31,Data!$A:$A,0)),$AC$6))</f>
        <v>258</v>
      </c>
      <c r="AE31" s="71">
        <f ca="1">IF(""=IFERROR(INDEX(INDIRECT("Data!C"&amp;$T$4,FALSE),MATCH(V31,Data!$A:$A,0)),$AC$6),$AC$8,IFERROR(INDEX(INDIRECT("Data!C"&amp;$T$4,FALSE),MATCH(V31,Data!$A:$A,0)),$AC$6))</f>
        <v>260</v>
      </c>
      <c r="AF31" s="71">
        <f ca="1">IF(""=IFERROR(INDEX(INDIRECT("Data!C"&amp;$T$4,FALSE),MATCH(W31,Data!$A:$A,0)),$AC$6),$AC$8,IFERROR(INDEX(INDIRECT("Data!C"&amp;$T$4,FALSE),MATCH(W31,Data!$A:$A,0)),$AC$6))</f>
        <v>237</v>
      </c>
      <c r="AG31" s="71">
        <f ca="1">IF(""=IFERROR(INDEX(INDIRECT("Data!C"&amp;$T$4,FALSE),MATCH(X31,Data!$A:$A,0)),$AC$6),$AC$8,IFERROR(INDEX(INDIRECT("Data!C"&amp;$T$4,FALSE),MATCH(X31,Data!$A:$A,0)),$AC$6))</f>
        <v>235</v>
      </c>
      <c r="AH31" s="71">
        <f ca="1">IF(""=IFERROR(INDEX(INDIRECT("Data!C"&amp;$T$4,FALSE),MATCH(Y31,Data!$A:$A,0)),$AC$6),$AC$8,IFERROR(INDEX(INDIRECT("Data!C"&amp;$T$4,FALSE),MATCH(Y31,Data!$A:$A,0)),$AC$6))</f>
        <v>145</v>
      </c>
      <c r="AI31" s="71">
        <f ca="1">IF(""=IFERROR(INDEX(INDIRECT("Data!C"&amp;$T$4,FALSE),MATCH(Z31,Data!$A:$A,0)),$AC$6),$AC$8,IFERROR(INDEX(INDIRECT("Data!C"&amp;$T$4,FALSE),MATCH(Z31,Data!$A:$A,0)),$AC$6))</f>
        <v>35</v>
      </c>
      <c r="AJ31" s="88">
        <f t="shared" ca="1" si="23"/>
        <v>171.42857142857142</v>
      </c>
      <c r="AL31" s="34">
        <f t="shared" si="30"/>
        <v>41707</v>
      </c>
      <c r="AM31" s="34">
        <f t="shared" si="24"/>
        <v>41708</v>
      </c>
      <c r="AN31" s="34">
        <f t="shared" si="18"/>
        <v>41709</v>
      </c>
      <c r="AO31" s="34">
        <f t="shared" si="18"/>
        <v>41710</v>
      </c>
      <c r="AP31" s="34">
        <f t="shared" si="18"/>
        <v>41711</v>
      </c>
      <c r="AQ31" s="34">
        <f t="shared" si="18"/>
        <v>41712</v>
      </c>
      <c r="AR31" s="34">
        <f t="shared" si="18"/>
        <v>41713</v>
      </c>
      <c r="AT31" s="82" t="str">
        <f t="array" ref="AT31">IFERROR(IF(MATCH(8,DAY(AL31:AR31),0),AR31,""),"")</f>
        <v/>
      </c>
      <c r="AU31" s="71">
        <f ca="1">IF(""=IFERROR(INDEX(INDIRECT("Data!C"&amp;$AL$4,FALSE),MATCH(AL31,Data!$A:$A,0)),$AU$6),$AU$8,IFERROR(INDEX(INDIRECT("Data!C"&amp;$AL$4,FALSE),MATCH(AL31,Data!$A:$A,0)),$AU$6))</f>
        <v>30</v>
      </c>
      <c r="AV31" s="71">
        <f ca="1">IF(""=IFERROR(INDEX(INDIRECT("Data!C"&amp;$AL$4,FALSE),MATCH(AM31,Data!$A:$A,0)),$AU$6),$AU$8,IFERROR(INDEX(INDIRECT("Data!C"&amp;$AL$4,FALSE),MATCH(AM31,Data!$A:$A,0)),$AU$6))</f>
        <v>258</v>
      </c>
      <c r="AW31" s="71">
        <f ca="1">IF(""=IFERROR(INDEX(INDIRECT("Data!C"&amp;$AL$4,FALSE),MATCH(AN31,Data!$A:$A,0)),$AU$6),$AU$8,IFERROR(INDEX(INDIRECT("Data!C"&amp;$AL$4,FALSE),MATCH(AN31,Data!$A:$A,0)),$AU$6))</f>
        <v>260</v>
      </c>
      <c r="AX31" s="71">
        <f ca="1">IF(""=IFERROR(INDEX(INDIRECT("Data!C"&amp;$AL$4,FALSE),MATCH(AO31,Data!$A:$A,0)),$AU$6),$AU$8,IFERROR(INDEX(INDIRECT("Data!C"&amp;$AL$4,FALSE),MATCH(AO31,Data!$A:$A,0)),$AU$6))</f>
        <v>237</v>
      </c>
      <c r="AY31" s="71">
        <f ca="1">IF(""=IFERROR(INDEX(INDIRECT("Data!C"&amp;$AL$4,FALSE),MATCH(AP31,Data!$A:$A,0)),$AU$6),$AU$8,IFERROR(INDEX(INDIRECT("Data!C"&amp;$AL$4,FALSE),MATCH(AP31,Data!$A:$A,0)),$AU$6))</f>
        <v>235</v>
      </c>
      <c r="AZ31" s="71">
        <f ca="1">IF(""=IFERROR(INDEX(INDIRECT("Data!C"&amp;$AL$4,FALSE),MATCH(AQ31,Data!$A:$A,0)),$AU$6),$AU$8,IFERROR(INDEX(INDIRECT("Data!C"&amp;$AL$4,FALSE),MATCH(AQ31,Data!$A:$A,0)),$AU$6))</f>
        <v>145</v>
      </c>
      <c r="BA31" s="71">
        <f ca="1">IF(""=IFERROR(INDEX(INDIRECT("Data!C"&amp;$AL$4,FALSE),MATCH(AR31,Data!$A:$A,0)),$AU$6),$AU$8,IFERROR(INDEX(INDIRECT("Data!C"&amp;$AL$4,FALSE),MATCH(AR31,Data!$A:$A,0)),$AU$6))</f>
        <v>35</v>
      </c>
      <c r="BB31" s="88">
        <f t="shared" ca="1" si="25"/>
        <v>171.42857142857142</v>
      </c>
      <c r="BD31" s="34">
        <f t="shared" si="31"/>
        <v>41707</v>
      </c>
      <c r="BE31" s="34">
        <f t="shared" si="26"/>
        <v>41708</v>
      </c>
      <c r="BF31" s="34">
        <f t="shared" si="19"/>
        <v>41709</v>
      </c>
      <c r="BG31" s="34">
        <f t="shared" si="19"/>
        <v>41710</v>
      </c>
      <c r="BH31" s="34">
        <f t="shared" si="19"/>
        <v>41711</v>
      </c>
      <c r="BI31" s="34">
        <f t="shared" si="19"/>
        <v>41712</v>
      </c>
      <c r="BJ31" s="34">
        <f t="shared" si="19"/>
        <v>41713</v>
      </c>
      <c r="BL31" s="82" t="str">
        <f t="array" ref="BL31">IFERROR(IF(MATCH(8,DAY(BD31:BJ31),0),BJ31,""),"")</f>
        <v/>
      </c>
      <c r="BM31" s="71">
        <f ca="1">IF(""=IFERROR(INDEX(INDIRECT("Data!C"&amp;$BD$4,FALSE),MATCH(BD31,Data!$A:$A,0)),$BM$6),$BM$8,IFERROR(INDEX(INDIRECT("Data!C"&amp;$BD$4,FALSE),MATCH(BD31,Data!$A:$A,0)),$BM$6))</f>
        <v>30</v>
      </c>
      <c r="BN31" s="71">
        <f ca="1">IF(""=IFERROR(INDEX(INDIRECT("Data!C"&amp;$BD$4,FALSE),MATCH(BE31,Data!$A:$A,0)),$BM$6),$BM$8,IFERROR(INDEX(INDIRECT("Data!C"&amp;$BD$4,FALSE),MATCH(BE31,Data!$A:$A,0)),$BM$6))</f>
        <v>258</v>
      </c>
      <c r="BO31" s="71">
        <f ca="1">IF(""=IFERROR(INDEX(INDIRECT("Data!C"&amp;$BD$4,FALSE),MATCH(BF31,Data!$A:$A,0)),$BM$6),$BM$8,IFERROR(INDEX(INDIRECT("Data!C"&amp;$BD$4,FALSE),MATCH(BF31,Data!$A:$A,0)),$BM$6))</f>
        <v>260</v>
      </c>
      <c r="BP31" s="71">
        <f ca="1">IF(""=IFERROR(INDEX(INDIRECT("Data!C"&amp;$BD$4,FALSE),MATCH(BG31,Data!$A:$A,0)),$BM$6),$BM$8,IFERROR(INDEX(INDIRECT("Data!C"&amp;$BD$4,FALSE),MATCH(BG31,Data!$A:$A,0)),$BM$6))</f>
        <v>237</v>
      </c>
      <c r="BQ31" s="71">
        <f ca="1">IF(""=IFERROR(INDEX(INDIRECT("Data!C"&amp;$BD$4,FALSE),MATCH(BH31,Data!$A:$A,0)),$BM$6),$BM$8,IFERROR(INDEX(INDIRECT("Data!C"&amp;$BD$4,FALSE),MATCH(BH31,Data!$A:$A,0)),$BM$6))</f>
        <v>235</v>
      </c>
      <c r="BR31" s="71">
        <f ca="1">IF(""=IFERROR(INDEX(INDIRECT("Data!C"&amp;$BD$4,FALSE),MATCH(BI31,Data!$A:$A,0)),$BM$6),$BM$8,IFERROR(INDEX(INDIRECT("Data!C"&amp;$BD$4,FALSE),MATCH(BI31,Data!$A:$A,0)),$BM$6))</f>
        <v>145</v>
      </c>
      <c r="BS31" s="71">
        <f ca="1">IF(""=IFERROR(INDEX(INDIRECT("Data!C"&amp;$BD$4,FALSE),MATCH(BJ31,Data!$A:$A,0)),$BM$6),$BM$8,IFERROR(INDEX(INDIRECT("Data!C"&amp;$BD$4,FALSE),MATCH(BJ31,Data!$A:$A,0)),$BM$6))</f>
        <v>35</v>
      </c>
      <c r="BT31" s="88">
        <f t="shared" ca="1" si="27"/>
        <v>171.42857142857142</v>
      </c>
      <c r="BV31" s="98"/>
    </row>
    <row r="32" spans="1:81" ht="12" customHeight="1" x14ac:dyDescent="0.2">
      <c r="B32" s="34">
        <f t="shared" si="28"/>
        <v>41714</v>
      </c>
      <c r="C32" s="34">
        <f t="shared" si="20"/>
        <v>41715</v>
      </c>
      <c r="D32" s="34">
        <f t="shared" si="20"/>
        <v>41716</v>
      </c>
      <c r="E32" s="34">
        <f t="shared" si="20"/>
        <v>41717</v>
      </c>
      <c r="F32" s="34">
        <f t="shared" si="20"/>
        <v>41718</v>
      </c>
      <c r="G32" s="34">
        <f t="shared" si="20"/>
        <v>41719</v>
      </c>
      <c r="H32" s="34">
        <f t="shared" si="20"/>
        <v>41720</v>
      </c>
      <c r="J32" s="82" t="str">
        <f t="array" ref="J32">IFERROR(IF(MATCH(8,DAY(B32:H32),0),H32,""),"")</f>
        <v/>
      </c>
      <c r="K32" s="71">
        <f ca="1">IF(""=IFERROR(INDEX(INDIRECT("Data!C"&amp;$B$4,FALSE),MATCH(B32,Data!$A:$A,0)),$K$6),$K$8,IFERROR(INDEX(INDIRECT("Data!C"&amp;$B$4,FALSE),MATCH(B32,Data!$A:$A,0)),$K$6))</f>
        <v>36</v>
      </c>
      <c r="L32" s="71">
        <f ca="1">IF(""=IFERROR(INDEX(INDIRECT("Data!C"&amp;$B$4,FALSE),MATCH(C32,Data!$A:$A,0)),$K$6),$K$8,IFERROR(INDEX(INDIRECT("Data!C"&amp;$B$4,FALSE),MATCH(C32,Data!$A:$A,0)),$K$6))</f>
        <v>176</v>
      </c>
      <c r="M32" s="71">
        <f ca="1">IF(""=IFERROR(INDEX(INDIRECT("Data!C"&amp;$B$4,FALSE),MATCH(D32,Data!$A:$A,0)),$K$6),$K$8,IFERROR(INDEX(INDIRECT("Data!C"&amp;$B$4,FALSE),MATCH(D32,Data!$A:$A,0)),$K$6))</f>
        <v>152</v>
      </c>
      <c r="N32" s="71">
        <f ca="1">IF(""=IFERROR(INDEX(INDIRECT("Data!C"&amp;$B$4,FALSE),MATCH(E32,Data!$A:$A,0)),$K$6),$K$8,IFERROR(INDEX(INDIRECT("Data!C"&amp;$B$4,FALSE),MATCH(E32,Data!$A:$A,0)),$K$6))</f>
        <v>170</v>
      </c>
      <c r="O32" s="71">
        <f ca="1">IF(""=IFERROR(INDEX(INDIRECT("Data!C"&amp;$B$4,FALSE),MATCH(F32,Data!$A:$A,0)),$K$6),$K$8,IFERROR(INDEX(INDIRECT("Data!C"&amp;$B$4,FALSE),MATCH(F32,Data!$A:$A,0)),$K$6))</f>
        <v>224</v>
      </c>
      <c r="P32" s="71">
        <f ca="1">IF(""=IFERROR(INDEX(INDIRECT("Data!C"&amp;$B$4,FALSE),MATCH(G32,Data!$A:$A,0)),$K$6),$K$8,IFERROR(INDEX(INDIRECT("Data!C"&amp;$B$4,FALSE),MATCH(G32,Data!$A:$A,0)),$K$6))</f>
        <v>190</v>
      </c>
      <c r="Q32" s="71">
        <f ca="1">IF(""=IFERROR(INDEX(INDIRECT("Data!C"&amp;$B$4,FALSE),MATCH(H32,Data!$A:$A,0)),$K$6),$K$8,IFERROR(INDEX(INDIRECT("Data!C"&amp;$B$4,FALSE),MATCH(H32,Data!$A:$A,0)),$K$6))</f>
        <v>54</v>
      </c>
      <c r="R32" s="88">
        <f t="shared" ca="1" si="21"/>
        <v>143.14285714285714</v>
      </c>
      <c r="T32" s="34">
        <f t="shared" si="29"/>
        <v>41714</v>
      </c>
      <c r="U32" s="34">
        <f t="shared" si="22"/>
        <v>41715</v>
      </c>
      <c r="V32" s="34">
        <f t="shared" si="17"/>
        <v>41716</v>
      </c>
      <c r="W32" s="34">
        <f t="shared" si="17"/>
        <v>41717</v>
      </c>
      <c r="X32" s="34">
        <f t="shared" si="17"/>
        <v>41718</v>
      </c>
      <c r="Y32" s="34">
        <f t="shared" si="17"/>
        <v>41719</v>
      </c>
      <c r="Z32" s="34">
        <f t="shared" si="17"/>
        <v>41720</v>
      </c>
      <c r="AB32" s="82" t="str">
        <f t="array" ref="AB32">IFERROR(IF(MATCH(8,DAY(T32:Z32),0),Z32,""),"")</f>
        <v/>
      </c>
      <c r="AC32" s="71">
        <f ca="1">IF(""=IFERROR(INDEX(INDIRECT("Data!C"&amp;$T$4,FALSE),MATCH(T32,Data!$A:$A,0)),$AC$6),$AC$8,IFERROR(INDEX(INDIRECT("Data!C"&amp;$T$4,FALSE),MATCH(T32,Data!$A:$A,0)),$AC$6))</f>
        <v>36</v>
      </c>
      <c r="AD32" s="71">
        <f ca="1">IF(""=IFERROR(INDEX(INDIRECT("Data!C"&amp;$T$4,FALSE),MATCH(U32,Data!$A:$A,0)),$AC$6),$AC$8,IFERROR(INDEX(INDIRECT("Data!C"&amp;$T$4,FALSE),MATCH(U32,Data!$A:$A,0)),$AC$6))</f>
        <v>176</v>
      </c>
      <c r="AE32" s="71">
        <f ca="1">IF(""=IFERROR(INDEX(INDIRECT("Data!C"&amp;$T$4,FALSE),MATCH(V32,Data!$A:$A,0)),$AC$6),$AC$8,IFERROR(INDEX(INDIRECT("Data!C"&amp;$T$4,FALSE),MATCH(V32,Data!$A:$A,0)),$AC$6))</f>
        <v>152</v>
      </c>
      <c r="AF32" s="71">
        <f ca="1">IF(""=IFERROR(INDEX(INDIRECT("Data!C"&amp;$T$4,FALSE),MATCH(W32,Data!$A:$A,0)),$AC$6),$AC$8,IFERROR(INDEX(INDIRECT("Data!C"&amp;$T$4,FALSE),MATCH(W32,Data!$A:$A,0)),$AC$6))</f>
        <v>170</v>
      </c>
      <c r="AG32" s="71">
        <f ca="1">IF(""=IFERROR(INDEX(INDIRECT("Data!C"&amp;$T$4,FALSE),MATCH(X32,Data!$A:$A,0)),$AC$6),$AC$8,IFERROR(INDEX(INDIRECT("Data!C"&amp;$T$4,FALSE),MATCH(X32,Data!$A:$A,0)),$AC$6))</f>
        <v>224</v>
      </c>
      <c r="AH32" s="71">
        <f ca="1">IF(""=IFERROR(INDEX(INDIRECT("Data!C"&amp;$T$4,FALSE),MATCH(Y32,Data!$A:$A,0)),$AC$6),$AC$8,IFERROR(INDEX(INDIRECT("Data!C"&amp;$T$4,FALSE),MATCH(Y32,Data!$A:$A,0)),$AC$6))</f>
        <v>190</v>
      </c>
      <c r="AI32" s="71">
        <f ca="1">IF(""=IFERROR(INDEX(INDIRECT("Data!C"&amp;$T$4,FALSE),MATCH(Z32,Data!$A:$A,0)),$AC$6),$AC$8,IFERROR(INDEX(INDIRECT("Data!C"&amp;$T$4,FALSE),MATCH(Z32,Data!$A:$A,0)),$AC$6))</f>
        <v>54</v>
      </c>
      <c r="AJ32" s="88">
        <f t="shared" ca="1" si="23"/>
        <v>143.14285714285714</v>
      </c>
      <c r="AL32" s="34">
        <f t="shared" si="30"/>
        <v>41714</v>
      </c>
      <c r="AM32" s="34">
        <f t="shared" si="24"/>
        <v>41715</v>
      </c>
      <c r="AN32" s="34">
        <f t="shared" si="18"/>
        <v>41716</v>
      </c>
      <c r="AO32" s="34">
        <f t="shared" si="18"/>
        <v>41717</v>
      </c>
      <c r="AP32" s="34">
        <f t="shared" si="18"/>
        <v>41718</v>
      </c>
      <c r="AQ32" s="34">
        <f t="shared" si="18"/>
        <v>41719</v>
      </c>
      <c r="AR32" s="34">
        <f t="shared" si="18"/>
        <v>41720</v>
      </c>
      <c r="AT32" s="82" t="str">
        <f t="array" ref="AT32">IFERROR(IF(MATCH(8,DAY(AL32:AR32),0),AR32,""),"")</f>
        <v/>
      </c>
      <c r="AU32" s="71">
        <f ca="1">IF(""=IFERROR(INDEX(INDIRECT("Data!C"&amp;$AL$4,FALSE),MATCH(AL32,Data!$A:$A,0)),$AU$6),$AU$8,IFERROR(INDEX(INDIRECT("Data!C"&amp;$AL$4,FALSE),MATCH(AL32,Data!$A:$A,0)),$AU$6))</f>
        <v>36</v>
      </c>
      <c r="AV32" s="71">
        <f ca="1">IF(""=IFERROR(INDEX(INDIRECT("Data!C"&amp;$AL$4,FALSE),MATCH(AM32,Data!$A:$A,0)),$AU$6),$AU$8,IFERROR(INDEX(INDIRECT("Data!C"&amp;$AL$4,FALSE),MATCH(AM32,Data!$A:$A,0)),$AU$6))</f>
        <v>176</v>
      </c>
      <c r="AW32" s="71">
        <f ca="1">IF(""=IFERROR(INDEX(INDIRECT("Data!C"&amp;$AL$4,FALSE),MATCH(AN32,Data!$A:$A,0)),$AU$6),$AU$8,IFERROR(INDEX(INDIRECT("Data!C"&amp;$AL$4,FALSE),MATCH(AN32,Data!$A:$A,0)),$AU$6))</f>
        <v>152</v>
      </c>
      <c r="AX32" s="71">
        <f ca="1">IF(""=IFERROR(INDEX(INDIRECT("Data!C"&amp;$AL$4,FALSE),MATCH(AO32,Data!$A:$A,0)),$AU$6),$AU$8,IFERROR(INDEX(INDIRECT("Data!C"&amp;$AL$4,FALSE),MATCH(AO32,Data!$A:$A,0)),$AU$6))</f>
        <v>170</v>
      </c>
      <c r="AY32" s="71">
        <f ca="1">IF(""=IFERROR(INDEX(INDIRECT("Data!C"&amp;$AL$4,FALSE),MATCH(AP32,Data!$A:$A,0)),$AU$6),$AU$8,IFERROR(INDEX(INDIRECT("Data!C"&amp;$AL$4,FALSE),MATCH(AP32,Data!$A:$A,0)),$AU$6))</f>
        <v>224</v>
      </c>
      <c r="AZ32" s="71">
        <f ca="1">IF(""=IFERROR(INDEX(INDIRECT("Data!C"&amp;$AL$4,FALSE),MATCH(AQ32,Data!$A:$A,0)),$AU$6),$AU$8,IFERROR(INDEX(INDIRECT("Data!C"&amp;$AL$4,FALSE),MATCH(AQ32,Data!$A:$A,0)),$AU$6))</f>
        <v>190</v>
      </c>
      <c r="BA32" s="71">
        <f ca="1">IF(""=IFERROR(INDEX(INDIRECT("Data!C"&amp;$AL$4,FALSE),MATCH(AR32,Data!$A:$A,0)),$AU$6),$AU$8,IFERROR(INDEX(INDIRECT("Data!C"&amp;$AL$4,FALSE),MATCH(AR32,Data!$A:$A,0)),$AU$6))</f>
        <v>54</v>
      </c>
      <c r="BB32" s="88">
        <f t="shared" ca="1" si="25"/>
        <v>143.14285714285714</v>
      </c>
      <c r="BD32" s="34">
        <f t="shared" si="31"/>
        <v>41714</v>
      </c>
      <c r="BE32" s="34">
        <f t="shared" si="26"/>
        <v>41715</v>
      </c>
      <c r="BF32" s="34">
        <f t="shared" si="19"/>
        <v>41716</v>
      </c>
      <c r="BG32" s="34">
        <f t="shared" si="19"/>
        <v>41717</v>
      </c>
      <c r="BH32" s="34">
        <f t="shared" si="19"/>
        <v>41718</v>
      </c>
      <c r="BI32" s="34">
        <f t="shared" si="19"/>
        <v>41719</v>
      </c>
      <c r="BJ32" s="34">
        <f t="shared" si="19"/>
        <v>41720</v>
      </c>
      <c r="BL32" s="82" t="str">
        <f t="array" ref="BL32">IFERROR(IF(MATCH(8,DAY(BD32:BJ32),0),BJ32,""),"")</f>
        <v/>
      </c>
      <c r="BM32" s="71">
        <f ca="1">IF(""=IFERROR(INDEX(INDIRECT("Data!C"&amp;$BD$4,FALSE),MATCH(BD32,Data!$A:$A,0)),$BM$6),$BM$8,IFERROR(INDEX(INDIRECT("Data!C"&amp;$BD$4,FALSE),MATCH(BD32,Data!$A:$A,0)),$BM$6))</f>
        <v>36</v>
      </c>
      <c r="BN32" s="71">
        <f ca="1">IF(""=IFERROR(INDEX(INDIRECT("Data!C"&amp;$BD$4,FALSE),MATCH(BE32,Data!$A:$A,0)),$BM$6),$BM$8,IFERROR(INDEX(INDIRECT("Data!C"&amp;$BD$4,FALSE),MATCH(BE32,Data!$A:$A,0)),$BM$6))</f>
        <v>176</v>
      </c>
      <c r="BO32" s="71">
        <f ca="1">IF(""=IFERROR(INDEX(INDIRECT("Data!C"&amp;$BD$4,FALSE),MATCH(BF32,Data!$A:$A,0)),$BM$6),$BM$8,IFERROR(INDEX(INDIRECT("Data!C"&amp;$BD$4,FALSE),MATCH(BF32,Data!$A:$A,0)),$BM$6))</f>
        <v>152</v>
      </c>
      <c r="BP32" s="71">
        <f ca="1">IF(""=IFERROR(INDEX(INDIRECT("Data!C"&amp;$BD$4,FALSE),MATCH(BG32,Data!$A:$A,0)),$BM$6),$BM$8,IFERROR(INDEX(INDIRECT("Data!C"&amp;$BD$4,FALSE),MATCH(BG32,Data!$A:$A,0)),$BM$6))</f>
        <v>170</v>
      </c>
      <c r="BQ32" s="71">
        <f ca="1">IF(""=IFERROR(INDEX(INDIRECT("Data!C"&amp;$BD$4,FALSE),MATCH(BH32,Data!$A:$A,0)),$BM$6),$BM$8,IFERROR(INDEX(INDIRECT("Data!C"&amp;$BD$4,FALSE),MATCH(BH32,Data!$A:$A,0)),$BM$6))</f>
        <v>224</v>
      </c>
      <c r="BR32" s="71">
        <f ca="1">IF(""=IFERROR(INDEX(INDIRECT("Data!C"&amp;$BD$4,FALSE),MATCH(BI32,Data!$A:$A,0)),$BM$6),$BM$8,IFERROR(INDEX(INDIRECT("Data!C"&amp;$BD$4,FALSE),MATCH(BI32,Data!$A:$A,0)),$BM$6))</f>
        <v>190</v>
      </c>
      <c r="BS32" s="71">
        <f ca="1">IF(""=IFERROR(INDEX(INDIRECT("Data!C"&amp;$BD$4,FALSE),MATCH(BJ32,Data!$A:$A,0)),$BM$6),$BM$8,IFERROR(INDEX(INDIRECT("Data!C"&amp;$BD$4,FALSE),MATCH(BJ32,Data!$A:$A,0)),$BM$6))</f>
        <v>54</v>
      </c>
      <c r="BT32" s="88">
        <f t="shared" ca="1" si="27"/>
        <v>143.14285714285714</v>
      </c>
      <c r="BV32" s="92"/>
      <c r="BW32" s="12"/>
    </row>
    <row r="33" spans="2:76" ht="12" customHeight="1" x14ac:dyDescent="0.2">
      <c r="B33" s="34">
        <f t="shared" si="28"/>
        <v>41721</v>
      </c>
      <c r="C33" s="34">
        <f t="shared" si="20"/>
        <v>41722</v>
      </c>
      <c r="D33" s="34">
        <f t="shared" si="20"/>
        <v>41723</v>
      </c>
      <c r="E33" s="34">
        <f t="shared" si="20"/>
        <v>41724</v>
      </c>
      <c r="F33" s="34">
        <f t="shared" si="20"/>
        <v>41725</v>
      </c>
      <c r="G33" s="34">
        <f t="shared" si="20"/>
        <v>41726</v>
      </c>
      <c r="H33" s="34">
        <f t="shared" si="20"/>
        <v>41727</v>
      </c>
      <c r="J33" s="82" t="str">
        <f t="array" ref="J33">IFERROR(IF(MATCH(8,DAY(B33:H33),0),H33,""),"")</f>
        <v/>
      </c>
      <c r="K33" s="71">
        <f ca="1">IF(""=IFERROR(INDEX(INDIRECT("Data!C"&amp;$B$4,FALSE),MATCH(B33,Data!$A:$A,0)),$K$6),$K$8,IFERROR(INDEX(INDIRECT("Data!C"&amp;$B$4,FALSE),MATCH(B33,Data!$A:$A,0)),$K$6))</f>
        <v>30</v>
      </c>
      <c r="L33" s="71">
        <f ca="1">IF(""=IFERROR(INDEX(INDIRECT("Data!C"&amp;$B$4,FALSE),MATCH(C33,Data!$A:$A,0)),$K$6),$K$8,IFERROR(INDEX(INDIRECT("Data!C"&amp;$B$4,FALSE),MATCH(C33,Data!$A:$A,0)),$K$6))</f>
        <v>167</v>
      </c>
      <c r="M33" s="71">
        <f ca="1">IF(""=IFERROR(INDEX(INDIRECT("Data!C"&amp;$B$4,FALSE),MATCH(D33,Data!$A:$A,0)),$K$6),$K$8,IFERROR(INDEX(INDIRECT("Data!C"&amp;$B$4,FALSE),MATCH(D33,Data!$A:$A,0)),$K$6))</f>
        <v>265</v>
      </c>
      <c r="N33" s="71">
        <f ca="1">IF(""=IFERROR(INDEX(INDIRECT("Data!C"&amp;$B$4,FALSE),MATCH(E33,Data!$A:$A,0)),$K$6),$K$8,IFERROR(INDEX(INDIRECT("Data!C"&amp;$B$4,FALSE),MATCH(E33,Data!$A:$A,0)),$K$6))</f>
        <v>168</v>
      </c>
      <c r="O33" s="71">
        <f ca="1">IF(""=IFERROR(INDEX(INDIRECT("Data!C"&amp;$B$4,FALSE),MATCH(F33,Data!$A:$A,0)),$K$6),$K$8,IFERROR(INDEX(INDIRECT("Data!C"&amp;$B$4,FALSE),MATCH(F33,Data!$A:$A,0)),$K$6))</f>
        <v>210</v>
      </c>
      <c r="P33" s="71">
        <f ca="1">IF(""=IFERROR(INDEX(INDIRECT("Data!C"&amp;$B$4,FALSE),MATCH(G33,Data!$A:$A,0)),$K$6),$K$8,IFERROR(INDEX(INDIRECT("Data!C"&amp;$B$4,FALSE),MATCH(G33,Data!$A:$A,0)),$K$6))</f>
        <v>176</v>
      </c>
      <c r="Q33" s="71">
        <f ca="1">IF(""=IFERROR(INDEX(INDIRECT("Data!C"&amp;$B$4,FALSE),MATCH(H33,Data!$A:$A,0)),$K$6),$K$8,IFERROR(INDEX(INDIRECT("Data!C"&amp;$B$4,FALSE),MATCH(H33,Data!$A:$A,0)),$K$6))</f>
        <v>37</v>
      </c>
      <c r="R33" s="88">
        <f t="shared" ca="1" si="21"/>
        <v>150.42857142857142</v>
      </c>
      <c r="T33" s="34">
        <f t="shared" si="29"/>
        <v>41721</v>
      </c>
      <c r="U33" s="34">
        <f t="shared" si="22"/>
        <v>41722</v>
      </c>
      <c r="V33" s="34">
        <f t="shared" si="17"/>
        <v>41723</v>
      </c>
      <c r="W33" s="34">
        <f t="shared" si="17"/>
        <v>41724</v>
      </c>
      <c r="X33" s="34">
        <f t="shared" si="17"/>
        <v>41725</v>
      </c>
      <c r="Y33" s="34">
        <f t="shared" si="17"/>
        <v>41726</v>
      </c>
      <c r="Z33" s="34">
        <f t="shared" si="17"/>
        <v>41727</v>
      </c>
      <c r="AB33" s="82" t="str">
        <f t="array" ref="AB33">IFERROR(IF(MATCH(8,DAY(T33:Z33),0),Z33,""),"")</f>
        <v/>
      </c>
      <c r="AC33" s="71">
        <f ca="1">IF(""=IFERROR(INDEX(INDIRECT("Data!C"&amp;$T$4,FALSE),MATCH(T33,Data!$A:$A,0)),$AC$6),$AC$8,IFERROR(INDEX(INDIRECT("Data!C"&amp;$T$4,FALSE),MATCH(T33,Data!$A:$A,0)),$AC$6))</f>
        <v>30</v>
      </c>
      <c r="AD33" s="71">
        <f ca="1">IF(""=IFERROR(INDEX(INDIRECT("Data!C"&amp;$T$4,FALSE),MATCH(U33,Data!$A:$A,0)),$AC$6),$AC$8,IFERROR(INDEX(INDIRECT("Data!C"&amp;$T$4,FALSE),MATCH(U33,Data!$A:$A,0)),$AC$6))</f>
        <v>167</v>
      </c>
      <c r="AE33" s="71">
        <f ca="1">IF(""=IFERROR(INDEX(INDIRECT("Data!C"&amp;$T$4,FALSE),MATCH(V33,Data!$A:$A,0)),$AC$6),$AC$8,IFERROR(INDEX(INDIRECT("Data!C"&amp;$T$4,FALSE),MATCH(V33,Data!$A:$A,0)),$AC$6))</f>
        <v>265</v>
      </c>
      <c r="AF33" s="71">
        <f ca="1">IF(""=IFERROR(INDEX(INDIRECT("Data!C"&amp;$T$4,FALSE),MATCH(W33,Data!$A:$A,0)),$AC$6),$AC$8,IFERROR(INDEX(INDIRECT("Data!C"&amp;$T$4,FALSE),MATCH(W33,Data!$A:$A,0)),$AC$6))</f>
        <v>168</v>
      </c>
      <c r="AG33" s="71">
        <f ca="1">IF(""=IFERROR(INDEX(INDIRECT("Data!C"&amp;$T$4,FALSE),MATCH(X33,Data!$A:$A,0)),$AC$6),$AC$8,IFERROR(INDEX(INDIRECT("Data!C"&amp;$T$4,FALSE),MATCH(X33,Data!$A:$A,0)),$AC$6))</f>
        <v>210</v>
      </c>
      <c r="AH33" s="71">
        <f ca="1">IF(""=IFERROR(INDEX(INDIRECT("Data!C"&amp;$T$4,FALSE),MATCH(Y33,Data!$A:$A,0)),$AC$6),$AC$8,IFERROR(INDEX(INDIRECT("Data!C"&amp;$T$4,FALSE),MATCH(Y33,Data!$A:$A,0)),$AC$6))</f>
        <v>176</v>
      </c>
      <c r="AI33" s="71">
        <f ca="1">IF(""=IFERROR(INDEX(INDIRECT("Data!C"&amp;$T$4,FALSE),MATCH(Z33,Data!$A:$A,0)),$AC$6),$AC$8,IFERROR(INDEX(INDIRECT("Data!C"&amp;$T$4,FALSE),MATCH(Z33,Data!$A:$A,0)),$AC$6))</f>
        <v>37</v>
      </c>
      <c r="AJ33" s="88">
        <f t="shared" ca="1" si="23"/>
        <v>150.42857142857142</v>
      </c>
      <c r="AL33" s="34">
        <f t="shared" si="30"/>
        <v>41721</v>
      </c>
      <c r="AM33" s="34">
        <f t="shared" si="24"/>
        <v>41722</v>
      </c>
      <c r="AN33" s="34">
        <f t="shared" si="18"/>
        <v>41723</v>
      </c>
      <c r="AO33" s="34">
        <f t="shared" si="18"/>
        <v>41724</v>
      </c>
      <c r="AP33" s="34">
        <f t="shared" si="18"/>
        <v>41725</v>
      </c>
      <c r="AQ33" s="34">
        <f t="shared" si="18"/>
        <v>41726</v>
      </c>
      <c r="AR33" s="34">
        <f t="shared" si="18"/>
        <v>41727</v>
      </c>
      <c r="AT33" s="82" t="str">
        <f t="array" ref="AT33">IFERROR(IF(MATCH(8,DAY(AL33:AR33),0),AR33,""),"")</f>
        <v/>
      </c>
      <c r="AU33" s="71">
        <f ca="1">IF(""=IFERROR(INDEX(INDIRECT("Data!C"&amp;$AL$4,FALSE),MATCH(AL33,Data!$A:$A,0)),$AU$6),$AU$8,IFERROR(INDEX(INDIRECT("Data!C"&amp;$AL$4,FALSE),MATCH(AL33,Data!$A:$A,0)),$AU$6))</f>
        <v>30</v>
      </c>
      <c r="AV33" s="71">
        <f ca="1">IF(""=IFERROR(INDEX(INDIRECT("Data!C"&amp;$AL$4,FALSE),MATCH(AM33,Data!$A:$A,0)),$AU$6),$AU$8,IFERROR(INDEX(INDIRECT("Data!C"&amp;$AL$4,FALSE),MATCH(AM33,Data!$A:$A,0)),$AU$6))</f>
        <v>167</v>
      </c>
      <c r="AW33" s="71">
        <f ca="1">IF(""=IFERROR(INDEX(INDIRECT("Data!C"&amp;$AL$4,FALSE),MATCH(AN33,Data!$A:$A,0)),$AU$6),$AU$8,IFERROR(INDEX(INDIRECT("Data!C"&amp;$AL$4,FALSE),MATCH(AN33,Data!$A:$A,0)),$AU$6))</f>
        <v>265</v>
      </c>
      <c r="AX33" s="71">
        <f ca="1">IF(""=IFERROR(INDEX(INDIRECT("Data!C"&amp;$AL$4,FALSE),MATCH(AO33,Data!$A:$A,0)),$AU$6),$AU$8,IFERROR(INDEX(INDIRECT("Data!C"&amp;$AL$4,FALSE),MATCH(AO33,Data!$A:$A,0)),$AU$6))</f>
        <v>168</v>
      </c>
      <c r="AY33" s="71">
        <f ca="1">IF(""=IFERROR(INDEX(INDIRECT("Data!C"&amp;$AL$4,FALSE),MATCH(AP33,Data!$A:$A,0)),$AU$6),$AU$8,IFERROR(INDEX(INDIRECT("Data!C"&amp;$AL$4,FALSE),MATCH(AP33,Data!$A:$A,0)),$AU$6))</f>
        <v>210</v>
      </c>
      <c r="AZ33" s="71">
        <f ca="1">IF(""=IFERROR(INDEX(INDIRECT("Data!C"&amp;$AL$4,FALSE),MATCH(AQ33,Data!$A:$A,0)),$AU$6),$AU$8,IFERROR(INDEX(INDIRECT("Data!C"&amp;$AL$4,FALSE),MATCH(AQ33,Data!$A:$A,0)),$AU$6))</f>
        <v>176</v>
      </c>
      <c r="BA33" s="71">
        <f ca="1">IF(""=IFERROR(INDEX(INDIRECT("Data!C"&amp;$AL$4,FALSE),MATCH(AR33,Data!$A:$A,0)),$AU$6),$AU$8,IFERROR(INDEX(INDIRECT("Data!C"&amp;$AL$4,FALSE),MATCH(AR33,Data!$A:$A,0)),$AU$6))</f>
        <v>37</v>
      </c>
      <c r="BB33" s="88">
        <f t="shared" ca="1" si="25"/>
        <v>150.42857142857142</v>
      </c>
      <c r="BD33" s="34">
        <f t="shared" si="31"/>
        <v>41721</v>
      </c>
      <c r="BE33" s="34">
        <f t="shared" si="26"/>
        <v>41722</v>
      </c>
      <c r="BF33" s="34">
        <f t="shared" si="19"/>
        <v>41723</v>
      </c>
      <c r="BG33" s="34">
        <f t="shared" si="19"/>
        <v>41724</v>
      </c>
      <c r="BH33" s="34">
        <f t="shared" si="19"/>
        <v>41725</v>
      </c>
      <c r="BI33" s="34">
        <f t="shared" si="19"/>
        <v>41726</v>
      </c>
      <c r="BJ33" s="34">
        <f t="shared" si="19"/>
        <v>41727</v>
      </c>
      <c r="BL33" s="82" t="str">
        <f t="array" ref="BL33">IFERROR(IF(MATCH(8,DAY(BD33:BJ33),0),BJ33,""),"")</f>
        <v/>
      </c>
      <c r="BM33" s="71">
        <f ca="1">IF(""=IFERROR(INDEX(INDIRECT("Data!C"&amp;$BD$4,FALSE),MATCH(BD33,Data!$A:$A,0)),$BM$6),$BM$8,IFERROR(INDEX(INDIRECT("Data!C"&amp;$BD$4,FALSE),MATCH(BD33,Data!$A:$A,0)),$BM$6))</f>
        <v>30</v>
      </c>
      <c r="BN33" s="71">
        <f ca="1">IF(""=IFERROR(INDEX(INDIRECT("Data!C"&amp;$BD$4,FALSE),MATCH(BE33,Data!$A:$A,0)),$BM$6),$BM$8,IFERROR(INDEX(INDIRECT("Data!C"&amp;$BD$4,FALSE),MATCH(BE33,Data!$A:$A,0)),$BM$6))</f>
        <v>167</v>
      </c>
      <c r="BO33" s="71">
        <f ca="1">IF(""=IFERROR(INDEX(INDIRECT("Data!C"&amp;$BD$4,FALSE),MATCH(BF33,Data!$A:$A,0)),$BM$6),$BM$8,IFERROR(INDEX(INDIRECT("Data!C"&amp;$BD$4,FALSE),MATCH(BF33,Data!$A:$A,0)),$BM$6))</f>
        <v>265</v>
      </c>
      <c r="BP33" s="71">
        <f ca="1">IF(""=IFERROR(INDEX(INDIRECT("Data!C"&amp;$BD$4,FALSE),MATCH(BG33,Data!$A:$A,0)),$BM$6),$BM$8,IFERROR(INDEX(INDIRECT("Data!C"&amp;$BD$4,FALSE),MATCH(BG33,Data!$A:$A,0)),$BM$6))</f>
        <v>168</v>
      </c>
      <c r="BQ33" s="71">
        <f ca="1">IF(""=IFERROR(INDEX(INDIRECT("Data!C"&amp;$BD$4,FALSE),MATCH(BH33,Data!$A:$A,0)),$BM$6),$BM$8,IFERROR(INDEX(INDIRECT("Data!C"&amp;$BD$4,FALSE),MATCH(BH33,Data!$A:$A,0)),$BM$6))</f>
        <v>210</v>
      </c>
      <c r="BR33" s="71">
        <f ca="1">IF(""=IFERROR(INDEX(INDIRECT("Data!C"&amp;$BD$4,FALSE),MATCH(BI33,Data!$A:$A,0)),$BM$6),$BM$8,IFERROR(INDEX(INDIRECT("Data!C"&amp;$BD$4,FALSE),MATCH(BI33,Data!$A:$A,0)),$BM$6))</f>
        <v>176</v>
      </c>
      <c r="BS33" s="71">
        <f ca="1">IF(""=IFERROR(INDEX(INDIRECT("Data!C"&amp;$BD$4,FALSE),MATCH(BJ33,Data!$A:$A,0)),$BM$6),$BM$8,IFERROR(INDEX(INDIRECT("Data!C"&amp;$BD$4,FALSE),MATCH(BJ33,Data!$A:$A,0)),$BM$6))</f>
        <v>37</v>
      </c>
      <c r="BT33" s="88">
        <f t="shared" ca="1" si="27"/>
        <v>150.42857142857142</v>
      </c>
      <c r="BV33" s="92"/>
      <c r="BW33" s="12"/>
    </row>
    <row r="34" spans="2:76" ht="12" customHeight="1" x14ac:dyDescent="0.2">
      <c r="B34" s="34">
        <f t="shared" si="28"/>
        <v>41728</v>
      </c>
      <c r="C34" s="34">
        <f t="shared" si="20"/>
        <v>41729</v>
      </c>
      <c r="D34" s="34">
        <f t="shared" si="20"/>
        <v>41730</v>
      </c>
      <c r="E34" s="34">
        <f t="shared" si="20"/>
        <v>41731</v>
      </c>
      <c r="F34" s="34">
        <f t="shared" si="20"/>
        <v>41732</v>
      </c>
      <c r="G34" s="34">
        <f t="shared" si="20"/>
        <v>41733</v>
      </c>
      <c r="H34" s="34">
        <f t="shared" si="20"/>
        <v>41734</v>
      </c>
      <c r="J34" s="82" t="str">
        <f t="array" ref="J34">IFERROR(IF(MATCH(8,DAY(B34:H34),0),H34,""),"")</f>
        <v/>
      </c>
      <c r="K34" s="71">
        <f ca="1">IF(""=IFERROR(INDEX(INDIRECT("Data!C"&amp;$B$4,FALSE),MATCH(B34,Data!$A:$A,0)),$K$6),$K$8,IFERROR(INDEX(INDIRECT("Data!C"&amp;$B$4,FALSE),MATCH(B34,Data!$A:$A,0)),$K$6))</f>
        <v>14</v>
      </c>
      <c r="L34" s="71">
        <f ca="1">IF(""=IFERROR(INDEX(INDIRECT("Data!C"&amp;$B$4,FALSE),MATCH(C34,Data!$A:$A,0)),$K$6),$K$8,IFERROR(INDEX(INDIRECT("Data!C"&amp;$B$4,FALSE),MATCH(C34,Data!$A:$A,0)),$K$6))</f>
        <v>110</v>
      </c>
      <c r="M34" s="71">
        <f ca="1">IF(""=IFERROR(INDEX(INDIRECT("Data!C"&amp;$B$4,FALSE),MATCH(D34,Data!$A:$A,0)),$K$6),$K$8,IFERROR(INDEX(INDIRECT("Data!C"&amp;$B$4,FALSE),MATCH(D34,Data!$A:$A,0)),$K$6))</f>
        <v>159</v>
      </c>
      <c r="N34" s="71">
        <f ca="1">IF(""=IFERROR(INDEX(INDIRECT("Data!C"&amp;$B$4,FALSE),MATCH(E34,Data!$A:$A,0)),$K$6),$K$8,IFERROR(INDEX(INDIRECT("Data!C"&amp;$B$4,FALSE),MATCH(E34,Data!$A:$A,0)),$K$6))</f>
        <v>143</v>
      </c>
      <c r="O34" s="71">
        <f ca="1">IF(""=IFERROR(INDEX(INDIRECT("Data!C"&amp;$B$4,FALSE),MATCH(F34,Data!$A:$A,0)),$K$6),$K$8,IFERROR(INDEX(INDIRECT("Data!C"&amp;$B$4,FALSE),MATCH(F34,Data!$A:$A,0)),$K$6))</f>
        <v>133</v>
      </c>
      <c r="P34" s="71">
        <f ca="1">IF(""=IFERROR(INDEX(INDIRECT("Data!C"&amp;$B$4,FALSE),MATCH(G34,Data!$A:$A,0)),$K$6),$K$8,IFERROR(INDEX(INDIRECT("Data!C"&amp;$B$4,FALSE),MATCH(G34,Data!$A:$A,0)),$K$6))</f>
        <v>128</v>
      </c>
      <c r="Q34" s="71">
        <f ca="1">IF(""=IFERROR(INDEX(INDIRECT("Data!C"&amp;$B$4,FALSE),MATCH(H34,Data!$A:$A,0)),$K$6),$K$8,IFERROR(INDEX(INDIRECT("Data!C"&amp;$B$4,FALSE),MATCH(H34,Data!$A:$A,0)),$K$6))</f>
        <v>25</v>
      </c>
      <c r="R34" s="88">
        <f t="shared" ca="1" si="21"/>
        <v>101.71428571428571</v>
      </c>
      <c r="T34" s="34">
        <f t="shared" si="29"/>
        <v>41728</v>
      </c>
      <c r="U34" s="34">
        <f t="shared" si="22"/>
        <v>41729</v>
      </c>
      <c r="V34" s="34">
        <f t="shared" si="17"/>
        <v>41730</v>
      </c>
      <c r="W34" s="34">
        <f t="shared" si="17"/>
        <v>41731</v>
      </c>
      <c r="X34" s="34">
        <f t="shared" si="17"/>
        <v>41732</v>
      </c>
      <c r="Y34" s="34">
        <f t="shared" si="17"/>
        <v>41733</v>
      </c>
      <c r="Z34" s="34">
        <f t="shared" si="17"/>
        <v>41734</v>
      </c>
      <c r="AB34" s="82" t="str">
        <f t="array" ref="AB34">IFERROR(IF(MATCH(8,DAY(T34:Z34),0),Z34,""),"")</f>
        <v/>
      </c>
      <c r="AC34" s="71">
        <f ca="1">IF(""=IFERROR(INDEX(INDIRECT("Data!C"&amp;$T$4,FALSE),MATCH(T34,Data!$A:$A,0)),$AC$6),$AC$8,IFERROR(INDEX(INDIRECT("Data!C"&amp;$T$4,FALSE),MATCH(T34,Data!$A:$A,0)),$AC$6))</f>
        <v>14</v>
      </c>
      <c r="AD34" s="71">
        <f ca="1">IF(""=IFERROR(INDEX(INDIRECT("Data!C"&amp;$T$4,FALSE),MATCH(U34,Data!$A:$A,0)),$AC$6),$AC$8,IFERROR(INDEX(INDIRECT("Data!C"&amp;$T$4,FALSE),MATCH(U34,Data!$A:$A,0)),$AC$6))</f>
        <v>110</v>
      </c>
      <c r="AE34" s="71">
        <f ca="1">IF(""=IFERROR(INDEX(INDIRECT("Data!C"&amp;$T$4,FALSE),MATCH(V34,Data!$A:$A,0)),$AC$6),$AC$8,IFERROR(INDEX(INDIRECT("Data!C"&amp;$T$4,FALSE),MATCH(V34,Data!$A:$A,0)),$AC$6))</f>
        <v>159</v>
      </c>
      <c r="AF34" s="71">
        <f ca="1">IF(""=IFERROR(INDEX(INDIRECT("Data!C"&amp;$T$4,FALSE),MATCH(W34,Data!$A:$A,0)),$AC$6),$AC$8,IFERROR(INDEX(INDIRECT("Data!C"&amp;$T$4,FALSE),MATCH(W34,Data!$A:$A,0)),$AC$6))</f>
        <v>143</v>
      </c>
      <c r="AG34" s="71">
        <f ca="1">IF(""=IFERROR(INDEX(INDIRECT("Data!C"&amp;$T$4,FALSE),MATCH(X34,Data!$A:$A,0)),$AC$6),$AC$8,IFERROR(INDEX(INDIRECT("Data!C"&amp;$T$4,FALSE),MATCH(X34,Data!$A:$A,0)),$AC$6))</f>
        <v>133</v>
      </c>
      <c r="AH34" s="71">
        <f ca="1">IF(""=IFERROR(INDEX(INDIRECT("Data!C"&amp;$T$4,FALSE),MATCH(Y34,Data!$A:$A,0)),$AC$6),$AC$8,IFERROR(INDEX(INDIRECT("Data!C"&amp;$T$4,FALSE),MATCH(Y34,Data!$A:$A,0)),$AC$6))</f>
        <v>128</v>
      </c>
      <c r="AI34" s="71">
        <f ca="1">IF(""=IFERROR(INDEX(INDIRECT("Data!C"&amp;$T$4,FALSE),MATCH(Z34,Data!$A:$A,0)),$AC$6),$AC$8,IFERROR(INDEX(INDIRECT("Data!C"&amp;$T$4,FALSE),MATCH(Z34,Data!$A:$A,0)),$AC$6))</f>
        <v>25</v>
      </c>
      <c r="AJ34" s="88">
        <f t="shared" ca="1" si="23"/>
        <v>101.71428571428571</v>
      </c>
      <c r="AL34" s="34">
        <f t="shared" si="30"/>
        <v>41728</v>
      </c>
      <c r="AM34" s="34">
        <f t="shared" si="24"/>
        <v>41729</v>
      </c>
      <c r="AN34" s="34">
        <f t="shared" si="18"/>
        <v>41730</v>
      </c>
      <c r="AO34" s="34">
        <f t="shared" si="18"/>
        <v>41731</v>
      </c>
      <c r="AP34" s="34">
        <f t="shared" si="18"/>
        <v>41732</v>
      </c>
      <c r="AQ34" s="34">
        <f t="shared" si="18"/>
        <v>41733</v>
      </c>
      <c r="AR34" s="34">
        <f t="shared" si="18"/>
        <v>41734</v>
      </c>
      <c r="AT34" s="82" t="str">
        <f t="array" ref="AT34">IFERROR(IF(MATCH(8,DAY(AL34:AR34),0),AR34,""),"")</f>
        <v/>
      </c>
      <c r="AU34" s="71">
        <f ca="1">IF(""=IFERROR(INDEX(INDIRECT("Data!C"&amp;$AL$4,FALSE),MATCH(AL34,Data!$A:$A,0)),$AU$6),$AU$8,IFERROR(INDEX(INDIRECT("Data!C"&amp;$AL$4,FALSE),MATCH(AL34,Data!$A:$A,0)),$AU$6))</f>
        <v>14</v>
      </c>
      <c r="AV34" s="71">
        <f ca="1">IF(""=IFERROR(INDEX(INDIRECT("Data!C"&amp;$AL$4,FALSE),MATCH(AM34,Data!$A:$A,0)),$AU$6),$AU$8,IFERROR(INDEX(INDIRECT("Data!C"&amp;$AL$4,FALSE),MATCH(AM34,Data!$A:$A,0)),$AU$6))</f>
        <v>110</v>
      </c>
      <c r="AW34" s="71">
        <f ca="1">IF(""=IFERROR(INDEX(INDIRECT("Data!C"&amp;$AL$4,FALSE),MATCH(AN34,Data!$A:$A,0)),$AU$6),$AU$8,IFERROR(INDEX(INDIRECT("Data!C"&amp;$AL$4,FALSE),MATCH(AN34,Data!$A:$A,0)),$AU$6))</f>
        <v>159</v>
      </c>
      <c r="AX34" s="71">
        <f ca="1">IF(""=IFERROR(INDEX(INDIRECT("Data!C"&amp;$AL$4,FALSE),MATCH(AO34,Data!$A:$A,0)),$AU$6),$AU$8,IFERROR(INDEX(INDIRECT("Data!C"&amp;$AL$4,FALSE),MATCH(AO34,Data!$A:$A,0)),$AU$6))</f>
        <v>143</v>
      </c>
      <c r="AY34" s="71">
        <f ca="1">IF(""=IFERROR(INDEX(INDIRECT("Data!C"&amp;$AL$4,FALSE),MATCH(AP34,Data!$A:$A,0)),$AU$6),$AU$8,IFERROR(INDEX(INDIRECT("Data!C"&amp;$AL$4,FALSE),MATCH(AP34,Data!$A:$A,0)),$AU$6))</f>
        <v>133</v>
      </c>
      <c r="AZ34" s="71">
        <f ca="1">IF(""=IFERROR(INDEX(INDIRECT("Data!C"&amp;$AL$4,FALSE),MATCH(AQ34,Data!$A:$A,0)),$AU$6),$AU$8,IFERROR(INDEX(INDIRECT("Data!C"&amp;$AL$4,FALSE),MATCH(AQ34,Data!$A:$A,0)),$AU$6))</f>
        <v>128</v>
      </c>
      <c r="BA34" s="71">
        <f ca="1">IF(""=IFERROR(INDEX(INDIRECT("Data!C"&amp;$AL$4,FALSE),MATCH(AR34,Data!$A:$A,0)),$AU$6),$AU$8,IFERROR(INDEX(INDIRECT("Data!C"&amp;$AL$4,FALSE),MATCH(AR34,Data!$A:$A,0)),$AU$6))</f>
        <v>25</v>
      </c>
      <c r="BB34" s="88">
        <f t="shared" ca="1" si="25"/>
        <v>101.71428571428571</v>
      </c>
      <c r="BD34" s="34">
        <f t="shared" si="31"/>
        <v>41728</v>
      </c>
      <c r="BE34" s="34">
        <f t="shared" si="26"/>
        <v>41729</v>
      </c>
      <c r="BF34" s="34">
        <f t="shared" si="19"/>
        <v>41730</v>
      </c>
      <c r="BG34" s="34">
        <f t="shared" si="19"/>
        <v>41731</v>
      </c>
      <c r="BH34" s="34">
        <f t="shared" si="19"/>
        <v>41732</v>
      </c>
      <c r="BI34" s="34">
        <f t="shared" si="19"/>
        <v>41733</v>
      </c>
      <c r="BJ34" s="34">
        <f t="shared" si="19"/>
        <v>41734</v>
      </c>
      <c r="BL34" s="82" t="str">
        <f t="array" ref="BL34">IFERROR(IF(MATCH(8,DAY(BD34:BJ34),0),BJ34,""),"")</f>
        <v/>
      </c>
      <c r="BM34" s="71">
        <f ca="1">IF(""=IFERROR(INDEX(INDIRECT("Data!C"&amp;$BD$4,FALSE),MATCH(BD34,Data!$A:$A,0)),$BM$6),$BM$8,IFERROR(INDEX(INDIRECT("Data!C"&amp;$BD$4,FALSE),MATCH(BD34,Data!$A:$A,0)),$BM$6))</f>
        <v>14</v>
      </c>
      <c r="BN34" s="71">
        <f ca="1">IF(""=IFERROR(INDEX(INDIRECT("Data!C"&amp;$BD$4,FALSE),MATCH(BE34,Data!$A:$A,0)),$BM$6),$BM$8,IFERROR(INDEX(INDIRECT("Data!C"&amp;$BD$4,FALSE),MATCH(BE34,Data!$A:$A,0)),$BM$6))</f>
        <v>110</v>
      </c>
      <c r="BO34" s="71">
        <f ca="1">IF(""=IFERROR(INDEX(INDIRECT("Data!C"&amp;$BD$4,FALSE),MATCH(BF34,Data!$A:$A,0)),$BM$6),$BM$8,IFERROR(INDEX(INDIRECT("Data!C"&amp;$BD$4,FALSE),MATCH(BF34,Data!$A:$A,0)),$BM$6))</f>
        <v>159</v>
      </c>
      <c r="BP34" s="71">
        <f ca="1">IF(""=IFERROR(INDEX(INDIRECT("Data!C"&amp;$BD$4,FALSE),MATCH(BG34,Data!$A:$A,0)),$BM$6),$BM$8,IFERROR(INDEX(INDIRECT("Data!C"&amp;$BD$4,FALSE),MATCH(BG34,Data!$A:$A,0)),$BM$6))</f>
        <v>143</v>
      </c>
      <c r="BQ34" s="71">
        <f ca="1">IF(""=IFERROR(INDEX(INDIRECT("Data!C"&amp;$BD$4,FALSE),MATCH(BH34,Data!$A:$A,0)),$BM$6),$BM$8,IFERROR(INDEX(INDIRECT("Data!C"&amp;$BD$4,FALSE),MATCH(BH34,Data!$A:$A,0)),$BM$6))</f>
        <v>133</v>
      </c>
      <c r="BR34" s="71">
        <f ca="1">IF(""=IFERROR(INDEX(INDIRECT("Data!C"&amp;$BD$4,FALSE),MATCH(BI34,Data!$A:$A,0)),$BM$6),$BM$8,IFERROR(INDEX(INDIRECT("Data!C"&amp;$BD$4,FALSE),MATCH(BI34,Data!$A:$A,0)),$BM$6))</f>
        <v>128</v>
      </c>
      <c r="BS34" s="71">
        <f ca="1">IF(""=IFERROR(INDEX(INDIRECT("Data!C"&amp;$BD$4,FALSE),MATCH(BJ34,Data!$A:$A,0)),$BM$6),$BM$8,IFERROR(INDEX(INDIRECT("Data!C"&amp;$BD$4,FALSE),MATCH(BJ34,Data!$A:$A,0)),$BM$6))</f>
        <v>25</v>
      </c>
      <c r="BT34" s="88">
        <f t="shared" ca="1" si="27"/>
        <v>101.71428571428571</v>
      </c>
      <c r="BV34" s="92"/>
      <c r="BW34" s="12"/>
    </row>
    <row r="35" spans="2:76" ht="12" customHeight="1" x14ac:dyDescent="0.2">
      <c r="B35" s="34">
        <f t="shared" si="28"/>
        <v>41735</v>
      </c>
      <c r="C35" s="34">
        <f t="shared" si="20"/>
        <v>41736</v>
      </c>
      <c r="D35" s="34">
        <f t="shared" si="20"/>
        <v>41737</v>
      </c>
      <c r="E35" s="34">
        <f t="shared" si="20"/>
        <v>41738</v>
      </c>
      <c r="F35" s="34">
        <f t="shared" si="20"/>
        <v>41739</v>
      </c>
      <c r="G35" s="34">
        <f t="shared" si="20"/>
        <v>41740</v>
      </c>
      <c r="H35" s="34">
        <f t="shared" si="20"/>
        <v>41741</v>
      </c>
      <c r="J35" s="82">
        <f t="array" ref="J35">IFERROR(IF(MATCH(8,DAY(B35:H35),0),H35,""),"")</f>
        <v>41741</v>
      </c>
      <c r="K35" s="71">
        <f ca="1">IF(""=IFERROR(INDEX(INDIRECT("Data!C"&amp;$B$4,FALSE),MATCH(B35,Data!$A:$A,0)),$K$6),$K$8,IFERROR(INDEX(INDIRECT("Data!C"&amp;$B$4,FALSE),MATCH(B35,Data!$A:$A,0)),$K$6))</f>
        <v>21</v>
      </c>
      <c r="L35" s="71">
        <f ca="1">IF(""=IFERROR(INDEX(INDIRECT("Data!C"&amp;$B$4,FALSE),MATCH(C35,Data!$A:$A,0)),$K$6),$K$8,IFERROR(INDEX(INDIRECT("Data!C"&amp;$B$4,FALSE),MATCH(C35,Data!$A:$A,0)),$K$6))</f>
        <v>234</v>
      </c>
      <c r="M35" s="71">
        <f ca="1">IF(""=IFERROR(INDEX(INDIRECT("Data!C"&amp;$B$4,FALSE),MATCH(D35,Data!$A:$A,0)),$K$6),$K$8,IFERROR(INDEX(INDIRECT("Data!C"&amp;$B$4,FALSE),MATCH(D35,Data!$A:$A,0)),$K$6))</f>
        <v>217</v>
      </c>
      <c r="N35" s="71">
        <f ca="1">IF(""=IFERROR(INDEX(INDIRECT("Data!C"&amp;$B$4,FALSE),MATCH(E35,Data!$A:$A,0)),$K$6),$K$8,IFERROR(INDEX(INDIRECT("Data!C"&amp;$B$4,FALSE),MATCH(E35,Data!$A:$A,0)),$K$6))</f>
        <v>168</v>
      </c>
      <c r="O35" s="71">
        <f ca="1">IF(""=IFERROR(INDEX(INDIRECT("Data!C"&amp;$B$4,FALSE),MATCH(F35,Data!$A:$A,0)),$K$6),$K$8,IFERROR(INDEX(INDIRECT("Data!C"&amp;$B$4,FALSE),MATCH(F35,Data!$A:$A,0)),$K$6))</f>
        <v>211</v>
      </c>
      <c r="P35" s="71">
        <f ca="1">IF(""=IFERROR(INDEX(INDIRECT("Data!C"&amp;$B$4,FALSE),MATCH(G35,Data!$A:$A,0)),$K$6),$K$8,IFERROR(INDEX(INDIRECT("Data!C"&amp;$B$4,FALSE),MATCH(G35,Data!$A:$A,0)),$K$6))</f>
        <v>135</v>
      </c>
      <c r="Q35" s="71">
        <f ca="1">IF(""=IFERROR(INDEX(INDIRECT("Data!C"&amp;$B$4,FALSE),MATCH(H35,Data!$A:$A,0)),$K$6),$K$8,IFERROR(INDEX(INDIRECT("Data!C"&amp;$B$4,FALSE),MATCH(H35,Data!$A:$A,0)),$K$6))</f>
        <v>40</v>
      </c>
      <c r="R35" s="88">
        <f t="shared" ca="1" si="21"/>
        <v>146.57142857142858</v>
      </c>
      <c r="T35" s="34">
        <f t="shared" si="29"/>
        <v>41735</v>
      </c>
      <c r="U35" s="34">
        <f t="shared" si="22"/>
        <v>41736</v>
      </c>
      <c r="V35" s="34">
        <f t="shared" si="17"/>
        <v>41737</v>
      </c>
      <c r="W35" s="34">
        <f t="shared" si="17"/>
        <v>41738</v>
      </c>
      <c r="X35" s="34">
        <f t="shared" si="17"/>
        <v>41739</v>
      </c>
      <c r="Y35" s="34">
        <f t="shared" si="17"/>
        <v>41740</v>
      </c>
      <c r="Z35" s="34">
        <f t="shared" si="17"/>
        <v>41741</v>
      </c>
      <c r="AB35" s="82">
        <f t="array" ref="AB35">IFERROR(IF(MATCH(8,DAY(T35:Z35),0),Z35,""),"")</f>
        <v>41741</v>
      </c>
      <c r="AC35" s="71">
        <f ca="1">IF(""=IFERROR(INDEX(INDIRECT("Data!C"&amp;$T$4,FALSE),MATCH(T35,Data!$A:$A,0)),$AC$6),$AC$8,IFERROR(INDEX(INDIRECT("Data!C"&amp;$T$4,FALSE),MATCH(T35,Data!$A:$A,0)),$AC$6))</f>
        <v>21</v>
      </c>
      <c r="AD35" s="71">
        <f ca="1">IF(""=IFERROR(INDEX(INDIRECT("Data!C"&amp;$T$4,FALSE),MATCH(U35,Data!$A:$A,0)),$AC$6),$AC$8,IFERROR(INDEX(INDIRECT("Data!C"&amp;$T$4,FALSE),MATCH(U35,Data!$A:$A,0)),$AC$6))</f>
        <v>234</v>
      </c>
      <c r="AE35" s="71">
        <f ca="1">IF(""=IFERROR(INDEX(INDIRECT("Data!C"&amp;$T$4,FALSE),MATCH(V35,Data!$A:$A,0)),$AC$6),$AC$8,IFERROR(INDEX(INDIRECT("Data!C"&amp;$T$4,FALSE),MATCH(V35,Data!$A:$A,0)),$AC$6))</f>
        <v>217</v>
      </c>
      <c r="AF35" s="71">
        <f ca="1">IF(""=IFERROR(INDEX(INDIRECT("Data!C"&amp;$T$4,FALSE),MATCH(W35,Data!$A:$A,0)),$AC$6),$AC$8,IFERROR(INDEX(INDIRECT("Data!C"&amp;$T$4,FALSE),MATCH(W35,Data!$A:$A,0)),$AC$6))</f>
        <v>168</v>
      </c>
      <c r="AG35" s="71">
        <f ca="1">IF(""=IFERROR(INDEX(INDIRECT("Data!C"&amp;$T$4,FALSE),MATCH(X35,Data!$A:$A,0)),$AC$6),$AC$8,IFERROR(INDEX(INDIRECT("Data!C"&amp;$T$4,FALSE),MATCH(X35,Data!$A:$A,0)),$AC$6))</f>
        <v>211</v>
      </c>
      <c r="AH35" s="71">
        <f ca="1">IF(""=IFERROR(INDEX(INDIRECT("Data!C"&amp;$T$4,FALSE),MATCH(Y35,Data!$A:$A,0)),$AC$6),$AC$8,IFERROR(INDEX(INDIRECT("Data!C"&amp;$T$4,FALSE),MATCH(Y35,Data!$A:$A,0)),$AC$6))</f>
        <v>135</v>
      </c>
      <c r="AI35" s="71">
        <f ca="1">IF(""=IFERROR(INDEX(INDIRECT("Data!C"&amp;$T$4,FALSE),MATCH(Z35,Data!$A:$A,0)),$AC$6),$AC$8,IFERROR(INDEX(INDIRECT("Data!C"&amp;$T$4,FALSE),MATCH(Z35,Data!$A:$A,0)),$AC$6))</f>
        <v>40</v>
      </c>
      <c r="AJ35" s="88">
        <f t="shared" ca="1" si="23"/>
        <v>146.57142857142858</v>
      </c>
      <c r="AL35" s="34">
        <f t="shared" si="30"/>
        <v>41735</v>
      </c>
      <c r="AM35" s="34">
        <f t="shared" si="24"/>
        <v>41736</v>
      </c>
      <c r="AN35" s="34">
        <f t="shared" si="18"/>
        <v>41737</v>
      </c>
      <c r="AO35" s="34">
        <f t="shared" si="18"/>
        <v>41738</v>
      </c>
      <c r="AP35" s="34">
        <f t="shared" si="18"/>
        <v>41739</v>
      </c>
      <c r="AQ35" s="34">
        <f t="shared" si="18"/>
        <v>41740</v>
      </c>
      <c r="AR35" s="34">
        <f t="shared" si="18"/>
        <v>41741</v>
      </c>
      <c r="AT35" s="82">
        <f t="array" ref="AT35">IFERROR(IF(MATCH(8,DAY(AL35:AR35),0),AR35,""),"")</f>
        <v>41741</v>
      </c>
      <c r="AU35" s="71">
        <f ca="1">IF(""=IFERROR(INDEX(INDIRECT("Data!C"&amp;$AL$4,FALSE),MATCH(AL35,Data!$A:$A,0)),$AU$6),$AU$8,IFERROR(INDEX(INDIRECT("Data!C"&amp;$AL$4,FALSE),MATCH(AL35,Data!$A:$A,0)),$AU$6))</f>
        <v>21</v>
      </c>
      <c r="AV35" s="71">
        <f ca="1">IF(""=IFERROR(INDEX(INDIRECT("Data!C"&amp;$AL$4,FALSE),MATCH(AM35,Data!$A:$A,0)),$AU$6),$AU$8,IFERROR(INDEX(INDIRECT("Data!C"&amp;$AL$4,FALSE),MATCH(AM35,Data!$A:$A,0)),$AU$6))</f>
        <v>234</v>
      </c>
      <c r="AW35" s="71">
        <f ca="1">IF(""=IFERROR(INDEX(INDIRECT("Data!C"&amp;$AL$4,FALSE),MATCH(AN35,Data!$A:$A,0)),$AU$6),$AU$8,IFERROR(INDEX(INDIRECT("Data!C"&amp;$AL$4,FALSE),MATCH(AN35,Data!$A:$A,0)),$AU$6))</f>
        <v>217</v>
      </c>
      <c r="AX35" s="71">
        <f ca="1">IF(""=IFERROR(INDEX(INDIRECT("Data!C"&amp;$AL$4,FALSE),MATCH(AO35,Data!$A:$A,0)),$AU$6),$AU$8,IFERROR(INDEX(INDIRECT("Data!C"&amp;$AL$4,FALSE),MATCH(AO35,Data!$A:$A,0)),$AU$6))</f>
        <v>168</v>
      </c>
      <c r="AY35" s="71">
        <f ca="1">IF(""=IFERROR(INDEX(INDIRECT("Data!C"&amp;$AL$4,FALSE),MATCH(AP35,Data!$A:$A,0)),$AU$6),$AU$8,IFERROR(INDEX(INDIRECT("Data!C"&amp;$AL$4,FALSE),MATCH(AP35,Data!$A:$A,0)),$AU$6))</f>
        <v>211</v>
      </c>
      <c r="AZ35" s="71">
        <f ca="1">IF(""=IFERROR(INDEX(INDIRECT("Data!C"&amp;$AL$4,FALSE),MATCH(AQ35,Data!$A:$A,0)),$AU$6),$AU$8,IFERROR(INDEX(INDIRECT("Data!C"&amp;$AL$4,FALSE),MATCH(AQ35,Data!$A:$A,0)),$AU$6))</f>
        <v>135</v>
      </c>
      <c r="BA35" s="71">
        <f ca="1">IF(""=IFERROR(INDEX(INDIRECT("Data!C"&amp;$AL$4,FALSE),MATCH(AR35,Data!$A:$A,0)),$AU$6),$AU$8,IFERROR(INDEX(INDIRECT("Data!C"&amp;$AL$4,FALSE),MATCH(AR35,Data!$A:$A,0)),$AU$6))</f>
        <v>40</v>
      </c>
      <c r="BB35" s="88">
        <f t="shared" ca="1" si="25"/>
        <v>146.57142857142858</v>
      </c>
      <c r="BD35" s="34">
        <f t="shared" si="31"/>
        <v>41735</v>
      </c>
      <c r="BE35" s="34">
        <f t="shared" si="26"/>
        <v>41736</v>
      </c>
      <c r="BF35" s="34">
        <f t="shared" si="19"/>
        <v>41737</v>
      </c>
      <c r="BG35" s="34">
        <f t="shared" si="19"/>
        <v>41738</v>
      </c>
      <c r="BH35" s="34">
        <f t="shared" si="19"/>
        <v>41739</v>
      </c>
      <c r="BI35" s="34">
        <f t="shared" si="19"/>
        <v>41740</v>
      </c>
      <c r="BJ35" s="34">
        <f t="shared" si="19"/>
        <v>41741</v>
      </c>
      <c r="BL35" s="82">
        <f t="array" ref="BL35">IFERROR(IF(MATCH(8,DAY(BD35:BJ35),0),BJ35,""),"")</f>
        <v>41741</v>
      </c>
      <c r="BM35" s="71">
        <f ca="1">IF(""=IFERROR(INDEX(INDIRECT("Data!C"&amp;$BD$4,FALSE),MATCH(BD35,Data!$A:$A,0)),$BM$6),$BM$8,IFERROR(INDEX(INDIRECT("Data!C"&amp;$BD$4,FALSE),MATCH(BD35,Data!$A:$A,0)),$BM$6))</f>
        <v>21</v>
      </c>
      <c r="BN35" s="71">
        <f ca="1">IF(""=IFERROR(INDEX(INDIRECT("Data!C"&amp;$BD$4,FALSE),MATCH(BE35,Data!$A:$A,0)),$BM$6),$BM$8,IFERROR(INDEX(INDIRECT("Data!C"&amp;$BD$4,FALSE),MATCH(BE35,Data!$A:$A,0)),$BM$6))</f>
        <v>234</v>
      </c>
      <c r="BO35" s="71">
        <f ca="1">IF(""=IFERROR(INDEX(INDIRECT("Data!C"&amp;$BD$4,FALSE),MATCH(BF35,Data!$A:$A,0)),$BM$6),$BM$8,IFERROR(INDEX(INDIRECT("Data!C"&amp;$BD$4,FALSE),MATCH(BF35,Data!$A:$A,0)),$BM$6))</f>
        <v>217</v>
      </c>
      <c r="BP35" s="71">
        <f ca="1">IF(""=IFERROR(INDEX(INDIRECT("Data!C"&amp;$BD$4,FALSE),MATCH(BG35,Data!$A:$A,0)),$BM$6),$BM$8,IFERROR(INDEX(INDIRECT("Data!C"&amp;$BD$4,FALSE),MATCH(BG35,Data!$A:$A,0)),$BM$6))</f>
        <v>168</v>
      </c>
      <c r="BQ35" s="71">
        <f ca="1">IF(""=IFERROR(INDEX(INDIRECT("Data!C"&amp;$BD$4,FALSE),MATCH(BH35,Data!$A:$A,0)),$BM$6),$BM$8,IFERROR(INDEX(INDIRECT("Data!C"&amp;$BD$4,FALSE),MATCH(BH35,Data!$A:$A,0)),$BM$6))</f>
        <v>211</v>
      </c>
      <c r="BR35" s="71">
        <f ca="1">IF(""=IFERROR(INDEX(INDIRECT("Data!C"&amp;$BD$4,FALSE),MATCH(BI35,Data!$A:$A,0)),$BM$6),$BM$8,IFERROR(INDEX(INDIRECT("Data!C"&amp;$BD$4,FALSE),MATCH(BI35,Data!$A:$A,0)),$BM$6))</f>
        <v>135</v>
      </c>
      <c r="BS35" s="71">
        <f ca="1">IF(""=IFERROR(INDEX(INDIRECT("Data!C"&amp;$BD$4,FALSE),MATCH(BJ35,Data!$A:$A,0)),$BM$6),$BM$8,IFERROR(INDEX(INDIRECT("Data!C"&amp;$BD$4,FALSE),MATCH(BJ35,Data!$A:$A,0)),$BM$6))</f>
        <v>40</v>
      </c>
      <c r="BT35" s="88">
        <f t="shared" ca="1" si="27"/>
        <v>146.57142857142858</v>
      </c>
      <c r="BV35" s="92"/>
      <c r="BW35" s="12"/>
    </row>
    <row r="36" spans="2:76" ht="12" customHeight="1" x14ac:dyDescent="0.2">
      <c r="B36" s="34">
        <f t="shared" si="28"/>
        <v>41742</v>
      </c>
      <c r="C36" s="34">
        <f t="shared" si="20"/>
        <v>41743</v>
      </c>
      <c r="D36" s="34">
        <f t="shared" si="20"/>
        <v>41744</v>
      </c>
      <c r="E36" s="34">
        <f t="shared" si="20"/>
        <v>41745</v>
      </c>
      <c r="F36" s="34">
        <f t="shared" si="20"/>
        <v>41746</v>
      </c>
      <c r="G36" s="34">
        <f t="shared" si="20"/>
        <v>41747</v>
      </c>
      <c r="H36" s="34">
        <f t="shared" si="20"/>
        <v>41748</v>
      </c>
      <c r="J36" s="82" t="str">
        <f t="array" ref="J36">IFERROR(IF(MATCH(8,DAY(B36:H36),0),H36,""),"")</f>
        <v/>
      </c>
      <c r="K36" s="71">
        <f ca="1">IF(""=IFERROR(INDEX(INDIRECT("Data!C"&amp;$B$4,FALSE),MATCH(B36,Data!$A:$A,0)),$K$6),$K$8,IFERROR(INDEX(INDIRECT("Data!C"&amp;$B$4,FALSE),MATCH(B36,Data!$A:$A,0)),$K$6))</f>
        <v>12</v>
      </c>
      <c r="L36" s="71">
        <f ca="1">IF(""=IFERROR(INDEX(INDIRECT("Data!C"&amp;$B$4,FALSE),MATCH(C36,Data!$A:$A,0)),$K$6),$K$8,IFERROR(INDEX(INDIRECT("Data!C"&amp;$B$4,FALSE),MATCH(C36,Data!$A:$A,0)),$K$6))</f>
        <v>195</v>
      </c>
      <c r="M36" s="71">
        <f ca="1">IF(""=IFERROR(INDEX(INDIRECT("Data!C"&amp;$B$4,FALSE),MATCH(D36,Data!$A:$A,0)),$K$6),$K$8,IFERROR(INDEX(INDIRECT("Data!C"&amp;$B$4,FALSE),MATCH(D36,Data!$A:$A,0)),$K$6))</f>
        <v>267</v>
      </c>
      <c r="N36" s="71">
        <f ca="1">IF(""=IFERROR(INDEX(INDIRECT("Data!C"&amp;$B$4,FALSE),MATCH(E36,Data!$A:$A,0)),$K$6),$K$8,IFERROR(INDEX(INDIRECT("Data!C"&amp;$B$4,FALSE),MATCH(E36,Data!$A:$A,0)),$K$6))</f>
        <v>204</v>
      </c>
      <c r="O36" s="71">
        <f ca="1">IF(""=IFERROR(INDEX(INDIRECT("Data!C"&amp;$B$4,FALSE),MATCH(F36,Data!$A:$A,0)),$K$6),$K$8,IFERROR(INDEX(INDIRECT("Data!C"&amp;$B$4,FALSE),MATCH(F36,Data!$A:$A,0)),$K$6))</f>
        <v>207</v>
      </c>
      <c r="P36" s="71">
        <f ca="1">IF(""=IFERROR(INDEX(INDIRECT("Data!C"&amp;$B$4,FALSE),MATCH(G36,Data!$A:$A,0)),$K$6),$K$8,IFERROR(INDEX(INDIRECT("Data!C"&amp;$B$4,FALSE),MATCH(G36,Data!$A:$A,0)),$K$6))</f>
        <v>144</v>
      </c>
      <c r="Q36" s="71">
        <f ca="1">IF(""=IFERROR(INDEX(INDIRECT("Data!C"&amp;$B$4,FALSE),MATCH(H36,Data!$A:$A,0)),$K$6),$K$8,IFERROR(INDEX(INDIRECT("Data!C"&amp;$B$4,FALSE),MATCH(H36,Data!$A:$A,0)),$K$6))</f>
        <v>64</v>
      </c>
      <c r="R36" s="88">
        <f t="shared" ca="1" si="21"/>
        <v>156.14285714285714</v>
      </c>
      <c r="T36" s="34">
        <f t="shared" si="29"/>
        <v>41742</v>
      </c>
      <c r="U36" s="34">
        <f t="shared" si="22"/>
        <v>41743</v>
      </c>
      <c r="V36" s="34">
        <f t="shared" si="17"/>
        <v>41744</v>
      </c>
      <c r="W36" s="34">
        <f t="shared" si="17"/>
        <v>41745</v>
      </c>
      <c r="X36" s="34">
        <f t="shared" si="17"/>
        <v>41746</v>
      </c>
      <c r="Y36" s="34">
        <f t="shared" si="17"/>
        <v>41747</v>
      </c>
      <c r="Z36" s="34">
        <f t="shared" si="17"/>
        <v>41748</v>
      </c>
      <c r="AB36" s="82" t="str">
        <f t="array" ref="AB36">IFERROR(IF(MATCH(8,DAY(T36:Z36),0),Z36,""),"")</f>
        <v/>
      </c>
      <c r="AC36" s="71">
        <f ca="1">IF(""=IFERROR(INDEX(INDIRECT("Data!C"&amp;$T$4,FALSE),MATCH(T36,Data!$A:$A,0)),$AC$6),$AC$8,IFERROR(INDEX(INDIRECT("Data!C"&amp;$T$4,FALSE),MATCH(T36,Data!$A:$A,0)),$AC$6))</f>
        <v>12</v>
      </c>
      <c r="AD36" s="71">
        <f ca="1">IF(""=IFERROR(INDEX(INDIRECT("Data!C"&amp;$T$4,FALSE),MATCH(U36,Data!$A:$A,0)),$AC$6),$AC$8,IFERROR(INDEX(INDIRECT("Data!C"&amp;$T$4,FALSE),MATCH(U36,Data!$A:$A,0)),$AC$6))</f>
        <v>195</v>
      </c>
      <c r="AE36" s="71">
        <f ca="1">IF(""=IFERROR(INDEX(INDIRECT("Data!C"&amp;$T$4,FALSE),MATCH(V36,Data!$A:$A,0)),$AC$6),$AC$8,IFERROR(INDEX(INDIRECT("Data!C"&amp;$T$4,FALSE),MATCH(V36,Data!$A:$A,0)),$AC$6))</f>
        <v>267</v>
      </c>
      <c r="AF36" s="71">
        <f ca="1">IF(""=IFERROR(INDEX(INDIRECT("Data!C"&amp;$T$4,FALSE),MATCH(W36,Data!$A:$A,0)),$AC$6),$AC$8,IFERROR(INDEX(INDIRECT("Data!C"&amp;$T$4,FALSE),MATCH(W36,Data!$A:$A,0)),$AC$6))</f>
        <v>204</v>
      </c>
      <c r="AG36" s="71">
        <f ca="1">IF(""=IFERROR(INDEX(INDIRECT("Data!C"&amp;$T$4,FALSE),MATCH(X36,Data!$A:$A,0)),$AC$6),$AC$8,IFERROR(INDEX(INDIRECT("Data!C"&amp;$T$4,FALSE),MATCH(X36,Data!$A:$A,0)),$AC$6))</f>
        <v>207</v>
      </c>
      <c r="AH36" s="71">
        <f ca="1">IF(""=IFERROR(INDEX(INDIRECT("Data!C"&amp;$T$4,FALSE),MATCH(Y36,Data!$A:$A,0)),$AC$6),$AC$8,IFERROR(INDEX(INDIRECT("Data!C"&amp;$T$4,FALSE),MATCH(Y36,Data!$A:$A,0)),$AC$6))</f>
        <v>144</v>
      </c>
      <c r="AI36" s="71">
        <f ca="1">IF(""=IFERROR(INDEX(INDIRECT("Data!C"&amp;$T$4,FALSE),MATCH(Z36,Data!$A:$A,0)),$AC$6),$AC$8,IFERROR(INDEX(INDIRECT("Data!C"&amp;$T$4,FALSE),MATCH(Z36,Data!$A:$A,0)),$AC$6))</f>
        <v>64</v>
      </c>
      <c r="AJ36" s="88">
        <f t="shared" ca="1" si="23"/>
        <v>156.14285714285714</v>
      </c>
      <c r="AL36" s="34">
        <f t="shared" si="30"/>
        <v>41742</v>
      </c>
      <c r="AM36" s="34">
        <f t="shared" si="24"/>
        <v>41743</v>
      </c>
      <c r="AN36" s="34">
        <f t="shared" si="18"/>
        <v>41744</v>
      </c>
      <c r="AO36" s="34">
        <f t="shared" si="18"/>
        <v>41745</v>
      </c>
      <c r="AP36" s="34">
        <f t="shared" si="18"/>
        <v>41746</v>
      </c>
      <c r="AQ36" s="34">
        <f t="shared" si="18"/>
        <v>41747</v>
      </c>
      <c r="AR36" s="34">
        <f t="shared" si="18"/>
        <v>41748</v>
      </c>
      <c r="AT36" s="82" t="str">
        <f t="array" ref="AT36">IFERROR(IF(MATCH(8,DAY(AL36:AR36),0),AR36,""),"")</f>
        <v/>
      </c>
      <c r="AU36" s="71">
        <f ca="1">IF(""=IFERROR(INDEX(INDIRECT("Data!C"&amp;$AL$4,FALSE),MATCH(AL36,Data!$A:$A,0)),$AU$6),$AU$8,IFERROR(INDEX(INDIRECT("Data!C"&amp;$AL$4,FALSE),MATCH(AL36,Data!$A:$A,0)),$AU$6))</f>
        <v>12</v>
      </c>
      <c r="AV36" s="71">
        <f ca="1">IF(""=IFERROR(INDEX(INDIRECT("Data!C"&amp;$AL$4,FALSE),MATCH(AM36,Data!$A:$A,0)),$AU$6),$AU$8,IFERROR(INDEX(INDIRECT("Data!C"&amp;$AL$4,FALSE),MATCH(AM36,Data!$A:$A,0)),$AU$6))</f>
        <v>195</v>
      </c>
      <c r="AW36" s="71">
        <f ca="1">IF(""=IFERROR(INDEX(INDIRECT("Data!C"&amp;$AL$4,FALSE),MATCH(AN36,Data!$A:$A,0)),$AU$6),$AU$8,IFERROR(INDEX(INDIRECT("Data!C"&amp;$AL$4,FALSE),MATCH(AN36,Data!$A:$A,0)),$AU$6))</f>
        <v>267</v>
      </c>
      <c r="AX36" s="71">
        <f ca="1">IF(""=IFERROR(INDEX(INDIRECT("Data!C"&amp;$AL$4,FALSE),MATCH(AO36,Data!$A:$A,0)),$AU$6),$AU$8,IFERROR(INDEX(INDIRECT("Data!C"&amp;$AL$4,FALSE),MATCH(AO36,Data!$A:$A,0)),$AU$6))</f>
        <v>204</v>
      </c>
      <c r="AY36" s="71">
        <f ca="1">IF(""=IFERROR(INDEX(INDIRECT("Data!C"&amp;$AL$4,FALSE),MATCH(AP36,Data!$A:$A,0)),$AU$6),$AU$8,IFERROR(INDEX(INDIRECT("Data!C"&amp;$AL$4,FALSE),MATCH(AP36,Data!$A:$A,0)),$AU$6))</f>
        <v>207</v>
      </c>
      <c r="AZ36" s="71">
        <f ca="1">IF(""=IFERROR(INDEX(INDIRECT("Data!C"&amp;$AL$4,FALSE),MATCH(AQ36,Data!$A:$A,0)),$AU$6),$AU$8,IFERROR(INDEX(INDIRECT("Data!C"&amp;$AL$4,FALSE),MATCH(AQ36,Data!$A:$A,0)),$AU$6))</f>
        <v>144</v>
      </c>
      <c r="BA36" s="71">
        <f ca="1">IF(""=IFERROR(INDEX(INDIRECT("Data!C"&amp;$AL$4,FALSE),MATCH(AR36,Data!$A:$A,0)),$AU$6),$AU$8,IFERROR(INDEX(INDIRECT("Data!C"&amp;$AL$4,FALSE),MATCH(AR36,Data!$A:$A,0)),$AU$6))</f>
        <v>64</v>
      </c>
      <c r="BB36" s="88">
        <f t="shared" ca="1" si="25"/>
        <v>156.14285714285714</v>
      </c>
      <c r="BD36" s="34">
        <f t="shared" si="31"/>
        <v>41742</v>
      </c>
      <c r="BE36" s="34">
        <f t="shared" si="26"/>
        <v>41743</v>
      </c>
      <c r="BF36" s="34">
        <f t="shared" si="19"/>
        <v>41744</v>
      </c>
      <c r="BG36" s="34">
        <f t="shared" si="19"/>
        <v>41745</v>
      </c>
      <c r="BH36" s="34">
        <f t="shared" si="19"/>
        <v>41746</v>
      </c>
      <c r="BI36" s="34">
        <f t="shared" si="19"/>
        <v>41747</v>
      </c>
      <c r="BJ36" s="34">
        <f t="shared" si="19"/>
        <v>41748</v>
      </c>
      <c r="BL36" s="82" t="str">
        <f t="array" ref="BL36">IFERROR(IF(MATCH(8,DAY(BD36:BJ36),0),BJ36,""),"")</f>
        <v/>
      </c>
      <c r="BM36" s="71">
        <f ca="1">IF(""=IFERROR(INDEX(INDIRECT("Data!C"&amp;$BD$4,FALSE),MATCH(BD36,Data!$A:$A,0)),$BM$6),$BM$8,IFERROR(INDEX(INDIRECT("Data!C"&amp;$BD$4,FALSE),MATCH(BD36,Data!$A:$A,0)),$BM$6))</f>
        <v>12</v>
      </c>
      <c r="BN36" s="71">
        <f ca="1">IF(""=IFERROR(INDEX(INDIRECT("Data!C"&amp;$BD$4,FALSE),MATCH(BE36,Data!$A:$A,0)),$BM$6),$BM$8,IFERROR(INDEX(INDIRECT("Data!C"&amp;$BD$4,FALSE),MATCH(BE36,Data!$A:$A,0)),$BM$6))</f>
        <v>195</v>
      </c>
      <c r="BO36" s="71">
        <f ca="1">IF(""=IFERROR(INDEX(INDIRECT("Data!C"&amp;$BD$4,FALSE),MATCH(BF36,Data!$A:$A,0)),$BM$6),$BM$8,IFERROR(INDEX(INDIRECT("Data!C"&amp;$BD$4,FALSE),MATCH(BF36,Data!$A:$A,0)),$BM$6))</f>
        <v>267</v>
      </c>
      <c r="BP36" s="71">
        <f ca="1">IF(""=IFERROR(INDEX(INDIRECT("Data!C"&amp;$BD$4,FALSE),MATCH(BG36,Data!$A:$A,0)),$BM$6),$BM$8,IFERROR(INDEX(INDIRECT("Data!C"&amp;$BD$4,FALSE),MATCH(BG36,Data!$A:$A,0)),$BM$6))</f>
        <v>204</v>
      </c>
      <c r="BQ36" s="71">
        <f ca="1">IF(""=IFERROR(INDEX(INDIRECT("Data!C"&amp;$BD$4,FALSE),MATCH(BH36,Data!$A:$A,0)),$BM$6),$BM$8,IFERROR(INDEX(INDIRECT("Data!C"&amp;$BD$4,FALSE),MATCH(BH36,Data!$A:$A,0)),$BM$6))</f>
        <v>207</v>
      </c>
      <c r="BR36" s="71">
        <f ca="1">IF(""=IFERROR(INDEX(INDIRECT("Data!C"&amp;$BD$4,FALSE),MATCH(BI36,Data!$A:$A,0)),$BM$6),$BM$8,IFERROR(INDEX(INDIRECT("Data!C"&amp;$BD$4,FALSE),MATCH(BI36,Data!$A:$A,0)),$BM$6))</f>
        <v>144</v>
      </c>
      <c r="BS36" s="71">
        <f ca="1">IF(""=IFERROR(INDEX(INDIRECT("Data!C"&amp;$BD$4,FALSE),MATCH(BJ36,Data!$A:$A,0)),$BM$6),$BM$8,IFERROR(INDEX(INDIRECT("Data!C"&amp;$BD$4,FALSE),MATCH(BJ36,Data!$A:$A,0)),$BM$6))</f>
        <v>64</v>
      </c>
      <c r="BT36" s="88">
        <f t="shared" ca="1" si="27"/>
        <v>156.14285714285714</v>
      </c>
      <c r="BW36" s="12"/>
    </row>
    <row r="37" spans="2:76" ht="12" customHeight="1" x14ac:dyDescent="0.2">
      <c r="B37" s="34">
        <f t="shared" si="28"/>
        <v>41749</v>
      </c>
      <c r="C37" s="34">
        <f t="shared" si="20"/>
        <v>41750</v>
      </c>
      <c r="D37" s="34">
        <f t="shared" si="20"/>
        <v>41751</v>
      </c>
      <c r="E37" s="34">
        <f t="shared" si="20"/>
        <v>41752</v>
      </c>
      <c r="F37" s="34">
        <f t="shared" si="20"/>
        <v>41753</v>
      </c>
      <c r="G37" s="34">
        <f t="shared" si="20"/>
        <v>41754</v>
      </c>
      <c r="H37" s="34">
        <f t="shared" si="20"/>
        <v>41755</v>
      </c>
      <c r="J37" s="82" t="str">
        <f t="array" ref="J37">IFERROR(IF(MATCH(8,DAY(B37:H37),0),H37,""),"")</f>
        <v/>
      </c>
      <c r="K37" s="71">
        <f ca="1">IF(""=IFERROR(INDEX(INDIRECT("Data!C"&amp;$B$4,FALSE),MATCH(B37,Data!$A:$A,0)),$K$6),$K$8,IFERROR(INDEX(INDIRECT("Data!C"&amp;$B$4,FALSE),MATCH(B37,Data!$A:$A,0)),$K$6))</f>
        <v>22</v>
      </c>
      <c r="L37" s="71">
        <f ca="1">IF(""=IFERROR(INDEX(INDIRECT("Data!C"&amp;$B$4,FALSE),MATCH(C37,Data!$A:$A,0)),$K$6),$K$8,IFERROR(INDEX(INDIRECT("Data!C"&amp;$B$4,FALSE),MATCH(C37,Data!$A:$A,0)),$K$6))</f>
        <v>211</v>
      </c>
      <c r="M37" s="71">
        <f ca="1">IF(""=IFERROR(INDEX(INDIRECT("Data!C"&amp;$B$4,FALSE),MATCH(D37,Data!$A:$A,0)),$K$6),$K$8,IFERROR(INDEX(INDIRECT("Data!C"&amp;$B$4,FALSE),MATCH(D37,Data!$A:$A,0)),$K$6))</f>
        <v>214</v>
      </c>
      <c r="N37" s="71">
        <f ca="1">IF(""=IFERROR(INDEX(INDIRECT("Data!C"&amp;$B$4,FALSE),MATCH(E37,Data!$A:$A,0)),$K$6),$K$8,IFERROR(INDEX(INDIRECT("Data!C"&amp;$B$4,FALSE),MATCH(E37,Data!$A:$A,0)),$K$6))</f>
        <v>289</v>
      </c>
      <c r="O37" s="71">
        <f ca="1">IF(""=IFERROR(INDEX(INDIRECT("Data!C"&amp;$B$4,FALSE),MATCH(F37,Data!$A:$A,0)),$K$6),$K$8,IFERROR(INDEX(INDIRECT("Data!C"&amp;$B$4,FALSE),MATCH(F37,Data!$A:$A,0)),$K$6))</f>
        <v>245</v>
      </c>
      <c r="P37" s="71">
        <f ca="1">IF(""=IFERROR(INDEX(INDIRECT("Data!C"&amp;$B$4,FALSE),MATCH(G37,Data!$A:$A,0)),$K$6),$K$8,IFERROR(INDEX(INDIRECT("Data!C"&amp;$B$4,FALSE),MATCH(G37,Data!$A:$A,0)),$K$6))</f>
        <v>154</v>
      </c>
      <c r="Q37" s="71">
        <f ca="1">IF(""=IFERROR(INDEX(INDIRECT("Data!C"&amp;$B$4,FALSE),MATCH(H37,Data!$A:$A,0)),$K$6),$K$8,IFERROR(INDEX(INDIRECT("Data!C"&amp;$B$4,FALSE),MATCH(H37,Data!$A:$A,0)),$K$6))</f>
        <v>41</v>
      </c>
      <c r="R37" s="88">
        <f t="shared" ca="1" si="21"/>
        <v>168</v>
      </c>
      <c r="T37" s="34">
        <f t="shared" si="29"/>
        <v>41749</v>
      </c>
      <c r="U37" s="34">
        <f t="shared" si="22"/>
        <v>41750</v>
      </c>
      <c r="V37" s="34">
        <f t="shared" si="17"/>
        <v>41751</v>
      </c>
      <c r="W37" s="34">
        <f t="shared" si="17"/>
        <v>41752</v>
      </c>
      <c r="X37" s="34">
        <f t="shared" si="17"/>
        <v>41753</v>
      </c>
      <c r="Y37" s="34">
        <f t="shared" si="17"/>
        <v>41754</v>
      </c>
      <c r="Z37" s="34">
        <f t="shared" si="17"/>
        <v>41755</v>
      </c>
      <c r="AB37" s="82" t="str">
        <f t="array" ref="AB37">IFERROR(IF(MATCH(8,DAY(T37:Z37),0),Z37,""),"")</f>
        <v/>
      </c>
      <c r="AC37" s="71">
        <f ca="1">IF(""=IFERROR(INDEX(INDIRECT("Data!C"&amp;$T$4,FALSE),MATCH(T37,Data!$A:$A,0)),$AC$6),$AC$8,IFERROR(INDEX(INDIRECT("Data!C"&amp;$T$4,FALSE),MATCH(T37,Data!$A:$A,0)),$AC$6))</f>
        <v>22</v>
      </c>
      <c r="AD37" s="71">
        <f ca="1">IF(""=IFERROR(INDEX(INDIRECT("Data!C"&amp;$T$4,FALSE),MATCH(U37,Data!$A:$A,0)),$AC$6),$AC$8,IFERROR(INDEX(INDIRECT("Data!C"&amp;$T$4,FALSE),MATCH(U37,Data!$A:$A,0)),$AC$6))</f>
        <v>211</v>
      </c>
      <c r="AE37" s="71">
        <f ca="1">IF(""=IFERROR(INDEX(INDIRECT("Data!C"&amp;$T$4,FALSE),MATCH(V37,Data!$A:$A,0)),$AC$6),$AC$8,IFERROR(INDEX(INDIRECT("Data!C"&amp;$T$4,FALSE),MATCH(V37,Data!$A:$A,0)),$AC$6))</f>
        <v>214</v>
      </c>
      <c r="AF37" s="71">
        <f ca="1">IF(""=IFERROR(INDEX(INDIRECT("Data!C"&amp;$T$4,FALSE),MATCH(W37,Data!$A:$A,0)),$AC$6),$AC$8,IFERROR(INDEX(INDIRECT("Data!C"&amp;$T$4,FALSE),MATCH(W37,Data!$A:$A,0)),$AC$6))</f>
        <v>289</v>
      </c>
      <c r="AG37" s="71">
        <f ca="1">IF(""=IFERROR(INDEX(INDIRECT("Data!C"&amp;$T$4,FALSE),MATCH(X37,Data!$A:$A,0)),$AC$6),$AC$8,IFERROR(INDEX(INDIRECT("Data!C"&amp;$T$4,FALSE),MATCH(X37,Data!$A:$A,0)),$AC$6))</f>
        <v>245</v>
      </c>
      <c r="AH37" s="71">
        <f ca="1">IF(""=IFERROR(INDEX(INDIRECT("Data!C"&amp;$T$4,FALSE),MATCH(Y37,Data!$A:$A,0)),$AC$6),$AC$8,IFERROR(INDEX(INDIRECT("Data!C"&amp;$T$4,FALSE),MATCH(Y37,Data!$A:$A,0)),$AC$6))</f>
        <v>154</v>
      </c>
      <c r="AI37" s="71">
        <f ca="1">IF(""=IFERROR(INDEX(INDIRECT("Data!C"&amp;$T$4,FALSE),MATCH(Z37,Data!$A:$A,0)),$AC$6),$AC$8,IFERROR(INDEX(INDIRECT("Data!C"&amp;$T$4,FALSE),MATCH(Z37,Data!$A:$A,0)),$AC$6))</f>
        <v>41</v>
      </c>
      <c r="AJ37" s="88">
        <f t="shared" ca="1" si="23"/>
        <v>168</v>
      </c>
      <c r="AL37" s="34">
        <f t="shared" si="30"/>
        <v>41749</v>
      </c>
      <c r="AM37" s="34">
        <f t="shared" si="24"/>
        <v>41750</v>
      </c>
      <c r="AN37" s="34">
        <f t="shared" si="18"/>
        <v>41751</v>
      </c>
      <c r="AO37" s="34">
        <f t="shared" si="18"/>
        <v>41752</v>
      </c>
      <c r="AP37" s="34">
        <f t="shared" si="18"/>
        <v>41753</v>
      </c>
      <c r="AQ37" s="34">
        <f t="shared" si="18"/>
        <v>41754</v>
      </c>
      <c r="AR37" s="34">
        <f t="shared" si="18"/>
        <v>41755</v>
      </c>
      <c r="AT37" s="82" t="str">
        <f t="array" ref="AT37">IFERROR(IF(MATCH(8,DAY(AL37:AR37),0),AR37,""),"")</f>
        <v/>
      </c>
      <c r="AU37" s="71">
        <f ca="1">IF(""=IFERROR(INDEX(INDIRECT("Data!C"&amp;$AL$4,FALSE),MATCH(AL37,Data!$A:$A,0)),$AU$6),$AU$8,IFERROR(INDEX(INDIRECT("Data!C"&amp;$AL$4,FALSE),MATCH(AL37,Data!$A:$A,0)),$AU$6))</f>
        <v>22</v>
      </c>
      <c r="AV37" s="71">
        <f ca="1">IF(""=IFERROR(INDEX(INDIRECT("Data!C"&amp;$AL$4,FALSE),MATCH(AM37,Data!$A:$A,0)),$AU$6),$AU$8,IFERROR(INDEX(INDIRECT("Data!C"&amp;$AL$4,FALSE),MATCH(AM37,Data!$A:$A,0)),$AU$6))</f>
        <v>211</v>
      </c>
      <c r="AW37" s="71">
        <f ca="1">IF(""=IFERROR(INDEX(INDIRECT("Data!C"&amp;$AL$4,FALSE),MATCH(AN37,Data!$A:$A,0)),$AU$6),$AU$8,IFERROR(INDEX(INDIRECT("Data!C"&amp;$AL$4,FALSE),MATCH(AN37,Data!$A:$A,0)),$AU$6))</f>
        <v>214</v>
      </c>
      <c r="AX37" s="71">
        <f ca="1">IF(""=IFERROR(INDEX(INDIRECT("Data!C"&amp;$AL$4,FALSE),MATCH(AO37,Data!$A:$A,0)),$AU$6),$AU$8,IFERROR(INDEX(INDIRECT("Data!C"&amp;$AL$4,FALSE),MATCH(AO37,Data!$A:$A,0)),$AU$6))</f>
        <v>289</v>
      </c>
      <c r="AY37" s="71">
        <f ca="1">IF(""=IFERROR(INDEX(INDIRECT("Data!C"&amp;$AL$4,FALSE),MATCH(AP37,Data!$A:$A,0)),$AU$6),$AU$8,IFERROR(INDEX(INDIRECT("Data!C"&amp;$AL$4,FALSE),MATCH(AP37,Data!$A:$A,0)),$AU$6))</f>
        <v>245</v>
      </c>
      <c r="AZ37" s="71">
        <f ca="1">IF(""=IFERROR(INDEX(INDIRECT("Data!C"&amp;$AL$4,FALSE),MATCH(AQ37,Data!$A:$A,0)),$AU$6),$AU$8,IFERROR(INDEX(INDIRECT("Data!C"&amp;$AL$4,FALSE),MATCH(AQ37,Data!$A:$A,0)),$AU$6))</f>
        <v>154</v>
      </c>
      <c r="BA37" s="71">
        <f ca="1">IF(""=IFERROR(INDEX(INDIRECT("Data!C"&amp;$AL$4,FALSE),MATCH(AR37,Data!$A:$A,0)),$AU$6),$AU$8,IFERROR(INDEX(INDIRECT("Data!C"&amp;$AL$4,FALSE),MATCH(AR37,Data!$A:$A,0)),$AU$6))</f>
        <v>41</v>
      </c>
      <c r="BB37" s="88">
        <f t="shared" ca="1" si="25"/>
        <v>168</v>
      </c>
      <c r="BD37" s="34">
        <f t="shared" si="31"/>
        <v>41749</v>
      </c>
      <c r="BE37" s="34">
        <f t="shared" si="26"/>
        <v>41750</v>
      </c>
      <c r="BF37" s="34">
        <f t="shared" si="19"/>
        <v>41751</v>
      </c>
      <c r="BG37" s="34">
        <f t="shared" si="19"/>
        <v>41752</v>
      </c>
      <c r="BH37" s="34">
        <f t="shared" si="19"/>
        <v>41753</v>
      </c>
      <c r="BI37" s="34">
        <f t="shared" si="19"/>
        <v>41754</v>
      </c>
      <c r="BJ37" s="34">
        <f t="shared" si="19"/>
        <v>41755</v>
      </c>
      <c r="BL37" s="82" t="str">
        <f t="array" ref="BL37">IFERROR(IF(MATCH(8,DAY(BD37:BJ37),0),BJ37,""),"")</f>
        <v/>
      </c>
      <c r="BM37" s="71">
        <f ca="1">IF(""=IFERROR(INDEX(INDIRECT("Data!C"&amp;$BD$4,FALSE),MATCH(BD37,Data!$A:$A,0)),$BM$6),$BM$8,IFERROR(INDEX(INDIRECT("Data!C"&amp;$BD$4,FALSE),MATCH(BD37,Data!$A:$A,0)),$BM$6))</f>
        <v>22</v>
      </c>
      <c r="BN37" s="71">
        <f ca="1">IF(""=IFERROR(INDEX(INDIRECT("Data!C"&amp;$BD$4,FALSE),MATCH(BE37,Data!$A:$A,0)),$BM$6),$BM$8,IFERROR(INDEX(INDIRECT("Data!C"&amp;$BD$4,FALSE),MATCH(BE37,Data!$A:$A,0)),$BM$6))</f>
        <v>211</v>
      </c>
      <c r="BO37" s="71">
        <f ca="1">IF(""=IFERROR(INDEX(INDIRECT("Data!C"&amp;$BD$4,FALSE),MATCH(BF37,Data!$A:$A,0)),$BM$6),$BM$8,IFERROR(INDEX(INDIRECT("Data!C"&amp;$BD$4,FALSE),MATCH(BF37,Data!$A:$A,0)),$BM$6))</f>
        <v>214</v>
      </c>
      <c r="BP37" s="71">
        <f ca="1">IF(""=IFERROR(INDEX(INDIRECT("Data!C"&amp;$BD$4,FALSE),MATCH(BG37,Data!$A:$A,0)),$BM$6),$BM$8,IFERROR(INDEX(INDIRECT("Data!C"&amp;$BD$4,FALSE),MATCH(BG37,Data!$A:$A,0)),$BM$6))</f>
        <v>289</v>
      </c>
      <c r="BQ37" s="71">
        <f ca="1">IF(""=IFERROR(INDEX(INDIRECT("Data!C"&amp;$BD$4,FALSE),MATCH(BH37,Data!$A:$A,0)),$BM$6),$BM$8,IFERROR(INDEX(INDIRECT("Data!C"&amp;$BD$4,FALSE),MATCH(BH37,Data!$A:$A,0)),$BM$6))</f>
        <v>245</v>
      </c>
      <c r="BR37" s="71">
        <f ca="1">IF(""=IFERROR(INDEX(INDIRECT("Data!C"&amp;$BD$4,FALSE),MATCH(BI37,Data!$A:$A,0)),$BM$6),$BM$8,IFERROR(INDEX(INDIRECT("Data!C"&amp;$BD$4,FALSE),MATCH(BI37,Data!$A:$A,0)),$BM$6))</f>
        <v>154</v>
      </c>
      <c r="BS37" s="71">
        <f ca="1">IF(""=IFERROR(INDEX(INDIRECT("Data!C"&amp;$BD$4,FALSE),MATCH(BJ37,Data!$A:$A,0)),$BM$6),$BM$8,IFERROR(INDEX(INDIRECT("Data!C"&amp;$BD$4,FALSE),MATCH(BJ37,Data!$A:$A,0)),$BM$6))</f>
        <v>41</v>
      </c>
      <c r="BT37" s="88">
        <f t="shared" ca="1" si="27"/>
        <v>168</v>
      </c>
    </row>
    <row r="38" spans="2:76" ht="12" customHeight="1" x14ac:dyDescent="0.2">
      <c r="B38" s="34">
        <f t="shared" si="28"/>
        <v>41756</v>
      </c>
      <c r="C38" s="34">
        <f t="shared" ref="C38:H53" si="32">B38+1</f>
        <v>41757</v>
      </c>
      <c r="D38" s="34">
        <f t="shared" si="32"/>
        <v>41758</v>
      </c>
      <c r="E38" s="34">
        <f t="shared" si="32"/>
        <v>41759</v>
      </c>
      <c r="F38" s="34">
        <f t="shared" si="32"/>
        <v>41760</v>
      </c>
      <c r="G38" s="34">
        <f t="shared" si="32"/>
        <v>41761</v>
      </c>
      <c r="H38" s="34">
        <f t="shared" si="32"/>
        <v>41762</v>
      </c>
      <c r="J38" s="82" t="str">
        <f t="array" ref="J38">IFERROR(IF(MATCH(8,DAY(B38:H38),0),H38,""),"")</f>
        <v/>
      </c>
      <c r="K38" s="71">
        <f ca="1">IF(""=IFERROR(INDEX(INDIRECT("Data!C"&amp;$B$4,FALSE),MATCH(B38,Data!$A:$A,0)),$K$6),$K$8,IFERROR(INDEX(INDIRECT("Data!C"&amp;$B$4,FALSE),MATCH(B38,Data!$A:$A,0)),$K$6))</f>
        <v>32</v>
      </c>
      <c r="L38" s="71">
        <f ca="1">IF(""=IFERROR(INDEX(INDIRECT("Data!C"&amp;$B$4,FALSE),MATCH(C38,Data!$A:$A,0)),$K$6),$K$8,IFERROR(INDEX(INDIRECT("Data!C"&amp;$B$4,FALSE),MATCH(C38,Data!$A:$A,0)),$K$6))</f>
        <v>383</v>
      </c>
      <c r="M38" s="71">
        <f ca="1">IF(""=IFERROR(INDEX(INDIRECT("Data!C"&amp;$B$4,FALSE),MATCH(D38,Data!$A:$A,0)),$K$6),$K$8,IFERROR(INDEX(INDIRECT("Data!C"&amp;$B$4,FALSE),MATCH(D38,Data!$A:$A,0)),$K$6))</f>
        <v>320</v>
      </c>
      <c r="N38" s="71">
        <f ca="1">IF(""=IFERROR(INDEX(INDIRECT("Data!C"&amp;$B$4,FALSE),MATCH(E38,Data!$A:$A,0)),$K$6),$K$8,IFERROR(INDEX(INDIRECT("Data!C"&amp;$B$4,FALSE),MATCH(E38,Data!$A:$A,0)),$K$6))</f>
        <v>253</v>
      </c>
      <c r="O38" s="71">
        <f ca="1">IF(""=IFERROR(INDEX(INDIRECT("Data!C"&amp;$B$4,FALSE),MATCH(F38,Data!$A:$A,0)),$K$6),$K$8,IFERROR(INDEX(INDIRECT("Data!C"&amp;$B$4,FALSE),MATCH(F38,Data!$A:$A,0)),$K$6))</f>
        <v>251</v>
      </c>
      <c r="P38" s="71">
        <f ca="1">IF(""=IFERROR(INDEX(INDIRECT("Data!C"&amp;$B$4,FALSE),MATCH(G38,Data!$A:$A,0)),$K$6),$K$8,IFERROR(INDEX(INDIRECT("Data!C"&amp;$B$4,FALSE),MATCH(G38,Data!$A:$A,0)),$K$6))</f>
        <v>250</v>
      </c>
      <c r="Q38" s="71">
        <f ca="1">IF(""=IFERROR(INDEX(INDIRECT("Data!C"&amp;$B$4,FALSE),MATCH(H38,Data!$A:$A,0)),$K$6),$K$8,IFERROR(INDEX(INDIRECT("Data!C"&amp;$B$4,FALSE),MATCH(H38,Data!$A:$A,0)),$K$6))</f>
        <v>67</v>
      </c>
      <c r="R38" s="88">
        <f t="shared" ca="1" si="21"/>
        <v>222.28571428571428</v>
      </c>
      <c r="T38" s="34">
        <f t="shared" si="29"/>
        <v>41756</v>
      </c>
      <c r="U38" s="34">
        <f t="shared" si="22"/>
        <v>41757</v>
      </c>
      <c r="V38" s="34">
        <f t="shared" si="17"/>
        <v>41758</v>
      </c>
      <c r="W38" s="34">
        <f t="shared" si="17"/>
        <v>41759</v>
      </c>
      <c r="X38" s="34">
        <f t="shared" si="17"/>
        <v>41760</v>
      </c>
      <c r="Y38" s="34">
        <f t="shared" si="17"/>
        <v>41761</v>
      </c>
      <c r="Z38" s="34">
        <f t="shared" si="17"/>
        <v>41762</v>
      </c>
      <c r="AB38" s="82" t="str">
        <f t="array" ref="AB38">IFERROR(IF(MATCH(8,DAY(T38:Z38),0),Z38,""),"")</f>
        <v/>
      </c>
      <c r="AC38" s="71">
        <f ca="1">IF(""=IFERROR(INDEX(INDIRECT("Data!C"&amp;$T$4,FALSE),MATCH(T38,Data!$A:$A,0)),$AC$6),$AC$8,IFERROR(INDEX(INDIRECT("Data!C"&amp;$T$4,FALSE),MATCH(T38,Data!$A:$A,0)),$AC$6))</f>
        <v>32</v>
      </c>
      <c r="AD38" s="71">
        <f ca="1">IF(""=IFERROR(INDEX(INDIRECT("Data!C"&amp;$T$4,FALSE),MATCH(U38,Data!$A:$A,0)),$AC$6),$AC$8,IFERROR(INDEX(INDIRECT("Data!C"&amp;$T$4,FALSE),MATCH(U38,Data!$A:$A,0)),$AC$6))</f>
        <v>383</v>
      </c>
      <c r="AE38" s="71">
        <f ca="1">IF(""=IFERROR(INDEX(INDIRECT("Data!C"&amp;$T$4,FALSE),MATCH(V38,Data!$A:$A,0)),$AC$6),$AC$8,IFERROR(INDEX(INDIRECT("Data!C"&amp;$T$4,FALSE),MATCH(V38,Data!$A:$A,0)),$AC$6))</f>
        <v>320</v>
      </c>
      <c r="AF38" s="71">
        <f ca="1">IF(""=IFERROR(INDEX(INDIRECT("Data!C"&amp;$T$4,FALSE),MATCH(W38,Data!$A:$A,0)),$AC$6),$AC$8,IFERROR(INDEX(INDIRECT("Data!C"&amp;$T$4,FALSE),MATCH(W38,Data!$A:$A,0)),$AC$6))</f>
        <v>253</v>
      </c>
      <c r="AG38" s="71">
        <f ca="1">IF(""=IFERROR(INDEX(INDIRECT("Data!C"&amp;$T$4,FALSE),MATCH(X38,Data!$A:$A,0)),$AC$6),$AC$8,IFERROR(INDEX(INDIRECT("Data!C"&amp;$T$4,FALSE),MATCH(X38,Data!$A:$A,0)),$AC$6))</f>
        <v>251</v>
      </c>
      <c r="AH38" s="71">
        <f ca="1">IF(""=IFERROR(INDEX(INDIRECT("Data!C"&amp;$T$4,FALSE),MATCH(Y38,Data!$A:$A,0)),$AC$6),$AC$8,IFERROR(INDEX(INDIRECT("Data!C"&amp;$T$4,FALSE),MATCH(Y38,Data!$A:$A,0)),$AC$6))</f>
        <v>250</v>
      </c>
      <c r="AI38" s="71">
        <f ca="1">IF(""=IFERROR(INDEX(INDIRECT("Data!C"&amp;$T$4,FALSE),MATCH(Z38,Data!$A:$A,0)),$AC$6),$AC$8,IFERROR(INDEX(INDIRECT("Data!C"&amp;$T$4,FALSE),MATCH(Z38,Data!$A:$A,0)),$AC$6))</f>
        <v>67</v>
      </c>
      <c r="AJ38" s="88">
        <f t="shared" ca="1" si="23"/>
        <v>222.28571428571428</v>
      </c>
      <c r="AL38" s="34">
        <f t="shared" si="30"/>
        <v>41756</v>
      </c>
      <c r="AM38" s="34">
        <f t="shared" si="24"/>
        <v>41757</v>
      </c>
      <c r="AN38" s="34">
        <f t="shared" si="18"/>
        <v>41758</v>
      </c>
      <c r="AO38" s="34">
        <f t="shared" si="18"/>
        <v>41759</v>
      </c>
      <c r="AP38" s="34">
        <f t="shared" si="18"/>
        <v>41760</v>
      </c>
      <c r="AQ38" s="34">
        <f t="shared" si="18"/>
        <v>41761</v>
      </c>
      <c r="AR38" s="34">
        <f t="shared" si="18"/>
        <v>41762</v>
      </c>
      <c r="AT38" s="82" t="str">
        <f t="array" ref="AT38">IFERROR(IF(MATCH(8,DAY(AL38:AR38),0),AR38,""),"")</f>
        <v/>
      </c>
      <c r="AU38" s="71">
        <f ca="1">IF(""=IFERROR(INDEX(INDIRECT("Data!C"&amp;$AL$4,FALSE),MATCH(AL38,Data!$A:$A,0)),$AU$6),$AU$8,IFERROR(INDEX(INDIRECT("Data!C"&amp;$AL$4,FALSE),MATCH(AL38,Data!$A:$A,0)),$AU$6))</f>
        <v>32</v>
      </c>
      <c r="AV38" s="71">
        <f ca="1">IF(""=IFERROR(INDEX(INDIRECT("Data!C"&amp;$AL$4,FALSE),MATCH(AM38,Data!$A:$A,0)),$AU$6),$AU$8,IFERROR(INDEX(INDIRECT("Data!C"&amp;$AL$4,FALSE),MATCH(AM38,Data!$A:$A,0)),$AU$6))</f>
        <v>383</v>
      </c>
      <c r="AW38" s="71">
        <f ca="1">IF(""=IFERROR(INDEX(INDIRECT("Data!C"&amp;$AL$4,FALSE),MATCH(AN38,Data!$A:$A,0)),$AU$6),$AU$8,IFERROR(INDEX(INDIRECT("Data!C"&amp;$AL$4,FALSE),MATCH(AN38,Data!$A:$A,0)),$AU$6))</f>
        <v>320</v>
      </c>
      <c r="AX38" s="71">
        <f ca="1">IF(""=IFERROR(INDEX(INDIRECT("Data!C"&amp;$AL$4,FALSE),MATCH(AO38,Data!$A:$A,0)),$AU$6),$AU$8,IFERROR(INDEX(INDIRECT("Data!C"&amp;$AL$4,FALSE),MATCH(AO38,Data!$A:$A,0)),$AU$6))</f>
        <v>253</v>
      </c>
      <c r="AY38" s="71">
        <f ca="1">IF(""=IFERROR(INDEX(INDIRECT("Data!C"&amp;$AL$4,FALSE),MATCH(AP38,Data!$A:$A,0)),$AU$6),$AU$8,IFERROR(INDEX(INDIRECT("Data!C"&amp;$AL$4,FALSE),MATCH(AP38,Data!$A:$A,0)),$AU$6))</f>
        <v>251</v>
      </c>
      <c r="AZ38" s="71">
        <f ca="1">IF(""=IFERROR(INDEX(INDIRECT("Data!C"&amp;$AL$4,FALSE),MATCH(AQ38,Data!$A:$A,0)),$AU$6),$AU$8,IFERROR(INDEX(INDIRECT("Data!C"&amp;$AL$4,FALSE),MATCH(AQ38,Data!$A:$A,0)),$AU$6))</f>
        <v>250</v>
      </c>
      <c r="BA38" s="71">
        <f ca="1">IF(""=IFERROR(INDEX(INDIRECT("Data!C"&amp;$AL$4,FALSE),MATCH(AR38,Data!$A:$A,0)),$AU$6),$AU$8,IFERROR(INDEX(INDIRECT("Data!C"&amp;$AL$4,FALSE),MATCH(AR38,Data!$A:$A,0)),$AU$6))</f>
        <v>67</v>
      </c>
      <c r="BB38" s="88">
        <f t="shared" ca="1" si="25"/>
        <v>222.28571428571428</v>
      </c>
      <c r="BD38" s="34">
        <f t="shared" si="31"/>
        <v>41756</v>
      </c>
      <c r="BE38" s="34">
        <f t="shared" si="26"/>
        <v>41757</v>
      </c>
      <c r="BF38" s="34">
        <f t="shared" si="19"/>
        <v>41758</v>
      </c>
      <c r="BG38" s="34">
        <f t="shared" si="19"/>
        <v>41759</v>
      </c>
      <c r="BH38" s="34">
        <f t="shared" si="19"/>
        <v>41760</v>
      </c>
      <c r="BI38" s="34">
        <f t="shared" si="19"/>
        <v>41761</v>
      </c>
      <c r="BJ38" s="34">
        <f t="shared" si="19"/>
        <v>41762</v>
      </c>
      <c r="BL38" s="82" t="str">
        <f t="array" ref="BL38">IFERROR(IF(MATCH(8,DAY(BD38:BJ38),0),BJ38,""),"")</f>
        <v/>
      </c>
      <c r="BM38" s="71">
        <f ca="1">IF(""=IFERROR(INDEX(INDIRECT("Data!C"&amp;$BD$4,FALSE),MATCH(BD38,Data!$A:$A,0)),$BM$6),$BM$8,IFERROR(INDEX(INDIRECT("Data!C"&amp;$BD$4,FALSE),MATCH(BD38,Data!$A:$A,0)),$BM$6))</f>
        <v>32</v>
      </c>
      <c r="BN38" s="71">
        <f ca="1">IF(""=IFERROR(INDEX(INDIRECT("Data!C"&amp;$BD$4,FALSE),MATCH(BE38,Data!$A:$A,0)),$BM$6),$BM$8,IFERROR(INDEX(INDIRECT("Data!C"&amp;$BD$4,FALSE),MATCH(BE38,Data!$A:$A,0)),$BM$6))</f>
        <v>383</v>
      </c>
      <c r="BO38" s="71">
        <f ca="1">IF(""=IFERROR(INDEX(INDIRECT("Data!C"&amp;$BD$4,FALSE),MATCH(BF38,Data!$A:$A,0)),$BM$6),$BM$8,IFERROR(INDEX(INDIRECT("Data!C"&amp;$BD$4,FALSE),MATCH(BF38,Data!$A:$A,0)),$BM$6))</f>
        <v>320</v>
      </c>
      <c r="BP38" s="71">
        <f ca="1">IF(""=IFERROR(INDEX(INDIRECT("Data!C"&amp;$BD$4,FALSE),MATCH(BG38,Data!$A:$A,0)),$BM$6),$BM$8,IFERROR(INDEX(INDIRECT("Data!C"&amp;$BD$4,FALSE),MATCH(BG38,Data!$A:$A,0)),$BM$6))</f>
        <v>253</v>
      </c>
      <c r="BQ38" s="71">
        <f ca="1">IF(""=IFERROR(INDEX(INDIRECT("Data!C"&amp;$BD$4,FALSE),MATCH(BH38,Data!$A:$A,0)),$BM$6),$BM$8,IFERROR(INDEX(INDIRECT("Data!C"&amp;$BD$4,FALSE),MATCH(BH38,Data!$A:$A,0)),$BM$6))</f>
        <v>251</v>
      </c>
      <c r="BR38" s="71">
        <f ca="1">IF(""=IFERROR(INDEX(INDIRECT("Data!C"&amp;$BD$4,FALSE),MATCH(BI38,Data!$A:$A,0)),$BM$6),$BM$8,IFERROR(INDEX(INDIRECT("Data!C"&amp;$BD$4,FALSE),MATCH(BI38,Data!$A:$A,0)),$BM$6))</f>
        <v>250</v>
      </c>
      <c r="BS38" s="71">
        <f ca="1">IF(""=IFERROR(INDEX(INDIRECT("Data!C"&amp;$BD$4,FALSE),MATCH(BJ38,Data!$A:$A,0)),$BM$6),$BM$8,IFERROR(INDEX(INDIRECT("Data!C"&amp;$BD$4,FALSE),MATCH(BJ38,Data!$A:$A,0)),$BM$6))</f>
        <v>67</v>
      </c>
      <c r="BT38" s="88">
        <f t="shared" ca="1" si="27"/>
        <v>222.28571428571428</v>
      </c>
    </row>
    <row r="39" spans="2:76" ht="12" customHeight="1" x14ac:dyDescent="0.2">
      <c r="B39" s="34">
        <f t="shared" si="28"/>
        <v>41763</v>
      </c>
      <c r="C39" s="34">
        <f t="shared" si="32"/>
        <v>41764</v>
      </c>
      <c r="D39" s="34">
        <f t="shared" si="32"/>
        <v>41765</v>
      </c>
      <c r="E39" s="34">
        <f t="shared" si="32"/>
        <v>41766</v>
      </c>
      <c r="F39" s="34">
        <f t="shared" si="32"/>
        <v>41767</v>
      </c>
      <c r="G39" s="34">
        <f t="shared" si="32"/>
        <v>41768</v>
      </c>
      <c r="H39" s="34">
        <f t="shared" si="32"/>
        <v>41769</v>
      </c>
      <c r="J39" s="82">
        <f t="array" ref="J39">IFERROR(IF(MATCH(8,DAY(B39:H39),0),H39,""),"")</f>
        <v>41769</v>
      </c>
      <c r="K39" s="71">
        <f ca="1">IF(""=IFERROR(INDEX(INDIRECT("Data!C"&amp;$B$4,FALSE),MATCH(B39,Data!$A:$A,0)),$K$6),$K$8,IFERROR(INDEX(INDIRECT("Data!C"&amp;$B$4,FALSE),MATCH(B39,Data!$A:$A,0)),$K$6))</f>
        <v>30</v>
      </c>
      <c r="L39" s="71">
        <f ca="1">IF(""=IFERROR(INDEX(INDIRECT("Data!C"&amp;$B$4,FALSE),MATCH(C39,Data!$A:$A,0)),$K$6),$K$8,IFERROR(INDEX(INDIRECT("Data!C"&amp;$B$4,FALSE),MATCH(C39,Data!$A:$A,0)),$K$6))</f>
        <v>393</v>
      </c>
      <c r="M39" s="71">
        <f ca="1">IF(""=IFERROR(INDEX(INDIRECT("Data!C"&amp;$B$4,FALSE),MATCH(D39,Data!$A:$A,0)),$K$6),$K$8,IFERROR(INDEX(INDIRECT("Data!C"&amp;$B$4,FALSE),MATCH(D39,Data!$A:$A,0)),$K$6))</f>
        <v>301</v>
      </c>
      <c r="N39" s="71">
        <f ca="1">IF(""=IFERROR(INDEX(INDIRECT("Data!C"&amp;$B$4,FALSE),MATCH(E39,Data!$A:$A,0)),$K$6),$K$8,IFERROR(INDEX(INDIRECT("Data!C"&amp;$B$4,FALSE),MATCH(E39,Data!$A:$A,0)),$K$6))</f>
        <v>359</v>
      </c>
      <c r="O39" s="71">
        <f ca="1">IF(""=IFERROR(INDEX(INDIRECT("Data!C"&amp;$B$4,FALSE),MATCH(F39,Data!$A:$A,0)),$K$6),$K$8,IFERROR(INDEX(INDIRECT("Data!C"&amp;$B$4,FALSE),MATCH(F39,Data!$A:$A,0)),$K$6))</f>
        <v>216</v>
      </c>
      <c r="P39" s="71">
        <f ca="1">IF(""=IFERROR(INDEX(INDIRECT("Data!C"&amp;$B$4,FALSE),MATCH(G39,Data!$A:$A,0)),$K$6),$K$8,IFERROR(INDEX(INDIRECT("Data!C"&amp;$B$4,FALSE),MATCH(G39,Data!$A:$A,0)),$K$6))</f>
        <v>263</v>
      </c>
      <c r="Q39" s="71">
        <f ca="1">IF(""=IFERROR(INDEX(INDIRECT("Data!C"&amp;$B$4,FALSE),MATCH(H39,Data!$A:$A,0)),$K$6),$K$8,IFERROR(INDEX(INDIRECT("Data!C"&amp;$B$4,FALSE),MATCH(H39,Data!$A:$A,0)),$K$6))</f>
        <v>80</v>
      </c>
      <c r="R39" s="88">
        <f t="shared" ca="1" si="21"/>
        <v>234.57142857142858</v>
      </c>
      <c r="T39" s="34">
        <f t="shared" si="29"/>
        <v>41763</v>
      </c>
      <c r="U39" s="34">
        <f t="shared" si="22"/>
        <v>41764</v>
      </c>
      <c r="V39" s="34">
        <f t="shared" si="17"/>
        <v>41765</v>
      </c>
      <c r="W39" s="34">
        <f t="shared" si="17"/>
        <v>41766</v>
      </c>
      <c r="X39" s="34">
        <f t="shared" si="17"/>
        <v>41767</v>
      </c>
      <c r="Y39" s="34">
        <f t="shared" si="17"/>
        <v>41768</v>
      </c>
      <c r="Z39" s="34">
        <f t="shared" si="17"/>
        <v>41769</v>
      </c>
      <c r="AB39" s="82">
        <f t="array" ref="AB39">IFERROR(IF(MATCH(8,DAY(T39:Z39),0),Z39,""),"")</f>
        <v>41769</v>
      </c>
      <c r="AC39" s="71">
        <f ca="1">IF(""=IFERROR(INDEX(INDIRECT("Data!C"&amp;$T$4,FALSE),MATCH(T39,Data!$A:$A,0)),$AC$6),$AC$8,IFERROR(INDEX(INDIRECT("Data!C"&amp;$T$4,FALSE),MATCH(T39,Data!$A:$A,0)),$AC$6))</f>
        <v>30</v>
      </c>
      <c r="AD39" s="71">
        <f ca="1">IF(""=IFERROR(INDEX(INDIRECT("Data!C"&amp;$T$4,FALSE),MATCH(U39,Data!$A:$A,0)),$AC$6),$AC$8,IFERROR(INDEX(INDIRECT("Data!C"&amp;$T$4,FALSE),MATCH(U39,Data!$A:$A,0)),$AC$6))</f>
        <v>393</v>
      </c>
      <c r="AE39" s="71">
        <f ca="1">IF(""=IFERROR(INDEX(INDIRECT("Data!C"&amp;$T$4,FALSE),MATCH(V39,Data!$A:$A,0)),$AC$6),$AC$8,IFERROR(INDEX(INDIRECT("Data!C"&amp;$T$4,FALSE),MATCH(V39,Data!$A:$A,0)),$AC$6))</f>
        <v>301</v>
      </c>
      <c r="AF39" s="71">
        <f ca="1">IF(""=IFERROR(INDEX(INDIRECT("Data!C"&amp;$T$4,FALSE),MATCH(W39,Data!$A:$A,0)),$AC$6),$AC$8,IFERROR(INDEX(INDIRECT("Data!C"&amp;$T$4,FALSE),MATCH(W39,Data!$A:$A,0)),$AC$6))</f>
        <v>359</v>
      </c>
      <c r="AG39" s="71">
        <f ca="1">IF(""=IFERROR(INDEX(INDIRECT("Data!C"&amp;$T$4,FALSE),MATCH(X39,Data!$A:$A,0)),$AC$6),$AC$8,IFERROR(INDEX(INDIRECT("Data!C"&amp;$T$4,FALSE),MATCH(X39,Data!$A:$A,0)),$AC$6))</f>
        <v>216</v>
      </c>
      <c r="AH39" s="71">
        <f ca="1">IF(""=IFERROR(INDEX(INDIRECT("Data!C"&amp;$T$4,FALSE),MATCH(Y39,Data!$A:$A,0)),$AC$6),$AC$8,IFERROR(INDEX(INDIRECT("Data!C"&amp;$T$4,FALSE),MATCH(Y39,Data!$A:$A,0)),$AC$6))</f>
        <v>263</v>
      </c>
      <c r="AI39" s="71">
        <f ca="1">IF(""=IFERROR(INDEX(INDIRECT("Data!C"&amp;$T$4,FALSE),MATCH(Z39,Data!$A:$A,0)),$AC$6),$AC$8,IFERROR(INDEX(INDIRECT("Data!C"&amp;$T$4,FALSE),MATCH(Z39,Data!$A:$A,0)),$AC$6))</f>
        <v>80</v>
      </c>
      <c r="AJ39" s="88">
        <f t="shared" ca="1" si="23"/>
        <v>234.57142857142858</v>
      </c>
      <c r="AL39" s="34">
        <f t="shared" si="30"/>
        <v>41763</v>
      </c>
      <c r="AM39" s="34">
        <f t="shared" si="24"/>
        <v>41764</v>
      </c>
      <c r="AN39" s="34">
        <f t="shared" si="18"/>
        <v>41765</v>
      </c>
      <c r="AO39" s="34">
        <f t="shared" si="18"/>
        <v>41766</v>
      </c>
      <c r="AP39" s="34">
        <f t="shared" si="18"/>
        <v>41767</v>
      </c>
      <c r="AQ39" s="34">
        <f t="shared" si="18"/>
        <v>41768</v>
      </c>
      <c r="AR39" s="34">
        <f t="shared" si="18"/>
        <v>41769</v>
      </c>
      <c r="AT39" s="82">
        <f t="array" ref="AT39">IFERROR(IF(MATCH(8,DAY(AL39:AR39),0),AR39,""),"")</f>
        <v>41769</v>
      </c>
      <c r="AU39" s="71">
        <f ca="1">IF(""=IFERROR(INDEX(INDIRECT("Data!C"&amp;$AL$4,FALSE),MATCH(AL39,Data!$A:$A,0)),$AU$6),$AU$8,IFERROR(INDEX(INDIRECT("Data!C"&amp;$AL$4,FALSE),MATCH(AL39,Data!$A:$A,0)),$AU$6))</f>
        <v>30</v>
      </c>
      <c r="AV39" s="71">
        <f ca="1">IF(""=IFERROR(INDEX(INDIRECT("Data!C"&amp;$AL$4,FALSE),MATCH(AM39,Data!$A:$A,0)),$AU$6),$AU$8,IFERROR(INDEX(INDIRECT("Data!C"&amp;$AL$4,FALSE),MATCH(AM39,Data!$A:$A,0)),$AU$6))</f>
        <v>393</v>
      </c>
      <c r="AW39" s="71">
        <f ca="1">IF(""=IFERROR(INDEX(INDIRECT("Data!C"&amp;$AL$4,FALSE),MATCH(AN39,Data!$A:$A,0)),$AU$6),$AU$8,IFERROR(INDEX(INDIRECT("Data!C"&amp;$AL$4,FALSE),MATCH(AN39,Data!$A:$A,0)),$AU$6))</f>
        <v>301</v>
      </c>
      <c r="AX39" s="71">
        <f ca="1">IF(""=IFERROR(INDEX(INDIRECT("Data!C"&amp;$AL$4,FALSE),MATCH(AO39,Data!$A:$A,0)),$AU$6),$AU$8,IFERROR(INDEX(INDIRECT("Data!C"&amp;$AL$4,FALSE),MATCH(AO39,Data!$A:$A,0)),$AU$6))</f>
        <v>359</v>
      </c>
      <c r="AY39" s="71">
        <f ca="1">IF(""=IFERROR(INDEX(INDIRECT("Data!C"&amp;$AL$4,FALSE),MATCH(AP39,Data!$A:$A,0)),$AU$6),$AU$8,IFERROR(INDEX(INDIRECT("Data!C"&amp;$AL$4,FALSE),MATCH(AP39,Data!$A:$A,0)),$AU$6))</f>
        <v>216</v>
      </c>
      <c r="AZ39" s="71">
        <f ca="1">IF(""=IFERROR(INDEX(INDIRECT("Data!C"&amp;$AL$4,FALSE),MATCH(AQ39,Data!$A:$A,0)),$AU$6),$AU$8,IFERROR(INDEX(INDIRECT("Data!C"&amp;$AL$4,FALSE),MATCH(AQ39,Data!$A:$A,0)),$AU$6))</f>
        <v>263</v>
      </c>
      <c r="BA39" s="71">
        <f ca="1">IF(""=IFERROR(INDEX(INDIRECT("Data!C"&amp;$AL$4,FALSE),MATCH(AR39,Data!$A:$A,0)),$AU$6),$AU$8,IFERROR(INDEX(INDIRECT("Data!C"&amp;$AL$4,FALSE),MATCH(AR39,Data!$A:$A,0)),$AU$6))</f>
        <v>80</v>
      </c>
      <c r="BB39" s="88">
        <f t="shared" ca="1" si="25"/>
        <v>234.57142857142858</v>
      </c>
      <c r="BD39" s="34">
        <f t="shared" si="31"/>
        <v>41763</v>
      </c>
      <c r="BE39" s="34">
        <f t="shared" si="26"/>
        <v>41764</v>
      </c>
      <c r="BF39" s="34">
        <f t="shared" si="19"/>
        <v>41765</v>
      </c>
      <c r="BG39" s="34">
        <f t="shared" si="19"/>
        <v>41766</v>
      </c>
      <c r="BH39" s="34">
        <f t="shared" si="19"/>
        <v>41767</v>
      </c>
      <c r="BI39" s="34">
        <f t="shared" si="19"/>
        <v>41768</v>
      </c>
      <c r="BJ39" s="34">
        <f t="shared" si="19"/>
        <v>41769</v>
      </c>
      <c r="BL39" s="82">
        <f t="array" ref="BL39">IFERROR(IF(MATCH(8,DAY(BD39:BJ39),0),BJ39,""),"")</f>
        <v>41769</v>
      </c>
      <c r="BM39" s="71">
        <f ca="1">IF(""=IFERROR(INDEX(INDIRECT("Data!C"&amp;$BD$4,FALSE),MATCH(BD39,Data!$A:$A,0)),$BM$6),$BM$8,IFERROR(INDEX(INDIRECT("Data!C"&amp;$BD$4,FALSE),MATCH(BD39,Data!$A:$A,0)),$BM$6))</f>
        <v>30</v>
      </c>
      <c r="BN39" s="71">
        <f ca="1">IF(""=IFERROR(INDEX(INDIRECT("Data!C"&amp;$BD$4,FALSE),MATCH(BE39,Data!$A:$A,0)),$BM$6),$BM$8,IFERROR(INDEX(INDIRECT("Data!C"&amp;$BD$4,FALSE),MATCH(BE39,Data!$A:$A,0)),$BM$6))</f>
        <v>393</v>
      </c>
      <c r="BO39" s="71">
        <f ca="1">IF(""=IFERROR(INDEX(INDIRECT("Data!C"&amp;$BD$4,FALSE),MATCH(BF39,Data!$A:$A,0)),$BM$6),$BM$8,IFERROR(INDEX(INDIRECT("Data!C"&amp;$BD$4,FALSE),MATCH(BF39,Data!$A:$A,0)),$BM$6))</f>
        <v>301</v>
      </c>
      <c r="BP39" s="71">
        <f ca="1">IF(""=IFERROR(INDEX(INDIRECT("Data!C"&amp;$BD$4,FALSE),MATCH(BG39,Data!$A:$A,0)),$BM$6),$BM$8,IFERROR(INDEX(INDIRECT("Data!C"&amp;$BD$4,FALSE),MATCH(BG39,Data!$A:$A,0)),$BM$6))</f>
        <v>359</v>
      </c>
      <c r="BQ39" s="71">
        <f ca="1">IF(""=IFERROR(INDEX(INDIRECT("Data!C"&amp;$BD$4,FALSE),MATCH(BH39,Data!$A:$A,0)),$BM$6),$BM$8,IFERROR(INDEX(INDIRECT("Data!C"&amp;$BD$4,FALSE),MATCH(BH39,Data!$A:$A,0)),$BM$6))</f>
        <v>216</v>
      </c>
      <c r="BR39" s="71">
        <f ca="1">IF(""=IFERROR(INDEX(INDIRECT("Data!C"&amp;$BD$4,FALSE),MATCH(BI39,Data!$A:$A,0)),$BM$6),$BM$8,IFERROR(INDEX(INDIRECT("Data!C"&amp;$BD$4,FALSE),MATCH(BI39,Data!$A:$A,0)),$BM$6))</f>
        <v>263</v>
      </c>
      <c r="BS39" s="71">
        <f ca="1">IF(""=IFERROR(INDEX(INDIRECT("Data!C"&amp;$BD$4,FALSE),MATCH(BJ39,Data!$A:$A,0)),$BM$6),$BM$8,IFERROR(INDEX(INDIRECT("Data!C"&amp;$BD$4,FALSE),MATCH(BJ39,Data!$A:$A,0)),$BM$6))</f>
        <v>80</v>
      </c>
      <c r="BT39" s="88">
        <f t="shared" ca="1" si="27"/>
        <v>234.57142857142858</v>
      </c>
      <c r="BV39" s="12"/>
      <c r="BW39" s="12"/>
      <c r="BX39" s="26"/>
    </row>
    <row r="40" spans="2:76" ht="12" customHeight="1" x14ac:dyDescent="0.2">
      <c r="B40" s="34">
        <f t="shared" si="28"/>
        <v>41770</v>
      </c>
      <c r="C40" s="34">
        <f t="shared" si="32"/>
        <v>41771</v>
      </c>
      <c r="D40" s="34">
        <f t="shared" si="32"/>
        <v>41772</v>
      </c>
      <c r="E40" s="34">
        <f t="shared" si="32"/>
        <v>41773</v>
      </c>
      <c r="F40" s="34">
        <f t="shared" si="32"/>
        <v>41774</v>
      </c>
      <c r="G40" s="34">
        <f t="shared" si="32"/>
        <v>41775</v>
      </c>
      <c r="H40" s="34">
        <f t="shared" si="32"/>
        <v>41776</v>
      </c>
      <c r="J40" s="82" t="str">
        <f t="array" ref="J40">IFERROR(IF(MATCH(8,DAY(B40:H40),0),H40,""),"")</f>
        <v/>
      </c>
      <c r="K40" s="71">
        <f ca="1">IF(""=IFERROR(INDEX(INDIRECT("Data!C"&amp;$B$4,FALSE),MATCH(B40,Data!$A:$A,0)),$K$6),$K$8,IFERROR(INDEX(INDIRECT("Data!C"&amp;$B$4,FALSE),MATCH(B40,Data!$A:$A,0)),$K$6))</f>
        <v>29</v>
      </c>
      <c r="L40" s="71">
        <f ca="1">IF(""=IFERROR(INDEX(INDIRECT("Data!C"&amp;$B$4,FALSE),MATCH(C40,Data!$A:$A,0)),$K$6),$K$8,IFERROR(INDEX(INDIRECT("Data!C"&amp;$B$4,FALSE),MATCH(C40,Data!$A:$A,0)),$K$6))</f>
        <v>336</v>
      </c>
      <c r="M40" s="71">
        <f ca="1">IF(""=IFERROR(INDEX(INDIRECT("Data!C"&amp;$B$4,FALSE),MATCH(D40,Data!$A:$A,0)),$K$6),$K$8,IFERROR(INDEX(INDIRECT("Data!C"&amp;$B$4,FALSE),MATCH(D40,Data!$A:$A,0)),$K$6))</f>
        <v>327</v>
      </c>
      <c r="N40" s="71">
        <f ca="1">IF(""=IFERROR(INDEX(INDIRECT("Data!C"&amp;$B$4,FALSE),MATCH(E40,Data!$A:$A,0)),$K$6),$K$8,IFERROR(INDEX(INDIRECT("Data!C"&amp;$B$4,FALSE),MATCH(E40,Data!$A:$A,0)),$K$6))</f>
        <v>324</v>
      </c>
      <c r="O40" s="71">
        <f ca="1">IF(""=IFERROR(INDEX(INDIRECT("Data!C"&amp;$B$4,FALSE),MATCH(F40,Data!$A:$A,0)),$K$6),$K$8,IFERROR(INDEX(INDIRECT("Data!C"&amp;$B$4,FALSE),MATCH(F40,Data!$A:$A,0)),$K$6))</f>
        <v>311</v>
      </c>
      <c r="P40" s="71">
        <f ca="1">IF(""=IFERROR(INDEX(INDIRECT("Data!C"&amp;$B$4,FALSE),MATCH(G40,Data!$A:$A,0)),$K$6),$K$8,IFERROR(INDEX(INDIRECT("Data!C"&amp;$B$4,FALSE),MATCH(G40,Data!$A:$A,0)),$K$6))</f>
        <v>296</v>
      </c>
      <c r="Q40" s="71">
        <f ca="1">IF(""=IFERROR(INDEX(INDIRECT("Data!C"&amp;$B$4,FALSE),MATCH(H40,Data!$A:$A,0)),$K$6),$K$8,IFERROR(INDEX(INDIRECT("Data!C"&amp;$B$4,FALSE),MATCH(H40,Data!$A:$A,0)),$K$6))</f>
        <v>92</v>
      </c>
      <c r="R40" s="88">
        <f t="shared" ca="1" si="21"/>
        <v>245</v>
      </c>
      <c r="T40" s="34">
        <f t="shared" si="29"/>
        <v>41770</v>
      </c>
      <c r="U40" s="34">
        <f t="shared" si="22"/>
        <v>41771</v>
      </c>
      <c r="V40" s="34">
        <f t="shared" si="17"/>
        <v>41772</v>
      </c>
      <c r="W40" s="34">
        <f t="shared" si="17"/>
        <v>41773</v>
      </c>
      <c r="X40" s="34">
        <f t="shared" si="17"/>
        <v>41774</v>
      </c>
      <c r="Y40" s="34">
        <f t="shared" si="17"/>
        <v>41775</v>
      </c>
      <c r="Z40" s="34">
        <f t="shared" si="17"/>
        <v>41776</v>
      </c>
      <c r="AB40" s="82" t="str">
        <f t="array" ref="AB40">IFERROR(IF(MATCH(8,DAY(T40:Z40),0),Z40,""),"")</f>
        <v/>
      </c>
      <c r="AC40" s="71">
        <f ca="1">IF(""=IFERROR(INDEX(INDIRECT("Data!C"&amp;$T$4,FALSE),MATCH(T40,Data!$A:$A,0)),$AC$6),$AC$8,IFERROR(INDEX(INDIRECT("Data!C"&amp;$T$4,FALSE),MATCH(T40,Data!$A:$A,0)),$AC$6))</f>
        <v>29</v>
      </c>
      <c r="AD40" s="71">
        <f ca="1">IF(""=IFERROR(INDEX(INDIRECT("Data!C"&amp;$T$4,FALSE),MATCH(U40,Data!$A:$A,0)),$AC$6),$AC$8,IFERROR(INDEX(INDIRECT("Data!C"&amp;$T$4,FALSE),MATCH(U40,Data!$A:$A,0)),$AC$6))</f>
        <v>336</v>
      </c>
      <c r="AE40" s="71">
        <f ca="1">IF(""=IFERROR(INDEX(INDIRECT("Data!C"&amp;$T$4,FALSE),MATCH(V40,Data!$A:$A,0)),$AC$6),$AC$8,IFERROR(INDEX(INDIRECT("Data!C"&amp;$T$4,FALSE),MATCH(V40,Data!$A:$A,0)),$AC$6))</f>
        <v>327</v>
      </c>
      <c r="AF40" s="71">
        <f ca="1">IF(""=IFERROR(INDEX(INDIRECT("Data!C"&amp;$T$4,FALSE),MATCH(W40,Data!$A:$A,0)),$AC$6),$AC$8,IFERROR(INDEX(INDIRECT("Data!C"&amp;$T$4,FALSE),MATCH(W40,Data!$A:$A,0)),$AC$6))</f>
        <v>324</v>
      </c>
      <c r="AG40" s="71">
        <f ca="1">IF(""=IFERROR(INDEX(INDIRECT("Data!C"&amp;$T$4,FALSE),MATCH(X40,Data!$A:$A,0)),$AC$6),$AC$8,IFERROR(INDEX(INDIRECT("Data!C"&amp;$T$4,FALSE),MATCH(X40,Data!$A:$A,0)),$AC$6))</f>
        <v>311</v>
      </c>
      <c r="AH40" s="71">
        <f ca="1">IF(""=IFERROR(INDEX(INDIRECT("Data!C"&amp;$T$4,FALSE),MATCH(Y40,Data!$A:$A,0)),$AC$6),$AC$8,IFERROR(INDEX(INDIRECT("Data!C"&amp;$T$4,FALSE),MATCH(Y40,Data!$A:$A,0)),$AC$6))</f>
        <v>296</v>
      </c>
      <c r="AI40" s="71">
        <f ca="1">IF(""=IFERROR(INDEX(INDIRECT("Data!C"&amp;$T$4,FALSE),MATCH(Z40,Data!$A:$A,0)),$AC$6),$AC$8,IFERROR(INDEX(INDIRECT("Data!C"&amp;$T$4,FALSE),MATCH(Z40,Data!$A:$A,0)),$AC$6))</f>
        <v>92</v>
      </c>
      <c r="AJ40" s="88">
        <f t="shared" ca="1" si="23"/>
        <v>245</v>
      </c>
      <c r="AL40" s="34">
        <f t="shared" si="30"/>
        <v>41770</v>
      </c>
      <c r="AM40" s="34">
        <f t="shared" si="24"/>
        <v>41771</v>
      </c>
      <c r="AN40" s="34">
        <f t="shared" si="18"/>
        <v>41772</v>
      </c>
      <c r="AO40" s="34">
        <f t="shared" si="18"/>
        <v>41773</v>
      </c>
      <c r="AP40" s="34">
        <f t="shared" si="18"/>
        <v>41774</v>
      </c>
      <c r="AQ40" s="34">
        <f t="shared" si="18"/>
        <v>41775</v>
      </c>
      <c r="AR40" s="34">
        <f t="shared" si="18"/>
        <v>41776</v>
      </c>
      <c r="AT40" s="82" t="str">
        <f t="array" ref="AT40">IFERROR(IF(MATCH(8,DAY(AL40:AR40),0),AR40,""),"")</f>
        <v/>
      </c>
      <c r="AU40" s="71">
        <f ca="1">IF(""=IFERROR(INDEX(INDIRECT("Data!C"&amp;$AL$4,FALSE),MATCH(AL40,Data!$A:$A,0)),$AU$6),$AU$8,IFERROR(INDEX(INDIRECT("Data!C"&amp;$AL$4,FALSE),MATCH(AL40,Data!$A:$A,0)),$AU$6))</f>
        <v>29</v>
      </c>
      <c r="AV40" s="71">
        <f ca="1">IF(""=IFERROR(INDEX(INDIRECT("Data!C"&amp;$AL$4,FALSE),MATCH(AM40,Data!$A:$A,0)),$AU$6),$AU$8,IFERROR(INDEX(INDIRECT("Data!C"&amp;$AL$4,FALSE),MATCH(AM40,Data!$A:$A,0)),$AU$6))</f>
        <v>336</v>
      </c>
      <c r="AW40" s="71">
        <f ca="1">IF(""=IFERROR(INDEX(INDIRECT("Data!C"&amp;$AL$4,FALSE),MATCH(AN40,Data!$A:$A,0)),$AU$6),$AU$8,IFERROR(INDEX(INDIRECT("Data!C"&amp;$AL$4,FALSE),MATCH(AN40,Data!$A:$A,0)),$AU$6))</f>
        <v>327</v>
      </c>
      <c r="AX40" s="71">
        <f ca="1">IF(""=IFERROR(INDEX(INDIRECT("Data!C"&amp;$AL$4,FALSE),MATCH(AO40,Data!$A:$A,0)),$AU$6),$AU$8,IFERROR(INDEX(INDIRECT("Data!C"&amp;$AL$4,FALSE),MATCH(AO40,Data!$A:$A,0)),$AU$6))</f>
        <v>324</v>
      </c>
      <c r="AY40" s="71">
        <f ca="1">IF(""=IFERROR(INDEX(INDIRECT("Data!C"&amp;$AL$4,FALSE),MATCH(AP40,Data!$A:$A,0)),$AU$6),$AU$8,IFERROR(INDEX(INDIRECT("Data!C"&amp;$AL$4,FALSE),MATCH(AP40,Data!$A:$A,0)),$AU$6))</f>
        <v>311</v>
      </c>
      <c r="AZ40" s="71">
        <f ca="1">IF(""=IFERROR(INDEX(INDIRECT("Data!C"&amp;$AL$4,FALSE),MATCH(AQ40,Data!$A:$A,0)),$AU$6),$AU$8,IFERROR(INDEX(INDIRECT("Data!C"&amp;$AL$4,FALSE),MATCH(AQ40,Data!$A:$A,0)),$AU$6))</f>
        <v>296</v>
      </c>
      <c r="BA40" s="71">
        <f ca="1">IF(""=IFERROR(INDEX(INDIRECT("Data!C"&amp;$AL$4,FALSE),MATCH(AR40,Data!$A:$A,0)),$AU$6),$AU$8,IFERROR(INDEX(INDIRECT("Data!C"&amp;$AL$4,FALSE),MATCH(AR40,Data!$A:$A,0)),$AU$6))</f>
        <v>92</v>
      </c>
      <c r="BB40" s="88">
        <f t="shared" ca="1" si="25"/>
        <v>245</v>
      </c>
      <c r="BD40" s="34">
        <f t="shared" si="31"/>
        <v>41770</v>
      </c>
      <c r="BE40" s="34">
        <f t="shared" si="26"/>
        <v>41771</v>
      </c>
      <c r="BF40" s="34">
        <f t="shared" si="19"/>
        <v>41772</v>
      </c>
      <c r="BG40" s="34">
        <f t="shared" si="19"/>
        <v>41773</v>
      </c>
      <c r="BH40" s="34">
        <f t="shared" si="19"/>
        <v>41774</v>
      </c>
      <c r="BI40" s="34">
        <f t="shared" si="19"/>
        <v>41775</v>
      </c>
      <c r="BJ40" s="34">
        <f t="shared" si="19"/>
        <v>41776</v>
      </c>
      <c r="BL40" s="82" t="str">
        <f t="array" ref="BL40">IFERROR(IF(MATCH(8,DAY(BD40:BJ40),0),BJ40,""),"")</f>
        <v/>
      </c>
      <c r="BM40" s="71">
        <f ca="1">IF(""=IFERROR(INDEX(INDIRECT("Data!C"&amp;$BD$4,FALSE),MATCH(BD40,Data!$A:$A,0)),$BM$6),$BM$8,IFERROR(INDEX(INDIRECT("Data!C"&amp;$BD$4,FALSE),MATCH(BD40,Data!$A:$A,0)),$BM$6))</f>
        <v>29</v>
      </c>
      <c r="BN40" s="71">
        <f ca="1">IF(""=IFERROR(INDEX(INDIRECT("Data!C"&amp;$BD$4,FALSE),MATCH(BE40,Data!$A:$A,0)),$BM$6),$BM$8,IFERROR(INDEX(INDIRECT("Data!C"&amp;$BD$4,FALSE),MATCH(BE40,Data!$A:$A,0)),$BM$6))</f>
        <v>336</v>
      </c>
      <c r="BO40" s="71">
        <f ca="1">IF(""=IFERROR(INDEX(INDIRECT("Data!C"&amp;$BD$4,FALSE),MATCH(BF40,Data!$A:$A,0)),$BM$6),$BM$8,IFERROR(INDEX(INDIRECT("Data!C"&amp;$BD$4,FALSE),MATCH(BF40,Data!$A:$A,0)),$BM$6))</f>
        <v>327</v>
      </c>
      <c r="BP40" s="71">
        <f ca="1">IF(""=IFERROR(INDEX(INDIRECT("Data!C"&amp;$BD$4,FALSE),MATCH(BG40,Data!$A:$A,0)),$BM$6),$BM$8,IFERROR(INDEX(INDIRECT("Data!C"&amp;$BD$4,FALSE),MATCH(BG40,Data!$A:$A,0)),$BM$6))</f>
        <v>324</v>
      </c>
      <c r="BQ40" s="71">
        <f ca="1">IF(""=IFERROR(INDEX(INDIRECT("Data!C"&amp;$BD$4,FALSE),MATCH(BH40,Data!$A:$A,0)),$BM$6),$BM$8,IFERROR(INDEX(INDIRECT("Data!C"&amp;$BD$4,FALSE),MATCH(BH40,Data!$A:$A,0)),$BM$6))</f>
        <v>311</v>
      </c>
      <c r="BR40" s="71">
        <f ca="1">IF(""=IFERROR(INDEX(INDIRECT("Data!C"&amp;$BD$4,FALSE),MATCH(BI40,Data!$A:$A,0)),$BM$6),$BM$8,IFERROR(INDEX(INDIRECT("Data!C"&amp;$BD$4,FALSE),MATCH(BI40,Data!$A:$A,0)),$BM$6))</f>
        <v>296</v>
      </c>
      <c r="BS40" s="71">
        <f ca="1">IF(""=IFERROR(INDEX(INDIRECT("Data!C"&amp;$BD$4,FALSE),MATCH(BJ40,Data!$A:$A,0)),$BM$6),$BM$8,IFERROR(INDEX(INDIRECT("Data!C"&amp;$BD$4,FALSE),MATCH(BJ40,Data!$A:$A,0)),$BM$6))</f>
        <v>92</v>
      </c>
      <c r="BT40" s="88">
        <f t="shared" ca="1" si="27"/>
        <v>245</v>
      </c>
    </row>
    <row r="41" spans="2:76" ht="12" customHeight="1" x14ac:dyDescent="0.2">
      <c r="B41" s="34">
        <f t="shared" si="28"/>
        <v>41777</v>
      </c>
      <c r="C41" s="34">
        <f t="shared" si="32"/>
        <v>41778</v>
      </c>
      <c r="D41" s="34">
        <f t="shared" si="32"/>
        <v>41779</v>
      </c>
      <c r="E41" s="34">
        <f t="shared" si="32"/>
        <v>41780</v>
      </c>
      <c r="F41" s="34">
        <f t="shared" si="32"/>
        <v>41781</v>
      </c>
      <c r="G41" s="34">
        <f t="shared" si="32"/>
        <v>41782</v>
      </c>
      <c r="H41" s="34">
        <f t="shared" si="32"/>
        <v>41783</v>
      </c>
      <c r="J41" s="82" t="str">
        <f t="array" ref="J41">IFERROR(IF(MATCH(8,DAY(B41:H41),0),H41,""),"")</f>
        <v/>
      </c>
      <c r="K41" s="71">
        <f ca="1">IF(""=IFERROR(INDEX(INDIRECT("Data!C"&amp;$B$4,FALSE),MATCH(B41,Data!$A:$A,0)),$K$6),$K$8,IFERROR(INDEX(INDIRECT("Data!C"&amp;$B$4,FALSE),MATCH(B41,Data!$A:$A,0)),$K$6))</f>
        <v>42</v>
      </c>
      <c r="L41" s="71">
        <f ca="1">IF(""=IFERROR(INDEX(INDIRECT("Data!C"&amp;$B$4,FALSE),MATCH(C41,Data!$A:$A,0)),$K$6),$K$8,IFERROR(INDEX(INDIRECT("Data!C"&amp;$B$4,FALSE),MATCH(C41,Data!$A:$A,0)),$K$6))</f>
        <v>423</v>
      </c>
      <c r="M41" s="71">
        <f ca="1">IF(""=IFERROR(INDEX(INDIRECT("Data!C"&amp;$B$4,FALSE),MATCH(D41,Data!$A:$A,0)),$K$6),$K$8,IFERROR(INDEX(INDIRECT("Data!C"&amp;$B$4,FALSE),MATCH(D41,Data!$A:$A,0)),$K$6))</f>
        <v>411</v>
      </c>
      <c r="N41" s="71">
        <f ca="1">IF(""=IFERROR(INDEX(INDIRECT("Data!C"&amp;$B$4,FALSE),MATCH(E41,Data!$A:$A,0)),$K$6),$K$8,IFERROR(INDEX(INDIRECT("Data!C"&amp;$B$4,FALSE),MATCH(E41,Data!$A:$A,0)),$K$6))</f>
        <v>272</v>
      </c>
      <c r="O41" s="71">
        <f ca="1">IF(""=IFERROR(INDEX(INDIRECT("Data!C"&amp;$B$4,FALSE),MATCH(F41,Data!$A:$A,0)),$K$6),$K$8,IFERROR(INDEX(INDIRECT("Data!C"&amp;$B$4,FALSE),MATCH(F41,Data!$A:$A,0)),$K$6))</f>
        <v>252</v>
      </c>
      <c r="P41" s="71">
        <f ca="1">IF(""=IFERROR(INDEX(INDIRECT("Data!C"&amp;$B$4,FALSE),MATCH(G41,Data!$A:$A,0)),$K$6),$K$8,IFERROR(INDEX(INDIRECT("Data!C"&amp;$B$4,FALSE),MATCH(G41,Data!$A:$A,0)),$K$6))</f>
        <v>182</v>
      </c>
      <c r="Q41" s="71">
        <f ca="1">IF(""=IFERROR(INDEX(INDIRECT("Data!C"&amp;$B$4,FALSE),MATCH(H41,Data!$A:$A,0)),$K$6),$K$8,IFERROR(INDEX(INDIRECT("Data!C"&amp;$B$4,FALSE),MATCH(H41,Data!$A:$A,0)),$K$6))</f>
        <v>87</v>
      </c>
      <c r="R41" s="88">
        <f t="shared" ca="1" si="21"/>
        <v>238.42857142857142</v>
      </c>
      <c r="T41" s="34">
        <f t="shared" si="29"/>
        <v>41777</v>
      </c>
      <c r="U41" s="34">
        <f t="shared" si="22"/>
        <v>41778</v>
      </c>
      <c r="V41" s="34">
        <f t="shared" si="17"/>
        <v>41779</v>
      </c>
      <c r="W41" s="34">
        <f t="shared" si="17"/>
        <v>41780</v>
      </c>
      <c r="X41" s="34">
        <f t="shared" si="17"/>
        <v>41781</v>
      </c>
      <c r="Y41" s="34">
        <f t="shared" si="17"/>
        <v>41782</v>
      </c>
      <c r="Z41" s="34">
        <f t="shared" si="17"/>
        <v>41783</v>
      </c>
      <c r="AB41" s="82" t="str">
        <f t="array" ref="AB41">IFERROR(IF(MATCH(8,DAY(T41:Z41),0),Z41,""),"")</f>
        <v/>
      </c>
      <c r="AC41" s="71">
        <f ca="1">IF(""=IFERROR(INDEX(INDIRECT("Data!C"&amp;$T$4,FALSE),MATCH(T41,Data!$A:$A,0)),$AC$6),$AC$8,IFERROR(INDEX(INDIRECT("Data!C"&amp;$T$4,FALSE),MATCH(T41,Data!$A:$A,0)),$AC$6))</f>
        <v>42</v>
      </c>
      <c r="AD41" s="71">
        <f ca="1">IF(""=IFERROR(INDEX(INDIRECT("Data!C"&amp;$T$4,FALSE),MATCH(U41,Data!$A:$A,0)),$AC$6),$AC$8,IFERROR(INDEX(INDIRECT("Data!C"&amp;$T$4,FALSE),MATCH(U41,Data!$A:$A,0)),$AC$6))</f>
        <v>423</v>
      </c>
      <c r="AE41" s="71">
        <f ca="1">IF(""=IFERROR(INDEX(INDIRECT("Data!C"&amp;$T$4,FALSE),MATCH(V41,Data!$A:$A,0)),$AC$6),$AC$8,IFERROR(INDEX(INDIRECT("Data!C"&amp;$T$4,FALSE),MATCH(V41,Data!$A:$A,0)),$AC$6))</f>
        <v>411</v>
      </c>
      <c r="AF41" s="71">
        <f ca="1">IF(""=IFERROR(INDEX(INDIRECT("Data!C"&amp;$T$4,FALSE),MATCH(W41,Data!$A:$A,0)),$AC$6),$AC$8,IFERROR(INDEX(INDIRECT("Data!C"&amp;$T$4,FALSE),MATCH(W41,Data!$A:$A,0)),$AC$6))</f>
        <v>272</v>
      </c>
      <c r="AG41" s="71">
        <f ca="1">IF(""=IFERROR(INDEX(INDIRECT("Data!C"&amp;$T$4,FALSE),MATCH(X41,Data!$A:$A,0)),$AC$6),$AC$8,IFERROR(INDEX(INDIRECT("Data!C"&amp;$T$4,FALSE),MATCH(X41,Data!$A:$A,0)),$AC$6))</f>
        <v>252</v>
      </c>
      <c r="AH41" s="71">
        <f ca="1">IF(""=IFERROR(INDEX(INDIRECT("Data!C"&amp;$T$4,FALSE),MATCH(Y41,Data!$A:$A,0)),$AC$6),$AC$8,IFERROR(INDEX(INDIRECT("Data!C"&amp;$T$4,FALSE),MATCH(Y41,Data!$A:$A,0)),$AC$6))</f>
        <v>182</v>
      </c>
      <c r="AI41" s="71">
        <f ca="1">IF(""=IFERROR(INDEX(INDIRECT("Data!C"&amp;$T$4,FALSE),MATCH(Z41,Data!$A:$A,0)),$AC$6),$AC$8,IFERROR(INDEX(INDIRECT("Data!C"&amp;$T$4,FALSE),MATCH(Z41,Data!$A:$A,0)),$AC$6))</f>
        <v>87</v>
      </c>
      <c r="AJ41" s="88">
        <f t="shared" ca="1" si="23"/>
        <v>238.42857142857142</v>
      </c>
      <c r="AL41" s="34">
        <f t="shared" si="30"/>
        <v>41777</v>
      </c>
      <c r="AM41" s="34">
        <f t="shared" si="24"/>
        <v>41778</v>
      </c>
      <c r="AN41" s="34">
        <f t="shared" si="18"/>
        <v>41779</v>
      </c>
      <c r="AO41" s="34">
        <f t="shared" si="18"/>
        <v>41780</v>
      </c>
      <c r="AP41" s="34">
        <f t="shared" si="18"/>
        <v>41781</v>
      </c>
      <c r="AQ41" s="34">
        <f t="shared" si="18"/>
        <v>41782</v>
      </c>
      <c r="AR41" s="34">
        <f t="shared" si="18"/>
        <v>41783</v>
      </c>
      <c r="AT41" s="82" t="str">
        <f t="array" ref="AT41">IFERROR(IF(MATCH(8,DAY(AL41:AR41),0),AR41,""),"")</f>
        <v/>
      </c>
      <c r="AU41" s="71">
        <f ca="1">IF(""=IFERROR(INDEX(INDIRECT("Data!C"&amp;$AL$4,FALSE),MATCH(AL41,Data!$A:$A,0)),$AU$6),$AU$8,IFERROR(INDEX(INDIRECT("Data!C"&amp;$AL$4,FALSE),MATCH(AL41,Data!$A:$A,0)),$AU$6))</f>
        <v>42</v>
      </c>
      <c r="AV41" s="71">
        <f ca="1">IF(""=IFERROR(INDEX(INDIRECT("Data!C"&amp;$AL$4,FALSE),MATCH(AM41,Data!$A:$A,0)),$AU$6),$AU$8,IFERROR(INDEX(INDIRECT("Data!C"&amp;$AL$4,FALSE),MATCH(AM41,Data!$A:$A,0)),$AU$6))</f>
        <v>423</v>
      </c>
      <c r="AW41" s="71">
        <f ca="1">IF(""=IFERROR(INDEX(INDIRECT("Data!C"&amp;$AL$4,FALSE),MATCH(AN41,Data!$A:$A,0)),$AU$6),$AU$8,IFERROR(INDEX(INDIRECT("Data!C"&amp;$AL$4,FALSE),MATCH(AN41,Data!$A:$A,0)),$AU$6))</f>
        <v>411</v>
      </c>
      <c r="AX41" s="71">
        <f ca="1">IF(""=IFERROR(INDEX(INDIRECT("Data!C"&amp;$AL$4,FALSE),MATCH(AO41,Data!$A:$A,0)),$AU$6),$AU$8,IFERROR(INDEX(INDIRECT("Data!C"&amp;$AL$4,FALSE),MATCH(AO41,Data!$A:$A,0)),$AU$6))</f>
        <v>272</v>
      </c>
      <c r="AY41" s="71">
        <f ca="1">IF(""=IFERROR(INDEX(INDIRECT("Data!C"&amp;$AL$4,FALSE),MATCH(AP41,Data!$A:$A,0)),$AU$6),$AU$8,IFERROR(INDEX(INDIRECT("Data!C"&amp;$AL$4,FALSE),MATCH(AP41,Data!$A:$A,0)),$AU$6))</f>
        <v>252</v>
      </c>
      <c r="AZ41" s="71">
        <f ca="1">IF(""=IFERROR(INDEX(INDIRECT("Data!C"&amp;$AL$4,FALSE),MATCH(AQ41,Data!$A:$A,0)),$AU$6),$AU$8,IFERROR(INDEX(INDIRECT("Data!C"&amp;$AL$4,FALSE),MATCH(AQ41,Data!$A:$A,0)),$AU$6))</f>
        <v>182</v>
      </c>
      <c r="BA41" s="71">
        <f ca="1">IF(""=IFERROR(INDEX(INDIRECT("Data!C"&amp;$AL$4,FALSE),MATCH(AR41,Data!$A:$A,0)),$AU$6),$AU$8,IFERROR(INDEX(INDIRECT("Data!C"&amp;$AL$4,FALSE),MATCH(AR41,Data!$A:$A,0)),$AU$6))</f>
        <v>87</v>
      </c>
      <c r="BB41" s="88">
        <f t="shared" ca="1" si="25"/>
        <v>238.42857142857142</v>
      </c>
      <c r="BD41" s="34">
        <f t="shared" si="31"/>
        <v>41777</v>
      </c>
      <c r="BE41" s="34">
        <f t="shared" si="26"/>
        <v>41778</v>
      </c>
      <c r="BF41" s="34">
        <f t="shared" si="19"/>
        <v>41779</v>
      </c>
      <c r="BG41" s="34">
        <f t="shared" si="19"/>
        <v>41780</v>
      </c>
      <c r="BH41" s="34">
        <f t="shared" si="19"/>
        <v>41781</v>
      </c>
      <c r="BI41" s="34">
        <f t="shared" si="19"/>
        <v>41782</v>
      </c>
      <c r="BJ41" s="34">
        <f t="shared" si="19"/>
        <v>41783</v>
      </c>
      <c r="BL41" s="82" t="str">
        <f t="array" ref="BL41">IFERROR(IF(MATCH(8,DAY(BD41:BJ41),0),BJ41,""),"")</f>
        <v/>
      </c>
      <c r="BM41" s="71">
        <f ca="1">IF(""=IFERROR(INDEX(INDIRECT("Data!C"&amp;$BD$4,FALSE),MATCH(BD41,Data!$A:$A,0)),$BM$6),$BM$8,IFERROR(INDEX(INDIRECT("Data!C"&amp;$BD$4,FALSE),MATCH(BD41,Data!$A:$A,0)),$BM$6))</f>
        <v>42</v>
      </c>
      <c r="BN41" s="71">
        <f ca="1">IF(""=IFERROR(INDEX(INDIRECT("Data!C"&amp;$BD$4,FALSE),MATCH(BE41,Data!$A:$A,0)),$BM$6),$BM$8,IFERROR(INDEX(INDIRECT("Data!C"&amp;$BD$4,FALSE),MATCH(BE41,Data!$A:$A,0)),$BM$6))</f>
        <v>423</v>
      </c>
      <c r="BO41" s="71">
        <f ca="1">IF(""=IFERROR(INDEX(INDIRECT("Data!C"&amp;$BD$4,FALSE),MATCH(BF41,Data!$A:$A,0)),$BM$6),$BM$8,IFERROR(INDEX(INDIRECT("Data!C"&amp;$BD$4,FALSE),MATCH(BF41,Data!$A:$A,0)),$BM$6))</f>
        <v>411</v>
      </c>
      <c r="BP41" s="71">
        <f ca="1">IF(""=IFERROR(INDEX(INDIRECT("Data!C"&amp;$BD$4,FALSE),MATCH(BG41,Data!$A:$A,0)),$BM$6),$BM$8,IFERROR(INDEX(INDIRECT("Data!C"&amp;$BD$4,FALSE),MATCH(BG41,Data!$A:$A,0)),$BM$6))</f>
        <v>272</v>
      </c>
      <c r="BQ41" s="71">
        <f ca="1">IF(""=IFERROR(INDEX(INDIRECT("Data!C"&amp;$BD$4,FALSE),MATCH(BH41,Data!$A:$A,0)),$BM$6),$BM$8,IFERROR(INDEX(INDIRECT("Data!C"&amp;$BD$4,FALSE),MATCH(BH41,Data!$A:$A,0)),$BM$6))</f>
        <v>252</v>
      </c>
      <c r="BR41" s="71">
        <f ca="1">IF(""=IFERROR(INDEX(INDIRECT("Data!C"&amp;$BD$4,FALSE),MATCH(BI41,Data!$A:$A,0)),$BM$6),$BM$8,IFERROR(INDEX(INDIRECT("Data!C"&amp;$BD$4,FALSE),MATCH(BI41,Data!$A:$A,0)),$BM$6))</f>
        <v>182</v>
      </c>
      <c r="BS41" s="71">
        <f ca="1">IF(""=IFERROR(INDEX(INDIRECT("Data!C"&amp;$BD$4,FALSE),MATCH(BJ41,Data!$A:$A,0)),$BM$6),$BM$8,IFERROR(INDEX(INDIRECT("Data!C"&amp;$BD$4,FALSE),MATCH(BJ41,Data!$A:$A,0)),$BM$6))</f>
        <v>87</v>
      </c>
      <c r="BT41" s="88">
        <f t="shared" ca="1" si="27"/>
        <v>238.42857142857142</v>
      </c>
    </row>
    <row r="42" spans="2:76" ht="12" customHeight="1" x14ac:dyDescent="0.2">
      <c r="B42" s="34">
        <f t="shared" si="28"/>
        <v>41784</v>
      </c>
      <c r="C42" s="34">
        <f t="shared" si="32"/>
        <v>41785</v>
      </c>
      <c r="D42" s="34">
        <f t="shared" si="32"/>
        <v>41786</v>
      </c>
      <c r="E42" s="34">
        <f t="shared" si="32"/>
        <v>41787</v>
      </c>
      <c r="F42" s="34">
        <f t="shared" si="32"/>
        <v>41788</v>
      </c>
      <c r="G42" s="34">
        <f t="shared" si="32"/>
        <v>41789</v>
      </c>
      <c r="H42" s="34">
        <f t="shared" si="32"/>
        <v>41790</v>
      </c>
      <c r="J42" s="82" t="str">
        <f t="array" ref="J42">IFERROR(IF(MATCH(8,DAY(B42:H42),0),H42,""),"")</f>
        <v/>
      </c>
      <c r="K42" s="71">
        <f ca="1">IF(""=IFERROR(INDEX(INDIRECT("Data!C"&amp;$B$4,FALSE),MATCH(B42,Data!$A:$A,0)),$K$6),$K$8,IFERROR(INDEX(INDIRECT("Data!C"&amp;$B$4,FALSE),MATCH(B42,Data!$A:$A,0)),$K$6))</f>
        <v>35</v>
      </c>
      <c r="L42" s="71">
        <f ca="1">IF(""=IFERROR(INDEX(INDIRECT("Data!C"&amp;$B$4,FALSE),MATCH(C42,Data!$A:$A,0)),$K$6),$K$8,IFERROR(INDEX(INDIRECT("Data!C"&amp;$B$4,FALSE),MATCH(C42,Data!$A:$A,0)),$K$6))</f>
        <v>410</v>
      </c>
      <c r="M42" s="71">
        <f ca="1">IF(""=IFERROR(INDEX(INDIRECT("Data!C"&amp;$B$4,FALSE),MATCH(D42,Data!$A:$A,0)),$K$6),$K$8,IFERROR(INDEX(INDIRECT("Data!C"&amp;$B$4,FALSE),MATCH(D42,Data!$A:$A,0)),$K$6))</f>
        <v>251</v>
      </c>
      <c r="N42" s="71">
        <f ca="1">IF(""=IFERROR(INDEX(INDIRECT("Data!C"&amp;$B$4,FALSE),MATCH(E42,Data!$A:$A,0)),$K$6),$K$8,IFERROR(INDEX(INDIRECT("Data!C"&amp;$B$4,FALSE),MATCH(E42,Data!$A:$A,0)),$K$6))</f>
        <v>229</v>
      </c>
      <c r="O42" s="71">
        <f ca="1">IF(""=IFERROR(INDEX(INDIRECT("Data!C"&amp;$B$4,FALSE),MATCH(F42,Data!$A:$A,0)),$K$6),$K$8,IFERROR(INDEX(INDIRECT("Data!C"&amp;$B$4,FALSE),MATCH(F42,Data!$A:$A,0)),$K$6))</f>
        <v>318</v>
      </c>
      <c r="P42" s="71">
        <f ca="1">IF(""=IFERROR(INDEX(INDIRECT("Data!C"&amp;$B$4,FALSE),MATCH(G42,Data!$A:$A,0)),$K$6),$K$8,IFERROR(INDEX(INDIRECT("Data!C"&amp;$B$4,FALSE),MATCH(G42,Data!$A:$A,0)),$K$6))</f>
        <v>241</v>
      </c>
      <c r="Q42" s="71">
        <f ca="1">IF(""=IFERROR(INDEX(INDIRECT("Data!C"&amp;$B$4,FALSE),MATCH(H42,Data!$A:$A,0)),$K$6),$K$8,IFERROR(INDEX(INDIRECT("Data!C"&amp;$B$4,FALSE),MATCH(H42,Data!$A:$A,0)),$K$6))</f>
        <v>72</v>
      </c>
      <c r="R42" s="88">
        <f t="shared" ca="1" si="21"/>
        <v>222.28571428571428</v>
      </c>
      <c r="T42" s="34">
        <f t="shared" si="29"/>
        <v>41784</v>
      </c>
      <c r="U42" s="34">
        <f t="shared" si="22"/>
        <v>41785</v>
      </c>
      <c r="V42" s="34">
        <f t="shared" si="17"/>
        <v>41786</v>
      </c>
      <c r="W42" s="34">
        <f t="shared" si="17"/>
        <v>41787</v>
      </c>
      <c r="X42" s="34">
        <f t="shared" si="17"/>
        <v>41788</v>
      </c>
      <c r="Y42" s="34">
        <f t="shared" si="17"/>
        <v>41789</v>
      </c>
      <c r="Z42" s="34">
        <f t="shared" si="17"/>
        <v>41790</v>
      </c>
      <c r="AB42" s="82" t="str">
        <f t="array" ref="AB42">IFERROR(IF(MATCH(8,DAY(T42:Z42),0),Z42,""),"")</f>
        <v/>
      </c>
      <c r="AC42" s="71">
        <f ca="1">IF(""=IFERROR(INDEX(INDIRECT("Data!C"&amp;$T$4,FALSE),MATCH(T42,Data!$A:$A,0)),$AC$6),$AC$8,IFERROR(INDEX(INDIRECT("Data!C"&amp;$T$4,FALSE),MATCH(T42,Data!$A:$A,0)),$AC$6))</f>
        <v>35</v>
      </c>
      <c r="AD42" s="71">
        <f ca="1">IF(""=IFERROR(INDEX(INDIRECT("Data!C"&amp;$T$4,FALSE),MATCH(U42,Data!$A:$A,0)),$AC$6),$AC$8,IFERROR(INDEX(INDIRECT("Data!C"&amp;$T$4,FALSE),MATCH(U42,Data!$A:$A,0)),$AC$6))</f>
        <v>410</v>
      </c>
      <c r="AE42" s="71">
        <f ca="1">IF(""=IFERROR(INDEX(INDIRECT("Data!C"&amp;$T$4,FALSE),MATCH(V42,Data!$A:$A,0)),$AC$6),$AC$8,IFERROR(INDEX(INDIRECT("Data!C"&amp;$T$4,FALSE),MATCH(V42,Data!$A:$A,0)),$AC$6))</f>
        <v>251</v>
      </c>
      <c r="AF42" s="71">
        <f ca="1">IF(""=IFERROR(INDEX(INDIRECT("Data!C"&amp;$T$4,FALSE),MATCH(W42,Data!$A:$A,0)),$AC$6),$AC$8,IFERROR(INDEX(INDIRECT("Data!C"&amp;$T$4,FALSE),MATCH(W42,Data!$A:$A,0)),$AC$6))</f>
        <v>229</v>
      </c>
      <c r="AG42" s="71">
        <f ca="1">IF(""=IFERROR(INDEX(INDIRECT("Data!C"&amp;$T$4,FALSE),MATCH(X42,Data!$A:$A,0)),$AC$6),$AC$8,IFERROR(INDEX(INDIRECT("Data!C"&amp;$T$4,FALSE),MATCH(X42,Data!$A:$A,0)),$AC$6))</f>
        <v>318</v>
      </c>
      <c r="AH42" s="71">
        <f ca="1">IF(""=IFERROR(INDEX(INDIRECT("Data!C"&amp;$T$4,FALSE),MATCH(Y42,Data!$A:$A,0)),$AC$6),$AC$8,IFERROR(INDEX(INDIRECT("Data!C"&amp;$T$4,FALSE),MATCH(Y42,Data!$A:$A,0)),$AC$6))</f>
        <v>241</v>
      </c>
      <c r="AI42" s="71">
        <f ca="1">IF(""=IFERROR(INDEX(INDIRECT("Data!C"&amp;$T$4,FALSE),MATCH(Z42,Data!$A:$A,0)),$AC$6),$AC$8,IFERROR(INDEX(INDIRECT("Data!C"&amp;$T$4,FALSE),MATCH(Z42,Data!$A:$A,0)),$AC$6))</f>
        <v>72</v>
      </c>
      <c r="AJ42" s="88">
        <f t="shared" ca="1" si="23"/>
        <v>222.28571428571428</v>
      </c>
      <c r="AL42" s="34">
        <f t="shared" si="30"/>
        <v>41784</v>
      </c>
      <c r="AM42" s="34">
        <f t="shared" si="24"/>
        <v>41785</v>
      </c>
      <c r="AN42" s="34">
        <f t="shared" si="18"/>
        <v>41786</v>
      </c>
      <c r="AO42" s="34">
        <f t="shared" si="18"/>
        <v>41787</v>
      </c>
      <c r="AP42" s="34">
        <f t="shared" si="18"/>
        <v>41788</v>
      </c>
      <c r="AQ42" s="34">
        <f t="shared" si="18"/>
        <v>41789</v>
      </c>
      <c r="AR42" s="34">
        <f t="shared" si="18"/>
        <v>41790</v>
      </c>
      <c r="AT42" s="82" t="str">
        <f t="array" ref="AT42">IFERROR(IF(MATCH(8,DAY(AL42:AR42),0),AR42,""),"")</f>
        <v/>
      </c>
      <c r="AU42" s="71">
        <f ca="1">IF(""=IFERROR(INDEX(INDIRECT("Data!C"&amp;$AL$4,FALSE),MATCH(AL42,Data!$A:$A,0)),$AU$6),$AU$8,IFERROR(INDEX(INDIRECT("Data!C"&amp;$AL$4,FALSE),MATCH(AL42,Data!$A:$A,0)),$AU$6))</f>
        <v>35</v>
      </c>
      <c r="AV42" s="71">
        <f ca="1">IF(""=IFERROR(INDEX(INDIRECT("Data!C"&amp;$AL$4,FALSE),MATCH(AM42,Data!$A:$A,0)),$AU$6),$AU$8,IFERROR(INDEX(INDIRECT("Data!C"&amp;$AL$4,FALSE),MATCH(AM42,Data!$A:$A,0)),$AU$6))</f>
        <v>410</v>
      </c>
      <c r="AW42" s="71">
        <f ca="1">IF(""=IFERROR(INDEX(INDIRECT("Data!C"&amp;$AL$4,FALSE),MATCH(AN42,Data!$A:$A,0)),$AU$6),$AU$8,IFERROR(INDEX(INDIRECT("Data!C"&amp;$AL$4,FALSE),MATCH(AN42,Data!$A:$A,0)),$AU$6))</f>
        <v>251</v>
      </c>
      <c r="AX42" s="71">
        <f ca="1">IF(""=IFERROR(INDEX(INDIRECT("Data!C"&amp;$AL$4,FALSE),MATCH(AO42,Data!$A:$A,0)),$AU$6),$AU$8,IFERROR(INDEX(INDIRECT("Data!C"&amp;$AL$4,FALSE),MATCH(AO42,Data!$A:$A,0)),$AU$6))</f>
        <v>229</v>
      </c>
      <c r="AY42" s="71">
        <f ca="1">IF(""=IFERROR(INDEX(INDIRECT("Data!C"&amp;$AL$4,FALSE),MATCH(AP42,Data!$A:$A,0)),$AU$6),$AU$8,IFERROR(INDEX(INDIRECT("Data!C"&amp;$AL$4,FALSE),MATCH(AP42,Data!$A:$A,0)),$AU$6))</f>
        <v>318</v>
      </c>
      <c r="AZ42" s="71">
        <f ca="1">IF(""=IFERROR(INDEX(INDIRECT("Data!C"&amp;$AL$4,FALSE),MATCH(AQ42,Data!$A:$A,0)),$AU$6),$AU$8,IFERROR(INDEX(INDIRECT("Data!C"&amp;$AL$4,FALSE),MATCH(AQ42,Data!$A:$A,0)),$AU$6))</f>
        <v>241</v>
      </c>
      <c r="BA42" s="71">
        <f ca="1">IF(""=IFERROR(INDEX(INDIRECT("Data!C"&amp;$AL$4,FALSE),MATCH(AR42,Data!$A:$A,0)),$AU$6),$AU$8,IFERROR(INDEX(INDIRECT("Data!C"&amp;$AL$4,FALSE),MATCH(AR42,Data!$A:$A,0)),$AU$6))</f>
        <v>72</v>
      </c>
      <c r="BB42" s="88">
        <f t="shared" ca="1" si="25"/>
        <v>222.28571428571428</v>
      </c>
      <c r="BD42" s="34">
        <f t="shared" si="31"/>
        <v>41784</v>
      </c>
      <c r="BE42" s="34">
        <f t="shared" si="26"/>
        <v>41785</v>
      </c>
      <c r="BF42" s="34">
        <f t="shared" si="19"/>
        <v>41786</v>
      </c>
      <c r="BG42" s="34">
        <f t="shared" si="19"/>
        <v>41787</v>
      </c>
      <c r="BH42" s="34">
        <f t="shared" si="19"/>
        <v>41788</v>
      </c>
      <c r="BI42" s="34">
        <f t="shared" si="19"/>
        <v>41789</v>
      </c>
      <c r="BJ42" s="34">
        <f t="shared" si="19"/>
        <v>41790</v>
      </c>
      <c r="BL42" s="82" t="str">
        <f t="array" ref="BL42">IFERROR(IF(MATCH(8,DAY(BD42:BJ42),0),BJ42,""),"")</f>
        <v/>
      </c>
      <c r="BM42" s="71">
        <f ca="1">IF(""=IFERROR(INDEX(INDIRECT("Data!C"&amp;$BD$4,FALSE),MATCH(BD42,Data!$A:$A,0)),$BM$6),$BM$8,IFERROR(INDEX(INDIRECT("Data!C"&amp;$BD$4,FALSE),MATCH(BD42,Data!$A:$A,0)),$BM$6))</f>
        <v>35</v>
      </c>
      <c r="BN42" s="71">
        <f ca="1">IF(""=IFERROR(INDEX(INDIRECT("Data!C"&amp;$BD$4,FALSE),MATCH(BE42,Data!$A:$A,0)),$BM$6),$BM$8,IFERROR(INDEX(INDIRECT("Data!C"&amp;$BD$4,FALSE),MATCH(BE42,Data!$A:$A,0)),$BM$6))</f>
        <v>410</v>
      </c>
      <c r="BO42" s="71">
        <f ca="1">IF(""=IFERROR(INDEX(INDIRECT("Data!C"&amp;$BD$4,FALSE),MATCH(BF42,Data!$A:$A,0)),$BM$6),$BM$8,IFERROR(INDEX(INDIRECT("Data!C"&amp;$BD$4,FALSE),MATCH(BF42,Data!$A:$A,0)),$BM$6))</f>
        <v>251</v>
      </c>
      <c r="BP42" s="71">
        <f ca="1">IF(""=IFERROR(INDEX(INDIRECT("Data!C"&amp;$BD$4,FALSE),MATCH(BG42,Data!$A:$A,0)),$BM$6),$BM$8,IFERROR(INDEX(INDIRECT("Data!C"&amp;$BD$4,FALSE),MATCH(BG42,Data!$A:$A,0)),$BM$6))</f>
        <v>229</v>
      </c>
      <c r="BQ42" s="71">
        <f ca="1">IF(""=IFERROR(INDEX(INDIRECT("Data!C"&amp;$BD$4,FALSE),MATCH(BH42,Data!$A:$A,0)),$BM$6),$BM$8,IFERROR(INDEX(INDIRECT("Data!C"&amp;$BD$4,FALSE),MATCH(BH42,Data!$A:$A,0)),$BM$6))</f>
        <v>318</v>
      </c>
      <c r="BR42" s="71">
        <f ca="1">IF(""=IFERROR(INDEX(INDIRECT("Data!C"&amp;$BD$4,FALSE),MATCH(BI42,Data!$A:$A,0)),$BM$6),$BM$8,IFERROR(INDEX(INDIRECT("Data!C"&amp;$BD$4,FALSE),MATCH(BI42,Data!$A:$A,0)),$BM$6))</f>
        <v>241</v>
      </c>
      <c r="BS42" s="71">
        <f ca="1">IF(""=IFERROR(INDEX(INDIRECT("Data!C"&amp;$BD$4,FALSE),MATCH(BJ42,Data!$A:$A,0)),$BM$6),$BM$8,IFERROR(INDEX(INDIRECT("Data!C"&amp;$BD$4,FALSE),MATCH(BJ42,Data!$A:$A,0)),$BM$6))</f>
        <v>72</v>
      </c>
      <c r="BT42" s="88">
        <f t="shared" ca="1" si="27"/>
        <v>222.28571428571428</v>
      </c>
    </row>
    <row r="43" spans="2:76" ht="12" customHeight="1" x14ac:dyDescent="0.2">
      <c r="B43" s="34">
        <f t="shared" si="28"/>
        <v>41791</v>
      </c>
      <c r="C43" s="34">
        <f t="shared" si="32"/>
        <v>41792</v>
      </c>
      <c r="D43" s="34">
        <f t="shared" si="32"/>
        <v>41793</v>
      </c>
      <c r="E43" s="34">
        <f t="shared" si="32"/>
        <v>41794</v>
      </c>
      <c r="F43" s="34">
        <f t="shared" si="32"/>
        <v>41795</v>
      </c>
      <c r="G43" s="34">
        <f t="shared" si="32"/>
        <v>41796</v>
      </c>
      <c r="H43" s="34">
        <f t="shared" si="32"/>
        <v>41797</v>
      </c>
      <c r="J43" s="82" t="str">
        <f t="array" ref="J43">IFERROR(IF(MATCH(8,DAY(B43:H43),0),H43,""),"")</f>
        <v/>
      </c>
      <c r="K43" s="71">
        <f ca="1">IF(""=IFERROR(INDEX(INDIRECT("Data!C"&amp;$B$4,FALSE),MATCH(B43,Data!$A:$A,0)),$K$6),$K$8,IFERROR(INDEX(INDIRECT("Data!C"&amp;$B$4,FALSE),MATCH(B43,Data!$A:$A,0)),$K$6))</f>
        <v>25</v>
      </c>
      <c r="L43" s="71">
        <f ca="1">IF(""=IFERROR(INDEX(INDIRECT("Data!C"&amp;$B$4,FALSE),MATCH(C43,Data!$A:$A,0)),$K$6),$K$8,IFERROR(INDEX(INDIRECT("Data!C"&amp;$B$4,FALSE),MATCH(C43,Data!$A:$A,0)),$K$6))</f>
        <v>400</v>
      </c>
      <c r="M43" s="71">
        <f ca="1">IF(""=IFERROR(INDEX(INDIRECT("Data!C"&amp;$B$4,FALSE),MATCH(D43,Data!$A:$A,0)),$K$6),$K$8,IFERROR(INDEX(INDIRECT("Data!C"&amp;$B$4,FALSE),MATCH(D43,Data!$A:$A,0)),$K$6))</f>
        <v>383</v>
      </c>
      <c r="N43" s="71">
        <f ca="1">IF(""=IFERROR(INDEX(INDIRECT("Data!C"&amp;$B$4,FALSE),MATCH(E43,Data!$A:$A,0)),$K$6),$K$8,IFERROR(INDEX(INDIRECT("Data!C"&amp;$B$4,FALSE),MATCH(E43,Data!$A:$A,0)),$K$6))</f>
        <v>195</v>
      </c>
      <c r="O43" s="71">
        <f ca="1">IF(""=IFERROR(INDEX(INDIRECT("Data!C"&amp;$B$4,FALSE),MATCH(F43,Data!$A:$A,0)),$K$6),$K$8,IFERROR(INDEX(INDIRECT("Data!C"&amp;$B$4,FALSE),MATCH(F43,Data!$A:$A,0)),$K$6))</f>
        <v>213</v>
      </c>
      <c r="P43" s="71">
        <f ca="1">IF(""=IFERROR(INDEX(INDIRECT("Data!C"&amp;$B$4,FALSE),MATCH(G43,Data!$A:$A,0)),$K$6),$K$8,IFERROR(INDEX(INDIRECT("Data!C"&amp;$B$4,FALSE),MATCH(G43,Data!$A:$A,0)),$K$6))</f>
        <v>142</v>
      </c>
      <c r="Q43" s="71">
        <f ca="1">IF(""=IFERROR(INDEX(INDIRECT("Data!C"&amp;$B$4,FALSE),MATCH(H43,Data!$A:$A,0)),$K$6),$K$8,IFERROR(INDEX(INDIRECT("Data!C"&amp;$B$4,FALSE),MATCH(H43,Data!$A:$A,0)),$K$6))</f>
        <v>52</v>
      </c>
      <c r="R43" s="88">
        <f t="shared" ca="1" si="21"/>
        <v>201.42857142857142</v>
      </c>
      <c r="T43" s="34">
        <f t="shared" si="29"/>
        <v>41791</v>
      </c>
      <c r="U43" s="34">
        <f t="shared" si="22"/>
        <v>41792</v>
      </c>
      <c r="V43" s="34">
        <f t="shared" si="17"/>
        <v>41793</v>
      </c>
      <c r="W43" s="34">
        <f t="shared" si="17"/>
        <v>41794</v>
      </c>
      <c r="X43" s="34">
        <f t="shared" si="17"/>
        <v>41795</v>
      </c>
      <c r="Y43" s="34">
        <f t="shared" si="17"/>
        <v>41796</v>
      </c>
      <c r="Z43" s="34">
        <f t="shared" si="17"/>
        <v>41797</v>
      </c>
      <c r="AB43" s="82" t="str">
        <f t="array" ref="AB43">IFERROR(IF(MATCH(8,DAY(T43:Z43),0),Z43,""),"")</f>
        <v/>
      </c>
      <c r="AC43" s="71">
        <f ca="1">IF(""=IFERROR(INDEX(INDIRECT("Data!C"&amp;$T$4,FALSE),MATCH(T43,Data!$A:$A,0)),$AC$6),$AC$8,IFERROR(INDEX(INDIRECT("Data!C"&amp;$T$4,FALSE),MATCH(T43,Data!$A:$A,0)),$AC$6))</f>
        <v>25</v>
      </c>
      <c r="AD43" s="71">
        <f ca="1">IF(""=IFERROR(INDEX(INDIRECT("Data!C"&amp;$T$4,FALSE),MATCH(U43,Data!$A:$A,0)),$AC$6),$AC$8,IFERROR(INDEX(INDIRECT("Data!C"&amp;$T$4,FALSE),MATCH(U43,Data!$A:$A,0)),$AC$6))</f>
        <v>400</v>
      </c>
      <c r="AE43" s="71">
        <f ca="1">IF(""=IFERROR(INDEX(INDIRECT("Data!C"&amp;$T$4,FALSE),MATCH(V43,Data!$A:$A,0)),$AC$6),$AC$8,IFERROR(INDEX(INDIRECT("Data!C"&amp;$T$4,FALSE),MATCH(V43,Data!$A:$A,0)),$AC$6))</f>
        <v>383</v>
      </c>
      <c r="AF43" s="71">
        <f ca="1">IF(""=IFERROR(INDEX(INDIRECT("Data!C"&amp;$T$4,FALSE),MATCH(W43,Data!$A:$A,0)),$AC$6),$AC$8,IFERROR(INDEX(INDIRECT("Data!C"&amp;$T$4,FALSE),MATCH(W43,Data!$A:$A,0)),$AC$6))</f>
        <v>195</v>
      </c>
      <c r="AG43" s="71">
        <f ca="1">IF(""=IFERROR(INDEX(INDIRECT("Data!C"&amp;$T$4,FALSE),MATCH(X43,Data!$A:$A,0)),$AC$6),$AC$8,IFERROR(INDEX(INDIRECT("Data!C"&amp;$T$4,FALSE),MATCH(X43,Data!$A:$A,0)),$AC$6))</f>
        <v>213</v>
      </c>
      <c r="AH43" s="71">
        <f ca="1">IF(""=IFERROR(INDEX(INDIRECT("Data!C"&amp;$T$4,FALSE),MATCH(Y43,Data!$A:$A,0)),$AC$6),$AC$8,IFERROR(INDEX(INDIRECT("Data!C"&amp;$T$4,FALSE),MATCH(Y43,Data!$A:$A,0)),$AC$6))</f>
        <v>142</v>
      </c>
      <c r="AI43" s="71">
        <f ca="1">IF(""=IFERROR(INDEX(INDIRECT("Data!C"&amp;$T$4,FALSE),MATCH(Z43,Data!$A:$A,0)),$AC$6),$AC$8,IFERROR(INDEX(INDIRECT("Data!C"&amp;$T$4,FALSE),MATCH(Z43,Data!$A:$A,0)),$AC$6))</f>
        <v>52</v>
      </c>
      <c r="AJ43" s="88">
        <f t="shared" ca="1" si="23"/>
        <v>201.42857142857142</v>
      </c>
      <c r="AL43" s="34">
        <f t="shared" si="30"/>
        <v>41791</v>
      </c>
      <c r="AM43" s="34">
        <f t="shared" si="24"/>
        <v>41792</v>
      </c>
      <c r="AN43" s="34">
        <f t="shared" si="18"/>
        <v>41793</v>
      </c>
      <c r="AO43" s="34">
        <f t="shared" si="18"/>
        <v>41794</v>
      </c>
      <c r="AP43" s="34">
        <f t="shared" si="18"/>
        <v>41795</v>
      </c>
      <c r="AQ43" s="34">
        <f t="shared" si="18"/>
        <v>41796</v>
      </c>
      <c r="AR43" s="34">
        <f t="shared" si="18"/>
        <v>41797</v>
      </c>
      <c r="AT43" s="82" t="str">
        <f t="array" ref="AT43">IFERROR(IF(MATCH(8,DAY(AL43:AR43),0),AR43,""),"")</f>
        <v/>
      </c>
      <c r="AU43" s="71">
        <f ca="1">IF(""=IFERROR(INDEX(INDIRECT("Data!C"&amp;$AL$4,FALSE),MATCH(AL43,Data!$A:$A,0)),$AU$6),$AU$8,IFERROR(INDEX(INDIRECT("Data!C"&amp;$AL$4,FALSE),MATCH(AL43,Data!$A:$A,0)),$AU$6))</f>
        <v>25</v>
      </c>
      <c r="AV43" s="71">
        <f ca="1">IF(""=IFERROR(INDEX(INDIRECT("Data!C"&amp;$AL$4,FALSE),MATCH(AM43,Data!$A:$A,0)),$AU$6),$AU$8,IFERROR(INDEX(INDIRECT("Data!C"&amp;$AL$4,FALSE),MATCH(AM43,Data!$A:$A,0)),$AU$6))</f>
        <v>400</v>
      </c>
      <c r="AW43" s="71">
        <f ca="1">IF(""=IFERROR(INDEX(INDIRECT("Data!C"&amp;$AL$4,FALSE),MATCH(AN43,Data!$A:$A,0)),$AU$6),$AU$8,IFERROR(INDEX(INDIRECT("Data!C"&amp;$AL$4,FALSE),MATCH(AN43,Data!$A:$A,0)),$AU$6))</f>
        <v>383</v>
      </c>
      <c r="AX43" s="71">
        <f ca="1">IF(""=IFERROR(INDEX(INDIRECT("Data!C"&amp;$AL$4,FALSE),MATCH(AO43,Data!$A:$A,0)),$AU$6),$AU$8,IFERROR(INDEX(INDIRECT("Data!C"&amp;$AL$4,FALSE),MATCH(AO43,Data!$A:$A,0)),$AU$6))</f>
        <v>195</v>
      </c>
      <c r="AY43" s="71">
        <f ca="1">IF(""=IFERROR(INDEX(INDIRECT("Data!C"&amp;$AL$4,FALSE),MATCH(AP43,Data!$A:$A,0)),$AU$6),$AU$8,IFERROR(INDEX(INDIRECT("Data!C"&amp;$AL$4,FALSE),MATCH(AP43,Data!$A:$A,0)),$AU$6))</f>
        <v>213</v>
      </c>
      <c r="AZ43" s="71">
        <f ca="1">IF(""=IFERROR(INDEX(INDIRECT("Data!C"&amp;$AL$4,FALSE),MATCH(AQ43,Data!$A:$A,0)),$AU$6),$AU$8,IFERROR(INDEX(INDIRECT("Data!C"&amp;$AL$4,FALSE),MATCH(AQ43,Data!$A:$A,0)),$AU$6))</f>
        <v>142</v>
      </c>
      <c r="BA43" s="71">
        <f ca="1">IF(""=IFERROR(INDEX(INDIRECT("Data!C"&amp;$AL$4,FALSE),MATCH(AR43,Data!$A:$A,0)),$AU$6),$AU$8,IFERROR(INDEX(INDIRECT("Data!C"&amp;$AL$4,FALSE),MATCH(AR43,Data!$A:$A,0)),$AU$6))</f>
        <v>52</v>
      </c>
      <c r="BB43" s="88">
        <f t="shared" ca="1" si="25"/>
        <v>201.42857142857142</v>
      </c>
      <c r="BD43" s="34">
        <f t="shared" si="31"/>
        <v>41791</v>
      </c>
      <c r="BE43" s="34">
        <f t="shared" si="26"/>
        <v>41792</v>
      </c>
      <c r="BF43" s="34">
        <f t="shared" si="19"/>
        <v>41793</v>
      </c>
      <c r="BG43" s="34">
        <f t="shared" si="19"/>
        <v>41794</v>
      </c>
      <c r="BH43" s="34">
        <f t="shared" si="19"/>
        <v>41795</v>
      </c>
      <c r="BI43" s="34">
        <f t="shared" si="19"/>
        <v>41796</v>
      </c>
      <c r="BJ43" s="34">
        <f t="shared" si="19"/>
        <v>41797</v>
      </c>
      <c r="BL43" s="82" t="str">
        <f t="array" ref="BL43">IFERROR(IF(MATCH(8,DAY(BD43:BJ43),0),BJ43,""),"")</f>
        <v/>
      </c>
      <c r="BM43" s="71">
        <f ca="1">IF(""=IFERROR(INDEX(INDIRECT("Data!C"&amp;$BD$4,FALSE),MATCH(BD43,Data!$A:$A,0)),$BM$6),$BM$8,IFERROR(INDEX(INDIRECT("Data!C"&amp;$BD$4,FALSE),MATCH(BD43,Data!$A:$A,0)),$BM$6))</f>
        <v>25</v>
      </c>
      <c r="BN43" s="71">
        <f ca="1">IF(""=IFERROR(INDEX(INDIRECT("Data!C"&amp;$BD$4,FALSE),MATCH(BE43,Data!$A:$A,0)),$BM$6),$BM$8,IFERROR(INDEX(INDIRECT("Data!C"&amp;$BD$4,FALSE),MATCH(BE43,Data!$A:$A,0)),$BM$6))</f>
        <v>400</v>
      </c>
      <c r="BO43" s="71">
        <f ca="1">IF(""=IFERROR(INDEX(INDIRECT("Data!C"&amp;$BD$4,FALSE),MATCH(BF43,Data!$A:$A,0)),$BM$6),$BM$8,IFERROR(INDEX(INDIRECT("Data!C"&amp;$BD$4,FALSE),MATCH(BF43,Data!$A:$A,0)),$BM$6))</f>
        <v>383</v>
      </c>
      <c r="BP43" s="71">
        <f ca="1">IF(""=IFERROR(INDEX(INDIRECT("Data!C"&amp;$BD$4,FALSE),MATCH(BG43,Data!$A:$A,0)),$BM$6),$BM$8,IFERROR(INDEX(INDIRECT("Data!C"&amp;$BD$4,FALSE),MATCH(BG43,Data!$A:$A,0)),$BM$6))</f>
        <v>195</v>
      </c>
      <c r="BQ43" s="71">
        <f ca="1">IF(""=IFERROR(INDEX(INDIRECT("Data!C"&amp;$BD$4,FALSE),MATCH(BH43,Data!$A:$A,0)),$BM$6),$BM$8,IFERROR(INDEX(INDIRECT("Data!C"&amp;$BD$4,FALSE),MATCH(BH43,Data!$A:$A,0)),$BM$6))</f>
        <v>213</v>
      </c>
      <c r="BR43" s="71">
        <f ca="1">IF(""=IFERROR(INDEX(INDIRECT("Data!C"&amp;$BD$4,FALSE),MATCH(BI43,Data!$A:$A,0)),$BM$6),$BM$8,IFERROR(INDEX(INDIRECT("Data!C"&amp;$BD$4,FALSE),MATCH(BI43,Data!$A:$A,0)),$BM$6))</f>
        <v>142</v>
      </c>
      <c r="BS43" s="71">
        <f ca="1">IF(""=IFERROR(INDEX(INDIRECT("Data!C"&amp;$BD$4,FALSE),MATCH(BJ43,Data!$A:$A,0)),$BM$6),$BM$8,IFERROR(INDEX(INDIRECT("Data!C"&amp;$BD$4,FALSE),MATCH(BJ43,Data!$A:$A,0)),$BM$6))</f>
        <v>52</v>
      </c>
      <c r="BT43" s="88">
        <f t="shared" ca="1" si="27"/>
        <v>201.42857142857142</v>
      </c>
    </row>
    <row r="44" spans="2:76" ht="12" customHeight="1" x14ac:dyDescent="0.2">
      <c r="B44" s="34">
        <f t="shared" si="28"/>
        <v>41798</v>
      </c>
      <c r="C44" s="34">
        <f t="shared" si="32"/>
        <v>41799</v>
      </c>
      <c r="D44" s="34">
        <f t="shared" si="32"/>
        <v>41800</v>
      </c>
      <c r="E44" s="34">
        <f t="shared" si="32"/>
        <v>41801</v>
      </c>
      <c r="F44" s="34">
        <f t="shared" si="32"/>
        <v>41802</v>
      </c>
      <c r="G44" s="34">
        <f t="shared" si="32"/>
        <v>41803</v>
      </c>
      <c r="H44" s="34">
        <f t="shared" si="32"/>
        <v>41804</v>
      </c>
      <c r="J44" s="82">
        <f t="array" ref="J44">IFERROR(IF(MATCH(8,DAY(B44:H44),0),H44,""),"")</f>
        <v>41804</v>
      </c>
      <c r="K44" s="71">
        <f ca="1">IF(""=IFERROR(INDEX(INDIRECT("Data!C"&amp;$B$4,FALSE),MATCH(B44,Data!$A:$A,0)),$K$6),$K$8,IFERROR(INDEX(INDIRECT("Data!C"&amp;$B$4,FALSE),MATCH(B44,Data!$A:$A,0)),$K$6))</f>
        <v>40</v>
      </c>
      <c r="L44" s="71">
        <f ca="1">IF(""=IFERROR(INDEX(INDIRECT("Data!C"&amp;$B$4,FALSE),MATCH(C44,Data!$A:$A,0)),$K$6),$K$8,IFERROR(INDEX(INDIRECT("Data!C"&amp;$B$4,FALSE),MATCH(C44,Data!$A:$A,0)),$K$6))</f>
        <v>355</v>
      </c>
      <c r="M44" s="71">
        <f ca="1">IF(""=IFERROR(INDEX(INDIRECT("Data!C"&amp;$B$4,FALSE),MATCH(D44,Data!$A:$A,0)),$K$6),$K$8,IFERROR(INDEX(INDIRECT("Data!C"&amp;$B$4,FALSE),MATCH(D44,Data!$A:$A,0)),$K$6))</f>
        <v>234</v>
      </c>
      <c r="N44" s="71">
        <f ca="1">IF(""=IFERROR(INDEX(INDIRECT("Data!C"&amp;$B$4,FALSE),MATCH(E44,Data!$A:$A,0)),$K$6),$K$8,IFERROR(INDEX(INDIRECT("Data!C"&amp;$B$4,FALSE),MATCH(E44,Data!$A:$A,0)),$K$6))</f>
        <v>204</v>
      </c>
      <c r="O44" s="71">
        <f ca="1">IF(""=IFERROR(INDEX(INDIRECT("Data!C"&amp;$B$4,FALSE),MATCH(F44,Data!$A:$A,0)),$K$6),$K$8,IFERROR(INDEX(INDIRECT("Data!C"&amp;$B$4,FALSE),MATCH(F44,Data!$A:$A,0)),$K$6))</f>
        <v>218</v>
      </c>
      <c r="P44" s="71">
        <f ca="1">IF(""=IFERROR(INDEX(INDIRECT("Data!C"&amp;$B$4,FALSE),MATCH(G44,Data!$A:$A,0)),$K$6),$K$8,IFERROR(INDEX(INDIRECT("Data!C"&amp;$B$4,FALSE),MATCH(G44,Data!$A:$A,0)),$K$6))</f>
        <v>153</v>
      </c>
      <c r="Q44" s="71">
        <f ca="1">IF(""=IFERROR(INDEX(INDIRECT("Data!C"&amp;$B$4,FALSE),MATCH(H44,Data!$A:$A,0)),$K$6),$K$8,IFERROR(INDEX(INDIRECT("Data!C"&amp;$B$4,FALSE),MATCH(H44,Data!$A:$A,0)),$K$6))</f>
        <v>68</v>
      </c>
      <c r="R44" s="88">
        <f t="shared" ca="1" si="21"/>
        <v>181.71428571428572</v>
      </c>
      <c r="T44" s="34">
        <f t="shared" si="29"/>
        <v>41798</v>
      </c>
      <c r="U44" s="34">
        <f t="shared" si="22"/>
        <v>41799</v>
      </c>
      <c r="V44" s="34">
        <f t="shared" si="17"/>
        <v>41800</v>
      </c>
      <c r="W44" s="34">
        <f t="shared" si="17"/>
        <v>41801</v>
      </c>
      <c r="X44" s="34">
        <f t="shared" si="17"/>
        <v>41802</v>
      </c>
      <c r="Y44" s="34">
        <f t="shared" si="17"/>
        <v>41803</v>
      </c>
      <c r="Z44" s="34">
        <f t="shared" si="17"/>
        <v>41804</v>
      </c>
      <c r="AB44" s="82">
        <f t="array" ref="AB44">IFERROR(IF(MATCH(8,DAY(T44:Z44),0),Z44,""),"")</f>
        <v>41804</v>
      </c>
      <c r="AC44" s="71">
        <f ca="1">IF(""=IFERROR(INDEX(INDIRECT("Data!C"&amp;$T$4,FALSE),MATCH(T44,Data!$A:$A,0)),$AC$6),$AC$8,IFERROR(INDEX(INDIRECT("Data!C"&amp;$T$4,FALSE),MATCH(T44,Data!$A:$A,0)),$AC$6))</f>
        <v>40</v>
      </c>
      <c r="AD44" s="71">
        <f ca="1">IF(""=IFERROR(INDEX(INDIRECT("Data!C"&amp;$T$4,FALSE),MATCH(U44,Data!$A:$A,0)),$AC$6),$AC$8,IFERROR(INDEX(INDIRECT("Data!C"&amp;$T$4,FALSE),MATCH(U44,Data!$A:$A,0)),$AC$6))</f>
        <v>355</v>
      </c>
      <c r="AE44" s="71">
        <f ca="1">IF(""=IFERROR(INDEX(INDIRECT("Data!C"&amp;$T$4,FALSE),MATCH(V44,Data!$A:$A,0)),$AC$6),$AC$8,IFERROR(INDEX(INDIRECT("Data!C"&amp;$T$4,FALSE),MATCH(V44,Data!$A:$A,0)),$AC$6))</f>
        <v>234</v>
      </c>
      <c r="AF44" s="71">
        <f ca="1">IF(""=IFERROR(INDEX(INDIRECT("Data!C"&amp;$T$4,FALSE),MATCH(W44,Data!$A:$A,0)),$AC$6),$AC$8,IFERROR(INDEX(INDIRECT("Data!C"&amp;$T$4,FALSE),MATCH(W44,Data!$A:$A,0)),$AC$6))</f>
        <v>204</v>
      </c>
      <c r="AG44" s="71">
        <f ca="1">IF(""=IFERROR(INDEX(INDIRECT("Data!C"&amp;$T$4,FALSE),MATCH(X44,Data!$A:$A,0)),$AC$6),$AC$8,IFERROR(INDEX(INDIRECT("Data!C"&amp;$T$4,FALSE),MATCH(X44,Data!$A:$A,0)),$AC$6))</f>
        <v>218</v>
      </c>
      <c r="AH44" s="71">
        <f ca="1">IF(""=IFERROR(INDEX(INDIRECT("Data!C"&amp;$T$4,FALSE),MATCH(Y44,Data!$A:$A,0)),$AC$6),$AC$8,IFERROR(INDEX(INDIRECT("Data!C"&amp;$T$4,FALSE),MATCH(Y44,Data!$A:$A,0)),$AC$6))</f>
        <v>153</v>
      </c>
      <c r="AI44" s="71">
        <f ca="1">IF(""=IFERROR(INDEX(INDIRECT("Data!C"&amp;$T$4,FALSE),MATCH(Z44,Data!$A:$A,0)),$AC$6),$AC$8,IFERROR(INDEX(INDIRECT("Data!C"&amp;$T$4,FALSE),MATCH(Z44,Data!$A:$A,0)),$AC$6))</f>
        <v>68</v>
      </c>
      <c r="AJ44" s="88">
        <f t="shared" ca="1" si="23"/>
        <v>181.71428571428572</v>
      </c>
      <c r="AL44" s="34">
        <f t="shared" si="30"/>
        <v>41798</v>
      </c>
      <c r="AM44" s="34">
        <f t="shared" si="24"/>
        <v>41799</v>
      </c>
      <c r="AN44" s="34">
        <f t="shared" si="18"/>
        <v>41800</v>
      </c>
      <c r="AO44" s="34">
        <f t="shared" si="18"/>
        <v>41801</v>
      </c>
      <c r="AP44" s="34">
        <f t="shared" si="18"/>
        <v>41802</v>
      </c>
      <c r="AQ44" s="34">
        <f t="shared" si="18"/>
        <v>41803</v>
      </c>
      <c r="AR44" s="34">
        <f t="shared" si="18"/>
        <v>41804</v>
      </c>
      <c r="AT44" s="82">
        <f t="array" ref="AT44">IFERROR(IF(MATCH(8,DAY(AL44:AR44),0),AR44,""),"")</f>
        <v>41804</v>
      </c>
      <c r="AU44" s="71">
        <f ca="1">IF(""=IFERROR(INDEX(INDIRECT("Data!C"&amp;$AL$4,FALSE),MATCH(AL44,Data!$A:$A,0)),$AU$6),$AU$8,IFERROR(INDEX(INDIRECT("Data!C"&amp;$AL$4,FALSE),MATCH(AL44,Data!$A:$A,0)),$AU$6))</f>
        <v>40</v>
      </c>
      <c r="AV44" s="71">
        <f ca="1">IF(""=IFERROR(INDEX(INDIRECT("Data!C"&amp;$AL$4,FALSE),MATCH(AM44,Data!$A:$A,0)),$AU$6),$AU$8,IFERROR(INDEX(INDIRECT("Data!C"&amp;$AL$4,FALSE),MATCH(AM44,Data!$A:$A,0)),$AU$6))</f>
        <v>355</v>
      </c>
      <c r="AW44" s="71">
        <f ca="1">IF(""=IFERROR(INDEX(INDIRECT("Data!C"&amp;$AL$4,FALSE),MATCH(AN44,Data!$A:$A,0)),$AU$6),$AU$8,IFERROR(INDEX(INDIRECT("Data!C"&amp;$AL$4,FALSE),MATCH(AN44,Data!$A:$A,0)),$AU$6))</f>
        <v>234</v>
      </c>
      <c r="AX44" s="71">
        <f ca="1">IF(""=IFERROR(INDEX(INDIRECT("Data!C"&amp;$AL$4,FALSE),MATCH(AO44,Data!$A:$A,0)),$AU$6),$AU$8,IFERROR(INDEX(INDIRECT("Data!C"&amp;$AL$4,FALSE),MATCH(AO44,Data!$A:$A,0)),$AU$6))</f>
        <v>204</v>
      </c>
      <c r="AY44" s="71">
        <f ca="1">IF(""=IFERROR(INDEX(INDIRECT("Data!C"&amp;$AL$4,FALSE),MATCH(AP44,Data!$A:$A,0)),$AU$6),$AU$8,IFERROR(INDEX(INDIRECT("Data!C"&amp;$AL$4,FALSE),MATCH(AP44,Data!$A:$A,0)),$AU$6))</f>
        <v>218</v>
      </c>
      <c r="AZ44" s="71">
        <f ca="1">IF(""=IFERROR(INDEX(INDIRECT("Data!C"&amp;$AL$4,FALSE),MATCH(AQ44,Data!$A:$A,0)),$AU$6),$AU$8,IFERROR(INDEX(INDIRECT("Data!C"&amp;$AL$4,FALSE),MATCH(AQ44,Data!$A:$A,0)),$AU$6))</f>
        <v>153</v>
      </c>
      <c r="BA44" s="71">
        <f ca="1">IF(""=IFERROR(INDEX(INDIRECT("Data!C"&amp;$AL$4,FALSE),MATCH(AR44,Data!$A:$A,0)),$AU$6),$AU$8,IFERROR(INDEX(INDIRECT("Data!C"&amp;$AL$4,FALSE),MATCH(AR44,Data!$A:$A,0)),$AU$6))</f>
        <v>68</v>
      </c>
      <c r="BB44" s="88">
        <f t="shared" ca="1" si="25"/>
        <v>181.71428571428572</v>
      </c>
      <c r="BD44" s="34">
        <f t="shared" si="31"/>
        <v>41798</v>
      </c>
      <c r="BE44" s="34">
        <f t="shared" si="26"/>
        <v>41799</v>
      </c>
      <c r="BF44" s="34">
        <f t="shared" si="19"/>
        <v>41800</v>
      </c>
      <c r="BG44" s="34">
        <f t="shared" si="19"/>
        <v>41801</v>
      </c>
      <c r="BH44" s="34">
        <f t="shared" si="19"/>
        <v>41802</v>
      </c>
      <c r="BI44" s="34">
        <f t="shared" si="19"/>
        <v>41803</v>
      </c>
      <c r="BJ44" s="34">
        <f t="shared" si="19"/>
        <v>41804</v>
      </c>
      <c r="BL44" s="82">
        <f t="array" ref="BL44">IFERROR(IF(MATCH(8,DAY(BD44:BJ44),0),BJ44,""),"")</f>
        <v>41804</v>
      </c>
      <c r="BM44" s="71">
        <f ca="1">IF(""=IFERROR(INDEX(INDIRECT("Data!C"&amp;$BD$4,FALSE),MATCH(BD44,Data!$A:$A,0)),$BM$6),$BM$8,IFERROR(INDEX(INDIRECT("Data!C"&amp;$BD$4,FALSE),MATCH(BD44,Data!$A:$A,0)),$BM$6))</f>
        <v>40</v>
      </c>
      <c r="BN44" s="71">
        <f ca="1">IF(""=IFERROR(INDEX(INDIRECT("Data!C"&amp;$BD$4,FALSE),MATCH(BE44,Data!$A:$A,0)),$BM$6),$BM$8,IFERROR(INDEX(INDIRECT("Data!C"&amp;$BD$4,FALSE),MATCH(BE44,Data!$A:$A,0)),$BM$6))</f>
        <v>355</v>
      </c>
      <c r="BO44" s="71">
        <f ca="1">IF(""=IFERROR(INDEX(INDIRECT("Data!C"&amp;$BD$4,FALSE),MATCH(BF44,Data!$A:$A,0)),$BM$6),$BM$8,IFERROR(INDEX(INDIRECT("Data!C"&amp;$BD$4,FALSE),MATCH(BF44,Data!$A:$A,0)),$BM$6))</f>
        <v>234</v>
      </c>
      <c r="BP44" s="71">
        <f ca="1">IF(""=IFERROR(INDEX(INDIRECT("Data!C"&amp;$BD$4,FALSE),MATCH(BG44,Data!$A:$A,0)),$BM$6),$BM$8,IFERROR(INDEX(INDIRECT("Data!C"&amp;$BD$4,FALSE),MATCH(BG44,Data!$A:$A,0)),$BM$6))</f>
        <v>204</v>
      </c>
      <c r="BQ44" s="71">
        <f ca="1">IF(""=IFERROR(INDEX(INDIRECT("Data!C"&amp;$BD$4,FALSE),MATCH(BH44,Data!$A:$A,0)),$BM$6),$BM$8,IFERROR(INDEX(INDIRECT("Data!C"&amp;$BD$4,FALSE),MATCH(BH44,Data!$A:$A,0)),$BM$6))</f>
        <v>218</v>
      </c>
      <c r="BR44" s="71">
        <f ca="1">IF(""=IFERROR(INDEX(INDIRECT("Data!C"&amp;$BD$4,FALSE),MATCH(BI44,Data!$A:$A,0)),$BM$6),$BM$8,IFERROR(INDEX(INDIRECT("Data!C"&amp;$BD$4,FALSE),MATCH(BI44,Data!$A:$A,0)),$BM$6))</f>
        <v>153</v>
      </c>
      <c r="BS44" s="71">
        <f ca="1">IF(""=IFERROR(INDEX(INDIRECT("Data!C"&amp;$BD$4,FALSE),MATCH(BJ44,Data!$A:$A,0)),$BM$6),$BM$8,IFERROR(INDEX(INDIRECT("Data!C"&amp;$BD$4,FALSE),MATCH(BJ44,Data!$A:$A,0)),$BM$6))</f>
        <v>68</v>
      </c>
      <c r="BT44" s="88">
        <f t="shared" ca="1" si="27"/>
        <v>181.71428571428572</v>
      </c>
    </row>
    <row r="45" spans="2:76" ht="12" customHeight="1" x14ac:dyDescent="0.2">
      <c r="B45" s="34">
        <f t="shared" si="28"/>
        <v>41805</v>
      </c>
      <c r="C45" s="34">
        <f t="shared" si="32"/>
        <v>41806</v>
      </c>
      <c r="D45" s="34">
        <f t="shared" si="32"/>
        <v>41807</v>
      </c>
      <c r="E45" s="34">
        <f t="shared" si="32"/>
        <v>41808</v>
      </c>
      <c r="F45" s="34">
        <f t="shared" si="32"/>
        <v>41809</v>
      </c>
      <c r="G45" s="34">
        <f t="shared" si="32"/>
        <v>41810</v>
      </c>
      <c r="H45" s="34">
        <f t="shared" si="32"/>
        <v>41811</v>
      </c>
      <c r="J45" s="82" t="str">
        <f t="array" ref="J45">IFERROR(IF(MATCH(8,DAY(B45:H45),0),H45,""),"")</f>
        <v/>
      </c>
      <c r="K45" s="71">
        <f ca="1">IF(""=IFERROR(INDEX(INDIRECT("Data!C"&amp;$B$4,FALSE),MATCH(B45,Data!$A:$A,0)),$K$6),$K$8,IFERROR(INDEX(INDIRECT("Data!C"&amp;$B$4,FALSE),MATCH(B45,Data!$A:$A,0)),$K$6))</f>
        <v>18</v>
      </c>
      <c r="L45" s="71">
        <f ca="1">IF(""=IFERROR(INDEX(INDIRECT("Data!C"&amp;$B$4,FALSE),MATCH(C45,Data!$A:$A,0)),$K$6),$K$8,IFERROR(INDEX(INDIRECT("Data!C"&amp;$B$4,FALSE),MATCH(C45,Data!$A:$A,0)),$K$6))</f>
        <v>265</v>
      </c>
      <c r="M45" s="71">
        <f ca="1">IF(""=IFERROR(INDEX(INDIRECT("Data!C"&amp;$B$4,FALSE),MATCH(D45,Data!$A:$A,0)),$K$6),$K$8,IFERROR(INDEX(INDIRECT("Data!C"&amp;$B$4,FALSE),MATCH(D45,Data!$A:$A,0)),$K$6))</f>
        <v>305</v>
      </c>
      <c r="N45" s="71">
        <f ca="1">IF(""=IFERROR(INDEX(INDIRECT("Data!C"&amp;$B$4,FALSE),MATCH(E45,Data!$A:$A,0)),$K$6),$K$8,IFERROR(INDEX(INDIRECT("Data!C"&amp;$B$4,FALSE),MATCH(E45,Data!$A:$A,0)),$K$6))</f>
        <v>121</v>
      </c>
      <c r="O45" s="71">
        <f ca="1">IF(""=IFERROR(INDEX(INDIRECT("Data!C"&amp;$B$4,FALSE),MATCH(F45,Data!$A:$A,0)),$K$6),$K$8,IFERROR(INDEX(INDIRECT("Data!C"&amp;$B$4,FALSE),MATCH(F45,Data!$A:$A,0)),$K$6))</f>
        <v>116</v>
      </c>
      <c r="P45" s="71">
        <f ca="1">IF(""=IFERROR(INDEX(INDIRECT("Data!C"&amp;$B$4,FALSE),MATCH(G45,Data!$A:$A,0)),$K$6),$K$8,IFERROR(INDEX(INDIRECT("Data!C"&amp;$B$4,FALSE),MATCH(G45,Data!$A:$A,0)),$K$6))</f>
        <v>161</v>
      </c>
      <c r="Q45" s="71">
        <f ca="1">IF(""=IFERROR(INDEX(INDIRECT("Data!C"&amp;$B$4,FALSE),MATCH(H45,Data!$A:$A,0)),$K$6),$K$8,IFERROR(INDEX(INDIRECT("Data!C"&amp;$B$4,FALSE),MATCH(H45,Data!$A:$A,0)),$K$6))</f>
        <v>30</v>
      </c>
      <c r="R45" s="88">
        <f t="shared" ca="1" si="21"/>
        <v>145.14285714285714</v>
      </c>
      <c r="T45" s="34">
        <f t="shared" si="29"/>
        <v>41805</v>
      </c>
      <c r="U45" s="34">
        <f t="shared" si="22"/>
        <v>41806</v>
      </c>
      <c r="V45" s="34">
        <f t="shared" si="17"/>
        <v>41807</v>
      </c>
      <c r="W45" s="34">
        <f t="shared" si="17"/>
        <v>41808</v>
      </c>
      <c r="X45" s="34">
        <f t="shared" si="17"/>
        <v>41809</v>
      </c>
      <c r="Y45" s="34">
        <f t="shared" si="17"/>
        <v>41810</v>
      </c>
      <c r="Z45" s="34">
        <f t="shared" si="17"/>
        <v>41811</v>
      </c>
      <c r="AB45" s="82" t="str">
        <f t="array" ref="AB45">IFERROR(IF(MATCH(8,DAY(T45:Z45),0),Z45,""),"")</f>
        <v/>
      </c>
      <c r="AC45" s="71">
        <f ca="1">IF(""=IFERROR(INDEX(INDIRECT("Data!C"&amp;$T$4,FALSE),MATCH(T45,Data!$A:$A,0)),$AC$6),$AC$8,IFERROR(INDEX(INDIRECT("Data!C"&amp;$T$4,FALSE),MATCH(T45,Data!$A:$A,0)),$AC$6))</f>
        <v>18</v>
      </c>
      <c r="AD45" s="71">
        <f ca="1">IF(""=IFERROR(INDEX(INDIRECT("Data!C"&amp;$T$4,FALSE),MATCH(U45,Data!$A:$A,0)),$AC$6),$AC$8,IFERROR(INDEX(INDIRECT("Data!C"&amp;$T$4,FALSE),MATCH(U45,Data!$A:$A,0)),$AC$6))</f>
        <v>265</v>
      </c>
      <c r="AE45" s="71">
        <f ca="1">IF(""=IFERROR(INDEX(INDIRECT("Data!C"&amp;$T$4,FALSE),MATCH(V45,Data!$A:$A,0)),$AC$6),$AC$8,IFERROR(INDEX(INDIRECT("Data!C"&amp;$T$4,FALSE),MATCH(V45,Data!$A:$A,0)),$AC$6))</f>
        <v>305</v>
      </c>
      <c r="AF45" s="71">
        <f ca="1">IF(""=IFERROR(INDEX(INDIRECT("Data!C"&amp;$T$4,FALSE),MATCH(W45,Data!$A:$A,0)),$AC$6),$AC$8,IFERROR(INDEX(INDIRECT("Data!C"&amp;$T$4,FALSE),MATCH(W45,Data!$A:$A,0)),$AC$6))</f>
        <v>121</v>
      </c>
      <c r="AG45" s="71">
        <f ca="1">IF(""=IFERROR(INDEX(INDIRECT("Data!C"&amp;$T$4,FALSE),MATCH(X45,Data!$A:$A,0)),$AC$6),$AC$8,IFERROR(INDEX(INDIRECT("Data!C"&amp;$T$4,FALSE),MATCH(X45,Data!$A:$A,0)),$AC$6))</f>
        <v>116</v>
      </c>
      <c r="AH45" s="71">
        <f ca="1">IF(""=IFERROR(INDEX(INDIRECT("Data!C"&amp;$T$4,FALSE),MATCH(Y45,Data!$A:$A,0)),$AC$6),$AC$8,IFERROR(INDEX(INDIRECT("Data!C"&amp;$T$4,FALSE),MATCH(Y45,Data!$A:$A,0)),$AC$6))</f>
        <v>161</v>
      </c>
      <c r="AI45" s="71">
        <f ca="1">IF(""=IFERROR(INDEX(INDIRECT("Data!C"&amp;$T$4,FALSE),MATCH(Z45,Data!$A:$A,0)),$AC$6),$AC$8,IFERROR(INDEX(INDIRECT("Data!C"&amp;$T$4,FALSE),MATCH(Z45,Data!$A:$A,0)),$AC$6))</f>
        <v>30</v>
      </c>
      <c r="AJ45" s="88">
        <f t="shared" ca="1" si="23"/>
        <v>145.14285714285714</v>
      </c>
      <c r="AL45" s="34">
        <f t="shared" si="30"/>
        <v>41805</v>
      </c>
      <c r="AM45" s="34">
        <f t="shared" si="24"/>
        <v>41806</v>
      </c>
      <c r="AN45" s="34">
        <f t="shared" si="18"/>
        <v>41807</v>
      </c>
      <c r="AO45" s="34">
        <f t="shared" si="18"/>
        <v>41808</v>
      </c>
      <c r="AP45" s="34">
        <f t="shared" si="18"/>
        <v>41809</v>
      </c>
      <c r="AQ45" s="34">
        <f t="shared" si="18"/>
        <v>41810</v>
      </c>
      <c r="AR45" s="34">
        <f t="shared" si="18"/>
        <v>41811</v>
      </c>
      <c r="AT45" s="82" t="str">
        <f t="array" ref="AT45">IFERROR(IF(MATCH(8,DAY(AL45:AR45),0),AR45,""),"")</f>
        <v/>
      </c>
      <c r="AU45" s="71">
        <f ca="1">IF(""=IFERROR(INDEX(INDIRECT("Data!C"&amp;$AL$4,FALSE),MATCH(AL45,Data!$A:$A,0)),$AU$6),$AU$8,IFERROR(INDEX(INDIRECT("Data!C"&amp;$AL$4,FALSE),MATCH(AL45,Data!$A:$A,0)),$AU$6))</f>
        <v>18</v>
      </c>
      <c r="AV45" s="71">
        <f ca="1">IF(""=IFERROR(INDEX(INDIRECT("Data!C"&amp;$AL$4,FALSE),MATCH(AM45,Data!$A:$A,0)),$AU$6),$AU$8,IFERROR(INDEX(INDIRECT("Data!C"&amp;$AL$4,FALSE),MATCH(AM45,Data!$A:$A,0)),$AU$6))</f>
        <v>265</v>
      </c>
      <c r="AW45" s="71">
        <f ca="1">IF(""=IFERROR(INDEX(INDIRECT("Data!C"&amp;$AL$4,FALSE),MATCH(AN45,Data!$A:$A,0)),$AU$6),$AU$8,IFERROR(INDEX(INDIRECT("Data!C"&amp;$AL$4,FALSE),MATCH(AN45,Data!$A:$A,0)),$AU$6))</f>
        <v>305</v>
      </c>
      <c r="AX45" s="71">
        <f ca="1">IF(""=IFERROR(INDEX(INDIRECT("Data!C"&amp;$AL$4,FALSE),MATCH(AO45,Data!$A:$A,0)),$AU$6),$AU$8,IFERROR(INDEX(INDIRECT("Data!C"&amp;$AL$4,FALSE),MATCH(AO45,Data!$A:$A,0)),$AU$6))</f>
        <v>121</v>
      </c>
      <c r="AY45" s="71">
        <f ca="1">IF(""=IFERROR(INDEX(INDIRECT("Data!C"&amp;$AL$4,FALSE),MATCH(AP45,Data!$A:$A,0)),$AU$6),$AU$8,IFERROR(INDEX(INDIRECT("Data!C"&amp;$AL$4,FALSE),MATCH(AP45,Data!$A:$A,0)),$AU$6))</f>
        <v>116</v>
      </c>
      <c r="AZ45" s="71">
        <f ca="1">IF(""=IFERROR(INDEX(INDIRECT("Data!C"&amp;$AL$4,FALSE),MATCH(AQ45,Data!$A:$A,0)),$AU$6),$AU$8,IFERROR(INDEX(INDIRECT("Data!C"&amp;$AL$4,FALSE),MATCH(AQ45,Data!$A:$A,0)),$AU$6))</f>
        <v>161</v>
      </c>
      <c r="BA45" s="71">
        <f ca="1">IF(""=IFERROR(INDEX(INDIRECT("Data!C"&amp;$AL$4,FALSE),MATCH(AR45,Data!$A:$A,0)),$AU$6),$AU$8,IFERROR(INDEX(INDIRECT("Data!C"&amp;$AL$4,FALSE),MATCH(AR45,Data!$A:$A,0)),$AU$6))</f>
        <v>30</v>
      </c>
      <c r="BB45" s="88">
        <f t="shared" ca="1" si="25"/>
        <v>145.14285714285714</v>
      </c>
      <c r="BD45" s="34">
        <f t="shared" si="31"/>
        <v>41805</v>
      </c>
      <c r="BE45" s="34">
        <f t="shared" si="26"/>
        <v>41806</v>
      </c>
      <c r="BF45" s="34">
        <f t="shared" si="19"/>
        <v>41807</v>
      </c>
      <c r="BG45" s="34">
        <f t="shared" si="19"/>
        <v>41808</v>
      </c>
      <c r="BH45" s="34">
        <f t="shared" si="19"/>
        <v>41809</v>
      </c>
      <c r="BI45" s="34">
        <f t="shared" si="19"/>
        <v>41810</v>
      </c>
      <c r="BJ45" s="34">
        <f t="shared" si="19"/>
        <v>41811</v>
      </c>
      <c r="BL45" s="82" t="str">
        <f t="array" ref="BL45">IFERROR(IF(MATCH(8,DAY(BD45:BJ45),0),BJ45,""),"")</f>
        <v/>
      </c>
      <c r="BM45" s="71">
        <f ca="1">IF(""=IFERROR(INDEX(INDIRECT("Data!C"&amp;$BD$4,FALSE),MATCH(BD45,Data!$A:$A,0)),$BM$6),$BM$8,IFERROR(INDEX(INDIRECT("Data!C"&amp;$BD$4,FALSE),MATCH(BD45,Data!$A:$A,0)),$BM$6))</f>
        <v>18</v>
      </c>
      <c r="BN45" s="71">
        <f ca="1">IF(""=IFERROR(INDEX(INDIRECT("Data!C"&amp;$BD$4,FALSE),MATCH(BE45,Data!$A:$A,0)),$BM$6),$BM$8,IFERROR(INDEX(INDIRECT("Data!C"&amp;$BD$4,FALSE),MATCH(BE45,Data!$A:$A,0)),$BM$6))</f>
        <v>265</v>
      </c>
      <c r="BO45" s="71">
        <f ca="1">IF(""=IFERROR(INDEX(INDIRECT("Data!C"&amp;$BD$4,FALSE),MATCH(BF45,Data!$A:$A,0)),$BM$6),$BM$8,IFERROR(INDEX(INDIRECT("Data!C"&amp;$BD$4,FALSE),MATCH(BF45,Data!$A:$A,0)),$BM$6))</f>
        <v>305</v>
      </c>
      <c r="BP45" s="71">
        <f ca="1">IF(""=IFERROR(INDEX(INDIRECT("Data!C"&amp;$BD$4,FALSE),MATCH(BG45,Data!$A:$A,0)),$BM$6),$BM$8,IFERROR(INDEX(INDIRECT("Data!C"&amp;$BD$4,FALSE),MATCH(BG45,Data!$A:$A,0)),$BM$6))</f>
        <v>121</v>
      </c>
      <c r="BQ45" s="71">
        <f ca="1">IF(""=IFERROR(INDEX(INDIRECT("Data!C"&amp;$BD$4,FALSE),MATCH(BH45,Data!$A:$A,0)),$BM$6),$BM$8,IFERROR(INDEX(INDIRECT("Data!C"&amp;$BD$4,FALSE),MATCH(BH45,Data!$A:$A,0)),$BM$6))</f>
        <v>116</v>
      </c>
      <c r="BR45" s="71">
        <f ca="1">IF(""=IFERROR(INDEX(INDIRECT("Data!C"&amp;$BD$4,FALSE),MATCH(BI45,Data!$A:$A,0)),$BM$6),$BM$8,IFERROR(INDEX(INDIRECT("Data!C"&amp;$BD$4,FALSE),MATCH(BI45,Data!$A:$A,0)),$BM$6))</f>
        <v>161</v>
      </c>
      <c r="BS45" s="71">
        <f ca="1">IF(""=IFERROR(INDEX(INDIRECT("Data!C"&amp;$BD$4,FALSE),MATCH(BJ45,Data!$A:$A,0)),$BM$6),$BM$8,IFERROR(INDEX(INDIRECT("Data!C"&amp;$BD$4,FALSE),MATCH(BJ45,Data!$A:$A,0)),$BM$6))</f>
        <v>30</v>
      </c>
      <c r="BT45" s="88">
        <f t="shared" ca="1" si="27"/>
        <v>145.14285714285714</v>
      </c>
    </row>
    <row r="46" spans="2:76" ht="12" customHeight="1" x14ac:dyDescent="0.2">
      <c r="B46" s="34">
        <f t="shared" si="28"/>
        <v>41812</v>
      </c>
      <c r="C46" s="34">
        <f t="shared" si="32"/>
        <v>41813</v>
      </c>
      <c r="D46" s="34">
        <f t="shared" si="32"/>
        <v>41814</v>
      </c>
      <c r="E46" s="34">
        <f t="shared" si="32"/>
        <v>41815</v>
      </c>
      <c r="F46" s="34">
        <f t="shared" si="32"/>
        <v>41816</v>
      </c>
      <c r="G46" s="34">
        <f t="shared" si="32"/>
        <v>41817</v>
      </c>
      <c r="H46" s="34">
        <f t="shared" si="32"/>
        <v>41818</v>
      </c>
      <c r="J46" s="82" t="str">
        <f t="array" ref="J46">IFERROR(IF(MATCH(8,DAY(B46:H46),0),H46,""),"")</f>
        <v/>
      </c>
      <c r="K46" s="71">
        <f ca="1">IF(""=IFERROR(INDEX(INDIRECT("Data!C"&amp;$B$4,FALSE),MATCH(B46,Data!$A:$A,0)),$K$6),$K$8,IFERROR(INDEX(INDIRECT("Data!C"&amp;$B$4,FALSE),MATCH(B46,Data!$A:$A,0)),$K$6))</f>
        <v>23</v>
      </c>
      <c r="L46" s="71">
        <f ca="1">IF(""=IFERROR(INDEX(INDIRECT("Data!C"&amp;$B$4,FALSE),MATCH(C46,Data!$A:$A,0)),$K$6),$K$8,IFERROR(INDEX(INDIRECT("Data!C"&amp;$B$4,FALSE),MATCH(C46,Data!$A:$A,0)),$K$6))</f>
        <v>134</v>
      </c>
      <c r="M46" s="71">
        <f ca="1">IF(""=IFERROR(INDEX(INDIRECT("Data!C"&amp;$B$4,FALSE),MATCH(D46,Data!$A:$A,0)),$K$6),$K$8,IFERROR(INDEX(INDIRECT("Data!C"&amp;$B$4,FALSE),MATCH(D46,Data!$A:$A,0)),$K$6))</f>
        <v>126</v>
      </c>
      <c r="N46" s="71">
        <f ca="1">IF(""=IFERROR(INDEX(INDIRECT("Data!C"&amp;$B$4,FALSE),MATCH(E46,Data!$A:$A,0)),$K$6),$K$8,IFERROR(INDEX(INDIRECT("Data!C"&amp;$B$4,FALSE),MATCH(E46,Data!$A:$A,0)),$K$6))</f>
        <v>190</v>
      </c>
      <c r="O46" s="71">
        <f ca="1">IF(""=IFERROR(INDEX(INDIRECT("Data!C"&amp;$B$4,FALSE),MATCH(F46,Data!$A:$A,0)),$K$6),$K$8,IFERROR(INDEX(INDIRECT("Data!C"&amp;$B$4,FALSE),MATCH(F46,Data!$A:$A,0)),$K$6))</f>
        <v>121</v>
      </c>
      <c r="P46" s="71">
        <f ca="1">IF(""=IFERROR(INDEX(INDIRECT("Data!C"&amp;$B$4,FALSE),MATCH(G46,Data!$A:$A,0)),$K$6),$K$8,IFERROR(INDEX(INDIRECT("Data!C"&amp;$B$4,FALSE),MATCH(G46,Data!$A:$A,0)),$K$6))</f>
        <v>146</v>
      </c>
      <c r="Q46" s="71">
        <f ca="1">IF(""=IFERROR(INDEX(INDIRECT("Data!C"&amp;$B$4,FALSE),MATCH(H46,Data!$A:$A,0)),$K$6),$K$8,IFERROR(INDEX(INDIRECT("Data!C"&amp;$B$4,FALSE),MATCH(H46,Data!$A:$A,0)),$K$6))</f>
        <v>47</v>
      </c>
      <c r="R46" s="88">
        <f t="shared" ca="1" si="21"/>
        <v>112.42857142857143</v>
      </c>
      <c r="T46" s="34">
        <f t="shared" si="29"/>
        <v>41812</v>
      </c>
      <c r="U46" s="34">
        <f t="shared" si="22"/>
        <v>41813</v>
      </c>
      <c r="V46" s="34">
        <f t="shared" si="17"/>
        <v>41814</v>
      </c>
      <c r="W46" s="34">
        <f t="shared" si="17"/>
        <v>41815</v>
      </c>
      <c r="X46" s="34">
        <f t="shared" si="17"/>
        <v>41816</v>
      </c>
      <c r="Y46" s="34">
        <f t="shared" si="17"/>
        <v>41817</v>
      </c>
      <c r="Z46" s="34">
        <f t="shared" si="17"/>
        <v>41818</v>
      </c>
      <c r="AB46" s="82" t="str">
        <f t="array" ref="AB46">IFERROR(IF(MATCH(8,DAY(T46:Z46),0),Z46,""),"")</f>
        <v/>
      </c>
      <c r="AC46" s="71">
        <f ca="1">IF(""=IFERROR(INDEX(INDIRECT("Data!C"&amp;$T$4,FALSE),MATCH(T46,Data!$A:$A,0)),$AC$6),$AC$8,IFERROR(INDEX(INDIRECT("Data!C"&amp;$T$4,FALSE),MATCH(T46,Data!$A:$A,0)),$AC$6))</f>
        <v>23</v>
      </c>
      <c r="AD46" s="71">
        <f ca="1">IF(""=IFERROR(INDEX(INDIRECT("Data!C"&amp;$T$4,FALSE),MATCH(U46,Data!$A:$A,0)),$AC$6),$AC$8,IFERROR(INDEX(INDIRECT("Data!C"&amp;$T$4,FALSE),MATCH(U46,Data!$A:$A,0)),$AC$6))</f>
        <v>134</v>
      </c>
      <c r="AE46" s="71">
        <f ca="1">IF(""=IFERROR(INDEX(INDIRECT("Data!C"&amp;$T$4,FALSE),MATCH(V46,Data!$A:$A,0)),$AC$6),$AC$8,IFERROR(INDEX(INDIRECT("Data!C"&amp;$T$4,FALSE),MATCH(V46,Data!$A:$A,0)),$AC$6))</f>
        <v>126</v>
      </c>
      <c r="AF46" s="71">
        <f ca="1">IF(""=IFERROR(INDEX(INDIRECT("Data!C"&amp;$T$4,FALSE),MATCH(W46,Data!$A:$A,0)),$AC$6),$AC$8,IFERROR(INDEX(INDIRECT("Data!C"&amp;$T$4,FALSE),MATCH(W46,Data!$A:$A,0)),$AC$6))</f>
        <v>190</v>
      </c>
      <c r="AG46" s="71">
        <f ca="1">IF(""=IFERROR(INDEX(INDIRECT("Data!C"&amp;$T$4,FALSE),MATCH(X46,Data!$A:$A,0)),$AC$6),$AC$8,IFERROR(INDEX(INDIRECT("Data!C"&amp;$T$4,FALSE),MATCH(X46,Data!$A:$A,0)),$AC$6))</f>
        <v>121</v>
      </c>
      <c r="AH46" s="71">
        <f ca="1">IF(""=IFERROR(INDEX(INDIRECT("Data!C"&amp;$T$4,FALSE),MATCH(Y46,Data!$A:$A,0)),$AC$6),$AC$8,IFERROR(INDEX(INDIRECT("Data!C"&amp;$T$4,FALSE),MATCH(Y46,Data!$A:$A,0)),$AC$6))</f>
        <v>146</v>
      </c>
      <c r="AI46" s="71">
        <f ca="1">IF(""=IFERROR(INDEX(INDIRECT("Data!C"&amp;$T$4,FALSE),MATCH(Z46,Data!$A:$A,0)),$AC$6),$AC$8,IFERROR(INDEX(INDIRECT("Data!C"&amp;$T$4,FALSE),MATCH(Z46,Data!$A:$A,0)),$AC$6))</f>
        <v>47</v>
      </c>
      <c r="AJ46" s="88">
        <f t="shared" ca="1" si="23"/>
        <v>112.42857142857143</v>
      </c>
      <c r="AL46" s="34">
        <f t="shared" si="30"/>
        <v>41812</v>
      </c>
      <c r="AM46" s="34">
        <f t="shared" si="24"/>
        <v>41813</v>
      </c>
      <c r="AN46" s="34">
        <f t="shared" si="18"/>
        <v>41814</v>
      </c>
      <c r="AO46" s="34">
        <f t="shared" si="18"/>
        <v>41815</v>
      </c>
      <c r="AP46" s="34">
        <f t="shared" si="18"/>
        <v>41816</v>
      </c>
      <c r="AQ46" s="34">
        <f t="shared" si="18"/>
        <v>41817</v>
      </c>
      <c r="AR46" s="34">
        <f t="shared" si="18"/>
        <v>41818</v>
      </c>
      <c r="AT46" s="82" t="str">
        <f t="array" ref="AT46">IFERROR(IF(MATCH(8,DAY(AL46:AR46),0),AR46,""),"")</f>
        <v/>
      </c>
      <c r="AU46" s="71">
        <f ca="1">IF(""=IFERROR(INDEX(INDIRECT("Data!C"&amp;$AL$4,FALSE),MATCH(AL46,Data!$A:$A,0)),$AU$6),$AU$8,IFERROR(INDEX(INDIRECT("Data!C"&amp;$AL$4,FALSE),MATCH(AL46,Data!$A:$A,0)),$AU$6))</f>
        <v>23</v>
      </c>
      <c r="AV46" s="71">
        <f ca="1">IF(""=IFERROR(INDEX(INDIRECT("Data!C"&amp;$AL$4,FALSE),MATCH(AM46,Data!$A:$A,0)),$AU$6),$AU$8,IFERROR(INDEX(INDIRECT("Data!C"&amp;$AL$4,FALSE),MATCH(AM46,Data!$A:$A,0)),$AU$6))</f>
        <v>134</v>
      </c>
      <c r="AW46" s="71">
        <f ca="1">IF(""=IFERROR(INDEX(INDIRECT("Data!C"&amp;$AL$4,FALSE),MATCH(AN46,Data!$A:$A,0)),$AU$6),$AU$8,IFERROR(INDEX(INDIRECT("Data!C"&amp;$AL$4,FALSE),MATCH(AN46,Data!$A:$A,0)),$AU$6))</f>
        <v>126</v>
      </c>
      <c r="AX46" s="71">
        <f ca="1">IF(""=IFERROR(INDEX(INDIRECT("Data!C"&amp;$AL$4,FALSE),MATCH(AO46,Data!$A:$A,0)),$AU$6),$AU$8,IFERROR(INDEX(INDIRECT("Data!C"&amp;$AL$4,FALSE),MATCH(AO46,Data!$A:$A,0)),$AU$6))</f>
        <v>190</v>
      </c>
      <c r="AY46" s="71">
        <f ca="1">IF(""=IFERROR(INDEX(INDIRECT("Data!C"&amp;$AL$4,FALSE),MATCH(AP46,Data!$A:$A,0)),$AU$6),$AU$8,IFERROR(INDEX(INDIRECT("Data!C"&amp;$AL$4,FALSE),MATCH(AP46,Data!$A:$A,0)),$AU$6))</f>
        <v>121</v>
      </c>
      <c r="AZ46" s="71">
        <f ca="1">IF(""=IFERROR(INDEX(INDIRECT("Data!C"&amp;$AL$4,FALSE),MATCH(AQ46,Data!$A:$A,0)),$AU$6),$AU$8,IFERROR(INDEX(INDIRECT("Data!C"&amp;$AL$4,FALSE),MATCH(AQ46,Data!$A:$A,0)),$AU$6))</f>
        <v>146</v>
      </c>
      <c r="BA46" s="71">
        <f ca="1">IF(""=IFERROR(INDEX(INDIRECT("Data!C"&amp;$AL$4,FALSE),MATCH(AR46,Data!$A:$A,0)),$AU$6),$AU$8,IFERROR(INDEX(INDIRECT("Data!C"&amp;$AL$4,FALSE),MATCH(AR46,Data!$A:$A,0)),$AU$6))</f>
        <v>47</v>
      </c>
      <c r="BB46" s="88">
        <f t="shared" ca="1" si="25"/>
        <v>112.42857142857143</v>
      </c>
      <c r="BD46" s="34">
        <f t="shared" si="31"/>
        <v>41812</v>
      </c>
      <c r="BE46" s="34">
        <f t="shared" si="26"/>
        <v>41813</v>
      </c>
      <c r="BF46" s="34">
        <f t="shared" si="19"/>
        <v>41814</v>
      </c>
      <c r="BG46" s="34">
        <f t="shared" si="19"/>
        <v>41815</v>
      </c>
      <c r="BH46" s="34">
        <f t="shared" si="19"/>
        <v>41816</v>
      </c>
      <c r="BI46" s="34">
        <f t="shared" si="19"/>
        <v>41817</v>
      </c>
      <c r="BJ46" s="34">
        <f t="shared" si="19"/>
        <v>41818</v>
      </c>
      <c r="BL46" s="82" t="str">
        <f t="array" ref="BL46">IFERROR(IF(MATCH(8,DAY(BD46:BJ46),0),BJ46,""),"")</f>
        <v/>
      </c>
      <c r="BM46" s="71">
        <f ca="1">IF(""=IFERROR(INDEX(INDIRECT("Data!C"&amp;$BD$4,FALSE),MATCH(BD46,Data!$A:$A,0)),$BM$6),$BM$8,IFERROR(INDEX(INDIRECT("Data!C"&amp;$BD$4,FALSE),MATCH(BD46,Data!$A:$A,0)),$BM$6))</f>
        <v>23</v>
      </c>
      <c r="BN46" s="71">
        <f ca="1">IF(""=IFERROR(INDEX(INDIRECT("Data!C"&amp;$BD$4,FALSE),MATCH(BE46,Data!$A:$A,0)),$BM$6),$BM$8,IFERROR(INDEX(INDIRECT("Data!C"&amp;$BD$4,FALSE),MATCH(BE46,Data!$A:$A,0)),$BM$6))</f>
        <v>134</v>
      </c>
      <c r="BO46" s="71">
        <f ca="1">IF(""=IFERROR(INDEX(INDIRECT("Data!C"&amp;$BD$4,FALSE),MATCH(BF46,Data!$A:$A,0)),$BM$6),$BM$8,IFERROR(INDEX(INDIRECT("Data!C"&amp;$BD$4,FALSE),MATCH(BF46,Data!$A:$A,0)),$BM$6))</f>
        <v>126</v>
      </c>
      <c r="BP46" s="71">
        <f ca="1">IF(""=IFERROR(INDEX(INDIRECT("Data!C"&amp;$BD$4,FALSE),MATCH(BG46,Data!$A:$A,0)),$BM$6),$BM$8,IFERROR(INDEX(INDIRECT("Data!C"&amp;$BD$4,FALSE),MATCH(BG46,Data!$A:$A,0)),$BM$6))</f>
        <v>190</v>
      </c>
      <c r="BQ46" s="71">
        <f ca="1">IF(""=IFERROR(INDEX(INDIRECT("Data!C"&amp;$BD$4,FALSE),MATCH(BH46,Data!$A:$A,0)),$BM$6),$BM$8,IFERROR(INDEX(INDIRECT("Data!C"&amp;$BD$4,FALSE),MATCH(BH46,Data!$A:$A,0)),$BM$6))</f>
        <v>121</v>
      </c>
      <c r="BR46" s="71">
        <f ca="1">IF(""=IFERROR(INDEX(INDIRECT("Data!C"&amp;$BD$4,FALSE),MATCH(BI46,Data!$A:$A,0)),$BM$6),$BM$8,IFERROR(INDEX(INDIRECT("Data!C"&amp;$BD$4,FALSE),MATCH(BI46,Data!$A:$A,0)),$BM$6))</f>
        <v>146</v>
      </c>
      <c r="BS46" s="71">
        <f ca="1">IF(""=IFERROR(INDEX(INDIRECT("Data!C"&amp;$BD$4,FALSE),MATCH(BJ46,Data!$A:$A,0)),$BM$6),$BM$8,IFERROR(INDEX(INDIRECT("Data!C"&amp;$BD$4,FALSE),MATCH(BJ46,Data!$A:$A,0)),$BM$6))</f>
        <v>47</v>
      </c>
      <c r="BT46" s="88">
        <f t="shared" ca="1" si="27"/>
        <v>112.42857142857143</v>
      </c>
    </row>
    <row r="47" spans="2:76" ht="12" customHeight="1" x14ac:dyDescent="0.2">
      <c r="B47" s="34">
        <f t="shared" si="28"/>
        <v>41819</v>
      </c>
      <c r="C47" s="34">
        <f t="shared" si="32"/>
        <v>41820</v>
      </c>
      <c r="D47" s="34">
        <f t="shared" si="32"/>
        <v>41821</v>
      </c>
      <c r="E47" s="34">
        <f t="shared" si="32"/>
        <v>41822</v>
      </c>
      <c r="F47" s="34">
        <f t="shared" si="32"/>
        <v>41823</v>
      </c>
      <c r="G47" s="34">
        <f t="shared" si="32"/>
        <v>41824</v>
      </c>
      <c r="H47" s="34">
        <f t="shared" si="32"/>
        <v>41825</v>
      </c>
      <c r="J47" s="82" t="str">
        <f t="array" ref="J47">IFERROR(IF(MATCH(8,DAY(B47:H47),0),H47,""),"")</f>
        <v/>
      </c>
      <c r="K47" s="71">
        <f ca="1">IF(""=IFERROR(INDEX(INDIRECT("Data!C"&amp;$B$4,FALSE),MATCH(B47,Data!$A:$A,0)),$K$6),$K$8,IFERROR(INDEX(INDIRECT("Data!C"&amp;$B$4,FALSE),MATCH(B47,Data!$A:$A,0)),$K$6))</f>
        <v>22</v>
      </c>
      <c r="L47" s="71">
        <f ca="1">IF(""=IFERROR(INDEX(INDIRECT("Data!C"&amp;$B$4,FALSE),MATCH(C47,Data!$A:$A,0)),$K$6),$K$8,IFERROR(INDEX(INDIRECT("Data!C"&amp;$B$4,FALSE),MATCH(C47,Data!$A:$A,0)),$K$6))</f>
        <v>300</v>
      </c>
      <c r="M47" s="71">
        <f ca="1">IF(""=IFERROR(INDEX(INDIRECT("Data!C"&amp;$B$4,FALSE),MATCH(D47,Data!$A:$A,0)),$K$6),$K$8,IFERROR(INDEX(INDIRECT("Data!C"&amp;$B$4,FALSE),MATCH(D47,Data!$A:$A,0)),$K$6))</f>
        <v>218</v>
      </c>
      <c r="N47" s="71">
        <f ca="1">IF(""=IFERROR(INDEX(INDIRECT("Data!C"&amp;$B$4,FALSE),MATCH(E47,Data!$A:$A,0)),$K$6),$K$8,IFERROR(INDEX(INDIRECT("Data!C"&amp;$B$4,FALSE),MATCH(E47,Data!$A:$A,0)),$K$6))</f>
        <v>182</v>
      </c>
      <c r="O47" s="71">
        <f ca="1">IF(""=IFERROR(INDEX(INDIRECT("Data!C"&amp;$B$4,FALSE),MATCH(F47,Data!$A:$A,0)),$K$6),$K$8,IFERROR(INDEX(INDIRECT("Data!C"&amp;$B$4,FALSE),MATCH(F47,Data!$A:$A,0)),$K$6))</f>
        <v>97</v>
      </c>
      <c r="P47" s="71">
        <f ca="1">IF(""=IFERROR(INDEX(INDIRECT("Data!C"&amp;$B$4,FALSE),MATCH(G47,Data!$A:$A,0)),$K$6),$K$8,IFERROR(INDEX(INDIRECT("Data!C"&amp;$B$4,FALSE),MATCH(G47,Data!$A:$A,0)),$K$6))</f>
        <v>158</v>
      </c>
      <c r="Q47" s="71">
        <f ca="1">IF(""=IFERROR(INDEX(INDIRECT("Data!C"&amp;$B$4,FALSE),MATCH(H47,Data!$A:$A,0)),$K$6),$K$8,IFERROR(INDEX(INDIRECT("Data!C"&amp;$B$4,FALSE),MATCH(H47,Data!$A:$A,0)),$K$6))</f>
        <v>42</v>
      </c>
      <c r="R47" s="88">
        <f t="shared" ca="1" si="21"/>
        <v>145.57142857142858</v>
      </c>
      <c r="T47" s="34">
        <f t="shared" si="29"/>
        <v>41819</v>
      </c>
      <c r="U47" s="34">
        <f t="shared" si="22"/>
        <v>41820</v>
      </c>
      <c r="V47" s="34">
        <f t="shared" si="17"/>
        <v>41821</v>
      </c>
      <c r="W47" s="34">
        <f t="shared" si="17"/>
        <v>41822</v>
      </c>
      <c r="X47" s="34">
        <f t="shared" si="17"/>
        <v>41823</v>
      </c>
      <c r="Y47" s="34">
        <f t="shared" si="17"/>
        <v>41824</v>
      </c>
      <c r="Z47" s="34">
        <f t="shared" si="17"/>
        <v>41825</v>
      </c>
      <c r="AB47" s="82" t="str">
        <f t="array" ref="AB47">IFERROR(IF(MATCH(8,DAY(T47:Z47),0),Z47,""),"")</f>
        <v/>
      </c>
      <c r="AC47" s="71">
        <f ca="1">IF(""=IFERROR(INDEX(INDIRECT("Data!C"&amp;$T$4,FALSE),MATCH(T47,Data!$A:$A,0)),$AC$6),$AC$8,IFERROR(INDEX(INDIRECT("Data!C"&amp;$T$4,FALSE),MATCH(T47,Data!$A:$A,0)),$AC$6))</f>
        <v>22</v>
      </c>
      <c r="AD47" s="71">
        <f ca="1">IF(""=IFERROR(INDEX(INDIRECT("Data!C"&amp;$T$4,FALSE),MATCH(U47,Data!$A:$A,0)),$AC$6),$AC$8,IFERROR(INDEX(INDIRECT("Data!C"&amp;$T$4,FALSE),MATCH(U47,Data!$A:$A,0)),$AC$6))</f>
        <v>300</v>
      </c>
      <c r="AE47" s="71">
        <f ca="1">IF(""=IFERROR(INDEX(INDIRECT("Data!C"&amp;$T$4,FALSE),MATCH(V47,Data!$A:$A,0)),$AC$6),$AC$8,IFERROR(INDEX(INDIRECT("Data!C"&amp;$T$4,FALSE),MATCH(V47,Data!$A:$A,0)),$AC$6))</f>
        <v>218</v>
      </c>
      <c r="AF47" s="71">
        <f ca="1">IF(""=IFERROR(INDEX(INDIRECT("Data!C"&amp;$T$4,FALSE),MATCH(W47,Data!$A:$A,0)),$AC$6),$AC$8,IFERROR(INDEX(INDIRECT("Data!C"&amp;$T$4,FALSE),MATCH(W47,Data!$A:$A,0)),$AC$6))</f>
        <v>182</v>
      </c>
      <c r="AG47" s="71">
        <f ca="1">IF(""=IFERROR(INDEX(INDIRECT("Data!C"&amp;$T$4,FALSE),MATCH(X47,Data!$A:$A,0)),$AC$6),$AC$8,IFERROR(INDEX(INDIRECT("Data!C"&amp;$T$4,FALSE),MATCH(X47,Data!$A:$A,0)),$AC$6))</f>
        <v>97</v>
      </c>
      <c r="AH47" s="71">
        <f ca="1">IF(""=IFERROR(INDEX(INDIRECT("Data!C"&amp;$T$4,FALSE),MATCH(Y47,Data!$A:$A,0)),$AC$6),$AC$8,IFERROR(INDEX(INDIRECT("Data!C"&amp;$T$4,FALSE),MATCH(Y47,Data!$A:$A,0)),$AC$6))</f>
        <v>158</v>
      </c>
      <c r="AI47" s="71">
        <f ca="1">IF(""=IFERROR(INDEX(INDIRECT("Data!C"&amp;$T$4,FALSE),MATCH(Z47,Data!$A:$A,0)),$AC$6),$AC$8,IFERROR(INDEX(INDIRECT("Data!C"&amp;$T$4,FALSE),MATCH(Z47,Data!$A:$A,0)),$AC$6))</f>
        <v>42</v>
      </c>
      <c r="AJ47" s="88">
        <f t="shared" ca="1" si="23"/>
        <v>145.57142857142858</v>
      </c>
      <c r="AL47" s="34">
        <f t="shared" si="30"/>
        <v>41819</v>
      </c>
      <c r="AM47" s="34">
        <f t="shared" si="24"/>
        <v>41820</v>
      </c>
      <c r="AN47" s="34">
        <f t="shared" si="18"/>
        <v>41821</v>
      </c>
      <c r="AO47" s="34">
        <f t="shared" si="18"/>
        <v>41822</v>
      </c>
      <c r="AP47" s="34">
        <f t="shared" si="18"/>
        <v>41823</v>
      </c>
      <c r="AQ47" s="34">
        <f t="shared" si="18"/>
        <v>41824</v>
      </c>
      <c r="AR47" s="34">
        <f t="shared" si="18"/>
        <v>41825</v>
      </c>
      <c r="AT47" s="82" t="str">
        <f t="array" ref="AT47">IFERROR(IF(MATCH(8,DAY(AL47:AR47),0),AR47,""),"")</f>
        <v/>
      </c>
      <c r="AU47" s="71">
        <f ca="1">IF(""=IFERROR(INDEX(INDIRECT("Data!C"&amp;$AL$4,FALSE),MATCH(AL47,Data!$A:$A,0)),$AU$6),$AU$8,IFERROR(INDEX(INDIRECT("Data!C"&amp;$AL$4,FALSE),MATCH(AL47,Data!$A:$A,0)),$AU$6))</f>
        <v>22</v>
      </c>
      <c r="AV47" s="71">
        <f ca="1">IF(""=IFERROR(INDEX(INDIRECT("Data!C"&amp;$AL$4,FALSE),MATCH(AM47,Data!$A:$A,0)),$AU$6),$AU$8,IFERROR(INDEX(INDIRECT("Data!C"&amp;$AL$4,FALSE),MATCH(AM47,Data!$A:$A,0)),$AU$6))</f>
        <v>300</v>
      </c>
      <c r="AW47" s="71">
        <f ca="1">IF(""=IFERROR(INDEX(INDIRECT("Data!C"&amp;$AL$4,FALSE),MATCH(AN47,Data!$A:$A,0)),$AU$6),$AU$8,IFERROR(INDEX(INDIRECT("Data!C"&amp;$AL$4,FALSE),MATCH(AN47,Data!$A:$A,0)),$AU$6))</f>
        <v>218</v>
      </c>
      <c r="AX47" s="71">
        <f ca="1">IF(""=IFERROR(INDEX(INDIRECT("Data!C"&amp;$AL$4,FALSE),MATCH(AO47,Data!$A:$A,0)),$AU$6),$AU$8,IFERROR(INDEX(INDIRECT("Data!C"&amp;$AL$4,FALSE),MATCH(AO47,Data!$A:$A,0)),$AU$6))</f>
        <v>182</v>
      </c>
      <c r="AY47" s="71">
        <f ca="1">IF(""=IFERROR(INDEX(INDIRECT("Data!C"&amp;$AL$4,FALSE),MATCH(AP47,Data!$A:$A,0)),$AU$6),$AU$8,IFERROR(INDEX(INDIRECT("Data!C"&amp;$AL$4,FALSE),MATCH(AP47,Data!$A:$A,0)),$AU$6))</f>
        <v>97</v>
      </c>
      <c r="AZ47" s="71">
        <f ca="1">IF(""=IFERROR(INDEX(INDIRECT("Data!C"&amp;$AL$4,FALSE),MATCH(AQ47,Data!$A:$A,0)),$AU$6),$AU$8,IFERROR(INDEX(INDIRECT("Data!C"&amp;$AL$4,FALSE),MATCH(AQ47,Data!$A:$A,0)),$AU$6))</f>
        <v>158</v>
      </c>
      <c r="BA47" s="71">
        <f ca="1">IF(""=IFERROR(INDEX(INDIRECT("Data!C"&amp;$AL$4,FALSE),MATCH(AR47,Data!$A:$A,0)),$AU$6),$AU$8,IFERROR(INDEX(INDIRECT("Data!C"&amp;$AL$4,FALSE),MATCH(AR47,Data!$A:$A,0)),$AU$6))</f>
        <v>42</v>
      </c>
      <c r="BB47" s="88">
        <f t="shared" ca="1" si="25"/>
        <v>145.57142857142858</v>
      </c>
      <c r="BD47" s="34">
        <f t="shared" si="31"/>
        <v>41819</v>
      </c>
      <c r="BE47" s="34">
        <f t="shared" si="26"/>
        <v>41820</v>
      </c>
      <c r="BF47" s="34">
        <f t="shared" si="19"/>
        <v>41821</v>
      </c>
      <c r="BG47" s="34">
        <f t="shared" si="19"/>
        <v>41822</v>
      </c>
      <c r="BH47" s="34">
        <f t="shared" si="19"/>
        <v>41823</v>
      </c>
      <c r="BI47" s="34">
        <f t="shared" si="19"/>
        <v>41824</v>
      </c>
      <c r="BJ47" s="34">
        <f t="shared" si="19"/>
        <v>41825</v>
      </c>
      <c r="BL47" s="82" t="str">
        <f t="array" ref="BL47">IFERROR(IF(MATCH(8,DAY(BD47:BJ47),0),BJ47,""),"")</f>
        <v/>
      </c>
      <c r="BM47" s="71">
        <f ca="1">IF(""=IFERROR(INDEX(INDIRECT("Data!C"&amp;$BD$4,FALSE),MATCH(BD47,Data!$A:$A,0)),$BM$6),$BM$8,IFERROR(INDEX(INDIRECT("Data!C"&amp;$BD$4,FALSE),MATCH(BD47,Data!$A:$A,0)),$BM$6))</f>
        <v>22</v>
      </c>
      <c r="BN47" s="71">
        <f ca="1">IF(""=IFERROR(INDEX(INDIRECT("Data!C"&amp;$BD$4,FALSE),MATCH(BE47,Data!$A:$A,0)),$BM$6),$BM$8,IFERROR(INDEX(INDIRECT("Data!C"&amp;$BD$4,FALSE),MATCH(BE47,Data!$A:$A,0)),$BM$6))</f>
        <v>300</v>
      </c>
      <c r="BO47" s="71">
        <f ca="1">IF(""=IFERROR(INDEX(INDIRECT("Data!C"&amp;$BD$4,FALSE),MATCH(BF47,Data!$A:$A,0)),$BM$6),$BM$8,IFERROR(INDEX(INDIRECT("Data!C"&amp;$BD$4,FALSE),MATCH(BF47,Data!$A:$A,0)),$BM$6))</f>
        <v>218</v>
      </c>
      <c r="BP47" s="71">
        <f ca="1">IF(""=IFERROR(INDEX(INDIRECT("Data!C"&amp;$BD$4,FALSE),MATCH(BG47,Data!$A:$A,0)),$BM$6),$BM$8,IFERROR(INDEX(INDIRECT("Data!C"&amp;$BD$4,FALSE),MATCH(BG47,Data!$A:$A,0)),$BM$6))</f>
        <v>182</v>
      </c>
      <c r="BQ47" s="71">
        <f ca="1">IF(""=IFERROR(INDEX(INDIRECT("Data!C"&amp;$BD$4,FALSE),MATCH(BH47,Data!$A:$A,0)),$BM$6),$BM$8,IFERROR(INDEX(INDIRECT("Data!C"&amp;$BD$4,FALSE),MATCH(BH47,Data!$A:$A,0)),$BM$6))</f>
        <v>97</v>
      </c>
      <c r="BR47" s="71">
        <f ca="1">IF(""=IFERROR(INDEX(INDIRECT("Data!C"&amp;$BD$4,FALSE),MATCH(BI47,Data!$A:$A,0)),$BM$6),$BM$8,IFERROR(INDEX(INDIRECT("Data!C"&amp;$BD$4,FALSE),MATCH(BI47,Data!$A:$A,0)),$BM$6))</f>
        <v>158</v>
      </c>
      <c r="BS47" s="71">
        <f ca="1">IF(""=IFERROR(INDEX(INDIRECT("Data!C"&amp;$BD$4,FALSE),MATCH(BJ47,Data!$A:$A,0)),$BM$6),$BM$8,IFERROR(INDEX(INDIRECT("Data!C"&amp;$BD$4,FALSE),MATCH(BJ47,Data!$A:$A,0)),$BM$6))</f>
        <v>42</v>
      </c>
      <c r="BT47" s="88">
        <f t="shared" ca="1" si="27"/>
        <v>145.57142857142858</v>
      </c>
    </row>
    <row r="48" spans="2:76" ht="12" customHeight="1" x14ac:dyDescent="0.2">
      <c r="B48" s="34">
        <f t="shared" si="28"/>
        <v>41826</v>
      </c>
      <c r="C48" s="34">
        <f t="shared" si="32"/>
        <v>41827</v>
      </c>
      <c r="D48" s="34">
        <f t="shared" si="32"/>
        <v>41828</v>
      </c>
      <c r="E48" s="34">
        <f t="shared" si="32"/>
        <v>41829</v>
      </c>
      <c r="F48" s="34">
        <f t="shared" si="32"/>
        <v>41830</v>
      </c>
      <c r="G48" s="34">
        <f t="shared" si="32"/>
        <v>41831</v>
      </c>
      <c r="H48" s="34">
        <f t="shared" si="32"/>
        <v>41832</v>
      </c>
      <c r="J48" s="82">
        <f t="array" ref="J48">IFERROR(IF(MATCH(8,DAY(B48:H48),0),H48,""),"")</f>
        <v>41832</v>
      </c>
      <c r="K48" s="71">
        <f ca="1">IF(""=IFERROR(INDEX(INDIRECT("Data!C"&amp;$B$4,FALSE),MATCH(B48,Data!$A:$A,0)),$K$6),$K$8,IFERROR(INDEX(INDIRECT("Data!C"&amp;$B$4,FALSE),MATCH(B48,Data!$A:$A,0)),$K$6))</f>
        <v>16</v>
      </c>
      <c r="L48" s="71">
        <f ca="1">IF(""=IFERROR(INDEX(INDIRECT("Data!C"&amp;$B$4,FALSE),MATCH(C48,Data!$A:$A,0)),$K$6),$K$8,IFERROR(INDEX(INDIRECT("Data!C"&amp;$B$4,FALSE),MATCH(C48,Data!$A:$A,0)),$K$6))</f>
        <v>161</v>
      </c>
      <c r="M48" s="71">
        <f ca="1">IF(""=IFERROR(INDEX(INDIRECT("Data!C"&amp;$B$4,FALSE),MATCH(D48,Data!$A:$A,0)),$K$6),$K$8,IFERROR(INDEX(INDIRECT("Data!C"&amp;$B$4,FALSE),MATCH(D48,Data!$A:$A,0)),$K$6))</f>
        <v>192</v>
      </c>
      <c r="N48" s="71">
        <f ca="1">IF(""=IFERROR(INDEX(INDIRECT("Data!C"&amp;$B$4,FALSE),MATCH(E48,Data!$A:$A,0)),$K$6),$K$8,IFERROR(INDEX(INDIRECT("Data!C"&amp;$B$4,FALSE),MATCH(E48,Data!$A:$A,0)),$K$6))</f>
        <v>163</v>
      </c>
      <c r="O48" s="71">
        <f ca="1">IF(""=IFERROR(INDEX(INDIRECT("Data!C"&amp;$B$4,FALSE),MATCH(F48,Data!$A:$A,0)),$K$6),$K$8,IFERROR(INDEX(INDIRECT("Data!C"&amp;$B$4,FALSE),MATCH(F48,Data!$A:$A,0)),$K$6))</f>
        <v>144</v>
      </c>
      <c r="P48" s="71">
        <f ca="1">IF(""=IFERROR(INDEX(INDIRECT("Data!C"&amp;$B$4,FALSE),MATCH(G48,Data!$A:$A,0)),$K$6),$K$8,IFERROR(INDEX(INDIRECT("Data!C"&amp;$B$4,FALSE),MATCH(G48,Data!$A:$A,0)),$K$6))</f>
        <v>130</v>
      </c>
      <c r="Q48" s="71">
        <f ca="1">IF(""=IFERROR(INDEX(INDIRECT("Data!C"&amp;$B$4,FALSE),MATCH(H48,Data!$A:$A,0)),$K$6),$K$8,IFERROR(INDEX(INDIRECT("Data!C"&amp;$B$4,FALSE),MATCH(H48,Data!$A:$A,0)),$K$6))</f>
        <v>49</v>
      </c>
      <c r="R48" s="88">
        <f t="shared" ca="1" si="21"/>
        <v>122.14285714285714</v>
      </c>
      <c r="T48" s="34">
        <f t="shared" si="29"/>
        <v>41826</v>
      </c>
      <c r="U48" s="34">
        <f t="shared" si="22"/>
        <v>41827</v>
      </c>
      <c r="V48" s="34">
        <f t="shared" si="17"/>
        <v>41828</v>
      </c>
      <c r="W48" s="34">
        <f t="shared" si="17"/>
        <v>41829</v>
      </c>
      <c r="X48" s="34">
        <f t="shared" si="17"/>
        <v>41830</v>
      </c>
      <c r="Y48" s="34">
        <f t="shared" si="17"/>
        <v>41831</v>
      </c>
      <c r="Z48" s="34">
        <f t="shared" si="17"/>
        <v>41832</v>
      </c>
      <c r="AB48" s="82">
        <f t="array" ref="AB48">IFERROR(IF(MATCH(8,DAY(T48:Z48),0),Z48,""),"")</f>
        <v>41832</v>
      </c>
      <c r="AC48" s="71">
        <f ca="1">IF(""=IFERROR(INDEX(INDIRECT("Data!C"&amp;$T$4,FALSE),MATCH(T48,Data!$A:$A,0)),$AC$6),$AC$8,IFERROR(INDEX(INDIRECT("Data!C"&amp;$T$4,FALSE),MATCH(T48,Data!$A:$A,0)),$AC$6))</f>
        <v>16</v>
      </c>
      <c r="AD48" s="71">
        <f ca="1">IF(""=IFERROR(INDEX(INDIRECT("Data!C"&amp;$T$4,FALSE),MATCH(U48,Data!$A:$A,0)),$AC$6),$AC$8,IFERROR(INDEX(INDIRECT("Data!C"&amp;$T$4,FALSE),MATCH(U48,Data!$A:$A,0)),$AC$6))</f>
        <v>161</v>
      </c>
      <c r="AE48" s="71">
        <f ca="1">IF(""=IFERROR(INDEX(INDIRECT("Data!C"&amp;$T$4,FALSE),MATCH(V48,Data!$A:$A,0)),$AC$6),$AC$8,IFERROR(INDEX(INDIRECT("Data!C"&amp;$T$4,FALSE),MATCH(V48,Data!$A:$A,0)),$AC$6))</f>
        <v>192</v>
      </c>
      <c r="AF48" s="71">
        <f ca="1">IF(""=IFERROR(INDEX(INDIRECT("Data!C"&amp;$T$4,FALSE),MATCH(W48,Data!$A:$A,0)),$AC$6),$AC$8,IFERROR(INDEX(INDIRECT("Data!C"&amp;$T$4,FALSE),MATCH(W48,Data!$A:$A,0)),$AC$6))</f>
        <v>163</v>
      </c>
      <c r="AG48" s="71">
        <f ca="1">IF(""=IFERROR(INDEX(INDIRECT("Data!C"&amp;$T$4,FALSE),MATCH(X48,Data!$A:$A,0)),$AC$6),$AC$8,IFERROR(INDEX(INDIRECT("Data!C"&amp;$T$4,FALSE),MATCH(X48,Data!$A:$A,0)),$AC$6))</f>
        <v>144</v>
      </c>
      <c r="AH48" s="71">
        <f ca="1">IF(""=IFERROR(INDEX(INDIRECT("Data!C"&amp;$T$4,FALSE),MATCH(Y48,Data!$A:$A,0)),$AC$6),$AC$8,IFERROR(INDEX(INDIRECT("Data!C"&amp;$T$4,FALSE),MATCH(Y48,Data!$A:$A,0)),$AC$6))</f>
        <v>130</v>
      </c>
      <c r="AI48" s="71">
        <f ca="1">IF(""=IFERROR(INDEX(INDIRECT("Data!C"&amp;$T$4,FALSE),MATCH(Z48,Data!$A:$A,0)),$AC$6),$AC$8,IFERROR(INDEX(INDIRECT("Data!C"&amp;$T$4,FALSE),MATCH(Z48,Data!$A:$A,0)),$AC$6))</f>
        <v>49</v>
      </c>
      <c r="AJ48" s="88">
        <f t="shared" ca="1" si="23"/>
        <v>122.14285714285714</v>
      </c>
      <c r="AL48" s="34">
        <f t="shared" si="30"/>
        <v>41826</v>
      </c>
      <c r="AM48" s="34">
        <f t="shared" si="24"/>
        <v>41827</v>
      </c>
      <c r="AN48" s="34">
        <f t="shared" si="18"/>
        <v>41828</v>
      </c>
      <c r="AO48" s="34">
        <f t="shared" si="18"/>
        <v>41829</v>
      </c>
      <c r="AP48" s="34">
        <f t="shared" si="18"/>
        <v>41830</v>
      </c>
      <c r="AQ48" s="34">
        <f t="shared" si="18"/>
        <v>41831</v>
      </c>
      <c r="AR48" s="34">
        <f t="shared" si="18"/>
        <v>41832</v>
      </c>
      <c r="AT48" s="82">
        <f t="array" ref="AT48">IFERROR(IF(MATCH(8,DAY(AL48:AR48),0),AR48,""),"")</f>
        <v>41832</v>
      </c>
      <c r="AU48" s="71">
        <f ca="1">IF(""=IFERROR(INDEX(INDIRECT("Data!C"&amp;$AL$4,FALSE),MATCH(AL48,Data!$A:$A,0)),$AU$6),$AU$8,IFERROR(INDEX(INDIRECT("Data!C"&amp;$AL$4,FALSE),MATCH(AL48,Data!$A:$A,0)),$AU$6))</f>
        <v>16</v>
      </c>
      <c r="AV48" s="71">
        <f ca="1">IF(""=IFERROR(INDEX(INDIRECT("Data!C"&amp;$AL$4,FALSE),MATCH(AM48,Data!$A:$A,0)),$AU$6),$AU$8,IFERROR(INDEX(INDIRECT("Data!C"&amp;$AL$4,FALSE),MATCH(AM48,Data!$A:$A,0)),$AU$6))</f>
        <v>161</v>
      </c>
      <c r="AW48" s="71">
        <f ca="1">IF(""=IFERROR(INDEX(INDIRECT("Data!C"&amp;$AL$4,FALSE),MATCH(AN48,Data!$A:$A,0)),$AU$6),$AU$8,IFERROR(INDEX(INDIRECT("Data!C"&amp;$AL$4,FALSE),MATCH(AN48,Data!$A:$A,0)),$AU$6))</f>
        <v>192</v>
      </c>
      <c r="AX48" s="71">
        <f ca="1">IF(""=IFERROR(INDEX(INDIRECT("Data!C"&amp;$AL$4,FALSE),MATCH(AO48,Data!$A:$A,0)),$AU$6),$AU$8,IFERROR(INDEX(INDIRECT("Data!C"&amp;$AL$4,FALSE),MATCH(AO48,Data!$A:$A,0)),$AU$6))</f>
        <v>163</v>
      </c>
      <c r="AY48" s="71">
        <f ca="1">IF(""=IFERROR(INDEX(INDIRECT("Data!C"&amp;$AL$4,FALSE),MATCH(AP48,Data!$A:$A,0)),$AU$6),$AU$8,IFERROR(INDEX(INDIRECT("Data!C"&amp;$AL$4,FALSE),MATCH(AP48,Data!$A:$A,0)),$AU$6))</f>
        <v>144</v>
      </c>
      <c r="AZ48" s="71">
        <f ca="1">IF(""=IFERROR(INDEX(INDIRECT("Data!C"&amp;$AL$4,FALSE),MATCH(AQ48,Data!$A:$A,0)),$AU$6),$AU$8,IFERROR(INDEX(INDIRECT("Data!C"&amp;$AL$4,FALSE),MATCH(AQ48,Data!$A:$A,0)),$AU$6))</f>
        <v>130</v>
      </c>
      <c r="BA48" s="71">
        <f ca="1">IF(""=IFERROR(INDEX(INDIRECT("Data!C"&amp;$AL$4,FALSE),MATCH(AR48,Data!$A:$A,0)),$AU$6),$AU$8,IFERROR(INDEX(INDIRECT("Data!C"&amp;$AL$4,FALSE),MATCH(AR48,Data!$A:$A,0)),$AU$6))</f>
        <v>49</v>
      </c>
      <c r="BB48" s="88">
        <f t="shared" ca="1" si="25"/>
        <v>122.14285714285714</v>
      </c>
      <c r="BD48" s="34">
        <f t="shared" si="31"/>
        <v>41826</v>
      </c>
      <c r="BE48" s="34">
        <f t="shared" si="26"/>
        <v>41827</v>
      </c>
      <c r="BF48" s="34">
        <f t="shared" si="19"/>
        <v>41828</v>
      </c>
      <c r="BG48" s="34">
        <f t="shared" si="19"/>
        <v>41829</v>
      </c>
      <c r="BH48" s="34">
        <f t="shared" si="19"/>
        <v>41830</v>
      </c>
      <c r="BI48" s="34">
        <f t="shared" si="19"/>
        <v>41831</v>
      </c>
      <c r="BJ48" s="34">
        <f t="shared" si="19"/>
        <v>41832</v>
      </c>
      <c r="BL48" s="82">
        <f t="array" ref="BL48">IFERROR(IF(MATCH(8,DAY(BD48:BJ48),0),BJ48,""),"")</f>
        <v>41832</v>
      </c>
      <c r="BM48" s="71">
        <f ca="1">IF(""=IFERROR(INDEX(INDIRECT("Data!C"&amp;$BD$4,FALSE),MATCH(BD48,Data!$A:$A,0)),$BM$6),$BM$8,IFERROR(INDEX(INDIRECT("Data!C"&amp;$BD$4,FALSE),MATCH(BD48,Data!$A:$A,0)),$BM$6))</f>
        <v>16</v>
      </c>
      <c r="BN48" s="71">
        <f ca="1">IF(""=IFERROR(INDEX(INDIRECT("Data!C"&amp;$BD$4,FALSE),MATCH(BE48,Data!$A:$A,0)),$BM$6),$BM$8,IFERROR(INDEX(INDIRECT("Data!C"&amp;$BD$4,FALSE),MATCH(BE48,Data!$A:$A,0)),$BM$6))</f>
        <v>161</v>
      </c>
      <c r="BO48" s="71">
        <f ca="1">IF(""=IFERROR(INDEX(INDIRECT("Data!C"&amp;$BD$4,FALSE),MATCH(BF48,Data!$A:$A,0)),$BM$6),$BM$8,IFERROR(INDEX(INDIRECT("Data!C"&amp;$BD$4,FALSE),MATCH(BF48,Data!$A:$A,0)),$BM$6))</f>
        <v>192</v>
      </c>
      <c r="BP48" s="71">
        <f ca="1">IF(""=IFERROR(INDEX(INDIRECT("Data!C"&amp;$BD$4,FALSE),MATCH(BG48,Data!$A:$A,0)),$BM$6),$BM$8,IFERROR(INDEX(INDIRECT("Data!C"&amp;$BD$4,FALSE),MATCH(BG48,Data!$A:$A,0)),$BM$6))</f>
        <v>163</v>
      </c>
      <c r="BQ48" s="71">
        <f ca="1">IF(""=IFERROR(INDEX(INDIRECT("Data!C"&amp;$BD$4,FALSE),MATCH(BH48,Data!$A:$A,0)),$BM$6),$BM$8,IFERROR(INDEX(INDIRECT("Data!C"&amp;$BD$4,FALSE),MATCH(BH48,Data!$A:$A,0)),$BM$6))</f>
        <v>144</v>
      </c>
      <c r="BR48" s="71">
        <f ca="1">IF(""=IFERROR(INDEX(INDIRECT("Data!C"&amp;$BD$4,FALSE),MATCH(BI48,Data!$A:$A,0)),$BM$6),$BM$8,IFERROR(INDEX(INDIRECT("Data!C"&amp;$BD$4,FALSE),MATCH(BI48,Data!$A:$A,0)),$BM$6))</f>
        <v>130</v>
      </c>
      <c r="BS48" s="71">
        <f ca="1">IF(""=IFERROR(INDEX(INDIRECT("Data!C"&amp;$BD$4,FALSE),MATCH(BJ48,Data!$A:$A,0)),$BM$6),$BM$8,IFERROR(INDEX(INDIRECT("Data!C"&amp;$BD$4,FALSE),MATCH(BJ48,Data!$A:$A,0)),$BM$6))</f>
        <v>49</v>
      </c>
      <c r="BT48" s="88">
        <f t="shared" ca="1" si="27"/>
        <v>122.14285714285714</v>
      </c>
    </row>
    <row r="49" spans="2:72" ht="12" customHeight="1" x14ac:dyDescent="0.2">
      <c r="B49" s="34">
        <f t="shared" si="28"/>
        <v>41833</v>
      </c>
      <c r="C49" s="34">
        <f t="shared" si="32"/>
        <v>41834</v>
      </c>
      <c r="D49" s="34">
        <f t="shared" si="32"/>
        <v>41835</v>
      </c>
      <c r="E49" s="34">
        <f t="shared" si="32"/>
        <v>41836</v>
      </c>
      <c r="F49" s="34">
        <f t="shared" si="32"/>
        <v>41837</v>
      </c>
      <c r="G49" s="34">
        <f t="shared" si="32"/>
        <v>41838</v>
      </c>
      <c r="H49" s="34">
        <f t="shared" si="32"/>
        <v>41839</v>
      </c>
      <c r="J49" s="82" t="str">
        <f t="array" ref="J49">IFERROR(IF(MATCH(8,DAY(B49:H49),0),H49,""),"")</f>
        <v/>
      </c>
      <c r="K49" s="71">
        <f ca="1">IF(""=IFERROR(INDEX(INDIRECT("Data!C"&amp;$B$4,FALSE),MATCH(B49,Data!$A:$A,0)),$K$6),$K$8,IFERROR(INDEX(INDIRECT("Data!C"&amp;$B$4,FALSE),MATCH(B49,Data!$A:$A,0)),$K$6))</f>
        <v>28</v>
      </c>
      <c r="L49" s="71">
        <f ca="1">IF(""=IFERROR(INDEX(INDIRECT("Data!C"&amp;$B$4,FALSE),MATCH(C49,Data!$A:$A,0)),$K$6),$K$8,IFERROR(INDEX(INDIRECT("Data!C"&amp;$B$4,FALSE),MATCH(C49,Data!$A:$A,0)),$K$6))</f>
        <v>209</v>
      </c>
      <c r="M49" s="71">
        <f ca="1">IF(""=IFERROR(INDEX(INDIRECT("Data!C"&amp;$B$4,FALSE),MATCH(D49,Data!$A:$A,0)),$K$6),$K$8,IFERROR(INDEX(INDIRECT("Data!C"&amp;$B$4,FALSE),MATCH(D49,Data!$A:$A,0)),$K$6))</f>
        <v>190</v>
      </c>
      <c r="N49" s="71">
        <f ca="1">IF(""=IFERROR(INDEX(INDIRECT("Data!C"&amp;$B$4,FALSE),MATCH(E49,Data!$A:$A,0)),$K$6),$K$8,IFERROR(INDEX(INDIRECT("Data!C"&amp;$B$4,FALSE),MATCH(E49,Data!$A:$A,0)),$K$6))</f>
        <v>145</v>
      </c>
      <c r="O49" s="71">
        <f ca="1">IF(""=IFERROR(INDEX(INDIRECT("Data!C"&amp;$B$4,FALSE),MATCH(F49,Data!$A:$A,0)),$K$6),$K$8,IFERROR(INDEX(INDIRECT("Data!C"&amp;$B$4,FALSE),MATCH(F49,Data!$A:$A,0)),$K$6))</f>
        <v>151</v>
      </c>
      <c r="P49" s="71">
        <f ca="1">IF(""=IFERROR(INDEX(INDIRECT("Data!C"&amp;$B$4,FALSE),MATCH(G49,Data!$A:$A,0)),$K$6),$K$8,IFERROR(INDEX(INDIRECT("Data!C"&amp;$B$4,FALSE),MATCH(G49,Data!$A:$A,0)),$K$6))</f>
        <v>97</v>
      </c>
      <c r="Q49" s="71">
        <f ca="1">IF(""=IFERROR(INDEX(INDIRECT("Data!C"&amp;$B$4,FALSE),MATCH(H49,Data!$A:$A,0)),$K$6),$K$8,IFERROR(INDEX(INDIRECT("Data!C"&amp;$B$4,FALSE),MATCH(H49,Data!$A:$A,0)),$K$6))</f>
        <v>59</v>
      </c>
      <c r="R49" s="88">
        <f t="shared" ca="1" si="21"/>
        <v>125.57142857142857</v>
      </c>
      <c r="T49" s="34">
        <f t="shared" si="29"/>
        <v>41833</v>
      </c>
      <c r="U49" s="34">
        <f t="shared" si="22"/>
        <v>41834</v>
      </c>
      <c r="V49" s="34">
        <f t="shared" si="17"/>
        <v>41835</v>
      </c>
      <c r="W49" s="34">
        <f t="shared" si="17"/>
        <v>41836</v>
      </c>
      <c r="X49" s="34">
        <f t="shared" si="17"/>
        <v>41837</v>
      </c>
      <c r="Y49" s="34">
        <f t="shared" si="17"/>
        <v>41838</v>
      </c>
      <c r="Z49" s="34">
        <f t="shared" si="17"/>
        <v>41839</v>
      </c>
      <c r="AB49" s="82" t="str">
        <f t="array" ref="AB49">IFERROR(IF(MATCH(8,DAY(T49:Z49),0),Z49,""),"")</f>
        <v/>
      </c>
      <c r="AC49" s="71">
        <f ca="1">IF(""=IFERROR(INDEX(INDIRECT("Data!C"&amp;$T$4,FALSE),MATCH(T49,Data!$A:$A,0)),$AC$6),$AC$8,IFERROR(INDEX(INDIRECT("Data!C"&amp;$T$4,FALSE),MATCH(T49,Data!$A:$A,0)),$AC$6))</f>
        <v>28</v>
      </c>
      <c r="AD49" s="71">
        <f ca="1">IF(""=IFERROR(INDEX(INDIRECT("Data!C"&amp;$T$4,FALSE),MATCH(U49,Data!$A:$A,0)),$AC$6),$AC$8,IFERROR(INDEX(INDIRECT("Data!C"&amp;$T$4,FALSE),MATCH(U49,Data!$A:$A,0)),$AC$6))</f>
        <v>209</v>
      </c>
      <c r="AE49" s="71">
        <f ca="1">IF(""=IFERROR(INDEX(INDIRECT("Data!C"&amp;$T$4,FALSE),MATCH(V49,Data!$A:$A,0)),$AC$6),$AC$8,IFERROR(INDEX(INDIRECT("Data!C"&amp;$T$4,FALSE),MATCH(V49,Data!$A:$A,0)),$AC$6))</f>
        <v>190</v>
      </c>
      <c r="AF49" s="71">
        <f ca="1">IF(""=IFERROR(INDEX(INDIRECT("Data!C"&amp;$T$4,FALSE),MATCH(W49,Data!$A:$A,0)),$AC$6),$AC$8,IFERROR(INDEX(INDIRECT("Data!C"&amp;$T$4,FALSE),MATCH(W49,Data!$A:$A,0)),$AC$6))</f>
        <v>145</v>
      </c>
      <c r="AG49" s="71">
        <f ca="1">IF(""=IFERROR(INDEX(INDIRECT("Data!C"&amp;$T$4,FALSE),MATCH(X49,Data!$A:$A,0)),$AC$6),$AC$8,IFERROR(INDEX(INDIRECT("Data!C"&amp;$T$4,FALSE),MATCH(X49,Data!$A:$A,0)),$AC$6))</f>
        <v>151</v>
      </c>
      <c r="AH49" s="71">
        <f ca="1">IF(""=IFERROR(INDEX(INDIRECT("Data!C"&amp;$T$4,FALSE),MATCH(Y49,Data!$A:$A,0)),$AC$6),$AC$8,IFERROR(INDEX(INDIRECT("Data!C"&amp;$T$4,FALSE),MATCH(Y49,Data!$A:$A,0)),$AC$6))</f>
        <v>97</v>
      </c>
      <c r="AI49" s="71">
        <f ca="1">IF(""=IFERROR(INDEX(INDIRECT("Data!C"&amp;$T$4,FALSE),MATCH(Z49,Data!$A:$A,0)),$AC$6),$AC$8,IFERROR(INDEX(INDIRECT("Data!C"&amp;$T$4,FALSE),MATCH(Z49,Data!$A:$A,0)),$AC$6))</f>
        <v>59</v>
      </c>
      <c r="AJ49" s="88">
        <f t="shared" ca="1" si="23"/>
        <v>125.57142857142857</v>
      </c>
      <c r="AL49" s="34">
        <f t="shared" si="30"/>
        <v>41833</v>
      </c>
      <c r="AM49" s="34">
        <f t="shared" si="24"/>
        <v>41834</v>
      </c>
      <c r="AN49" s="34">
        <f t="shared" si="18"/>
        <v>41835</v>
      </c>
      <c r="AO49" s="34">
        <f t="shared" si="18"/>
        <v>41836</v>
      </c>
      <c r="AP49" s="34">
        <f t="shared" si="18"/>
        <v>41837</v>
      </c>
      <c r="AQ49" s="34">
        <f t="shared" si="18"/>
        <v>41838</v>
      </c>
      <c r="AR49" s="34">
        <f t="shared" si="18"/>
        <v>41839</v>
      </c>
      <c r="AT49" s="82" t="str">
        <f t="array" ref="AT49">IFERROR(IF(MATCH(8,DAY(AL49:AR49),0),AR49,""),"")</f>
        <v/>
      </c>
      <c r="AU49" s="71">
        <f ca="1">IF(""=IFERROR(INDEX(INDIRECT("Data!C"&amp;$AL$4,FALSE),MATCH(AL49,Data!$A:$A,0)),$AU$6),$AU$8,IFERROR(INDEX(INDIRECT("Data!C"&amp;$AL$4,FALSE),MATCH(AL49,Data!$A:$A,0)),$AU$6))</f>
        <v>28</v>
      </c>
      <c r="AV49" s="71">
        <f ca="1">IF(""=IFERROR(INDEX(INDIRECT("Data!C"&amp;$AL$4,FALSE),MATCH(AM49,Data!$A:$A,0)),$AU$6),$AU$8,IFERROR(INDEX(INDIRECT("Data!C"&amp;$AL$4,FALSE),MATCH(AM49,Data!$A:$A,0)),$AU$6))</f>
        <v>209</v>
      </c>
      <c r="AW49" s="71">
        <f ca="1">IF(""=IFERROR(INDEX(INDIRECT("Data!C"&amp;$AL$4,FALSE),MATCH(AN49,Data!$A:$A,0)),$AU$6),$AU$8,IFERROR(INDEX(INDIRECT("Data!C"&amp;$AL$4,FALSE),MATCH(AN49,Data!$A:$A,0)),$AU$6))</f>
        <v>190</v>
      </c>
      <c r="AX49" s="71">
        <f ca="1">IF(""=IFERROR(INDEX(INDIRECT("Data!C"&amp;$AL$4,FALSE),MATCH(AO49,Data!$A:$A,0)),$AU$6),$AU$8,IFERROR(INDEX(INDIRECT("Data!C"&amp;$AL$4,FALSE),MATCH(AO49,Data!$A:$A,0)),$AU$6))</f>
        <v>145</v>
      </c>
      <c r="AY49" s="71">
        <f ca="1">IF(""=IFERROR(INDEX(INDIRECT("Data!C"&amp;$AL$4,FALSE),MATCH(AP49,Data!$A:$A,0)),$AU$6),$AU$8,IFERROR(INDEX(INDIRECT("Data!C"&amp;$AL$4,FALSE),MATCH(AP49,Data!$A:$A,0)),$AU$6))</f>
        <v>151</v>
      </c>
      <c r="AZ49" s="71">
        <f ca="1">IF(""=IFERROR(INDEX(INDIRECT("Data!C"&amp;$AL$4,FALSE),MATCH(AQ49,Data!$A:$A,0)),$AU$6),$AU$8,IFERROR(INDEX(INDIRECT("Data!C"&amp;$AL$4,FALSE),MATCH(AQ49,Data!$A:$A,0)),$AU$6))</f>
        <v>97</v>
      </c>
      <c r="BA49" s="71">
        <f ca="1">IF(""=IFERROR(INDEX(INDIRECT("Data!C"&amp;$AL$4,FALSE),MATCH(AR49,Data!$A:$A,0)),$AU$6),$AU$8,IFERROR(INDEX(INDIRECT("Data!C"&amp;$AL$4,FALSE),MATCH(AR49,Data!$A:$A,0)),$AU$6))</f>
        <v>59</v>
      </c>
      <c r="BB49" s="88">
        <f t="shared" ca="1" si="25"/>
        <v>125.57142857142857</v>
      </c>
      <c r="BD49" s="34">
        <f t="shared" si="31"/>
        <v>41833</v>
      </c>
      <c r="BE49" s="34">
        <f t="shared" si="26"/>
        <v>41834</v>
      </c>
      <c r="BF49" s="34">
        <f t="shared" si="19"/>
        <v>41835</v>
      </c>
      <c r="BG49" s="34">
        <f t="shared" si="19"/>
        <v>41836</v>
      </c>
      <c r="BH49" s="34">
        <f t="shared" si="19"/>
        <v>41837</v>
      </c>
      <c r="BI49" s="34">
        <f t="shared" si="19"/>
        <v>41838</v>
      </c>
      <c r="BJ49" s="34">
        <f t="shared" si="19"/>
        <v>41839</v>
      </c>
      <c r="BL49" s="82" t="str">
        <f t="array" ref="BL49">IFERROR(IF(MATCH(8,DAY(BD49:BJ49),0),BJ49,""),"")</f>
        <v/>
      </c>
      <c r="BM49" s="71">
        <f ca="1">IF(""=IFERROR(INDEX(INDIRECT("Data!C"&amp;$BD$4,FALSE),MATCH(BD49,Data!$A:$A,0)),$BM$6),$BM$8,IFERROR(INDEX(INDIRECT("Data!C"&amp;$BD$4,FALSE),MATCH(BD49,Data!$A:$A,0)),$BM$6))</f>
        <v>28</v>
      </c>
      <c r="BN49" s="71">
        <f ca="1">IF(""=IFERROR(INDEX(INDIRECT("Data!C"&amp;$BD$4,FALSE),MATCH(BE49,Data!$A:$A,0)),$BM$6),$BM$8,IFERROR(INDEX(INDIRECT("Data!C"&amp;$BD$4,FALSE),MATCH(BE49,Data!$A:$A,0)),$BM$6))</f>
        <v>209</v>
      </c>
      <c r="BO49" s="71">
        <f ca="1">IF(""=IFERROR(INDEX(INDIRECT("Data!C"&amp;$BD$4,FALSE),MATCH(BF49,Data!$A:$A,0)),$BM$6),$BM$8,IFERROR(INDEX(INDIRECT("Data!C"&amp;$BD$4,FALSE),MATCH(BF49,Data!$A:$A,0)),$BM$6))</f>
        <v>190</v>
      </c>
      <c r="BP49" s="71">
        <f ca="1">IF(""=IFERROR(INDEX(INDIRECT("Data!C"&amp;$BD$4,FALSE),MATCH(BG49,Data!$A:$A,0)),$BM$6),$BM$8,IFERROR(INDEX(INDIRECT("Data!C"&amp;$BD$4,FALSE),MATCH(BG49,Data!$A:$A,0)),$BM$6))</f>
        <v>145</v>
      </c>
      <c r="BQ49" s="71">
        <f ca="1">IF(""=IFERROR(INDEX(INDIRECT("Data!C"&amp;$BD$4,FALSE),MATCH(BH49,Data!$A:$A,0)),$BM$6),$BM$8,IFERROR(INDEX(INDIRECT("Data!C"&amp;$BD$4,FALSE),MATCH(BH49,Data!$A:$A,0)),$BM$6))</f>
        <v>151</v>
      </c>
      <c r="BR49" s="71">
        <f ca="1">IF(""=IFERROR(INDEX(INDIRECT("Data!C"&amp;$BD$4,FALSE),MATCH(BI49,Data!$A:$A,0)),$BM$6),$BM$8,IFERROR(INDEX(INDIRECT("Data!C"&amp;$BD$4,FALSE),MATCH(BI49,Data!$A:$A,0)),$BM$6))</f>
        <v>97</v>
      </c>
      <c r="BS49" s="71">
        <f ca="1">IF(""=IFERROR(INDEX(INDIRECT("Data!C"&amp;$BD$4,FALSE),MATCH(BJ49,Data!$A:$A,0)),$BM$6),$BM$8,IFERROR(INDEX(INDIRECT("Data!C"&amp;$BD$4,FALSE),MATCH(BJ49,Data!$A:$A,0)),$BM$6))</f>
        <v>59</v>
      </c>
      <c r="BT49" s="88">
        <f t="shared" ca="1" si="27"/>
        <v>125.57142857142857</v>
      </c>
    </row>
    <row r="50" spans="2:72" ht="12" customHeight="1" x14ac:dyDescent="0.2">
      <c r="B50" s="34">
        <f t="shared" si="28"/>
        <v>41840</v>
      </c>
      <c r="C50" s="34">
        <f t="shared" si="32"/>
        <v>41841</v>
      </c>
      <c r="D50" s="34">
        <f t="shared" si="32"/>
        <v>41842</v>
      </c>
      <c r="E50" s="34">
        <f t="shared" si="32"/>
        <v>41843</v>
      </c>
      <c r="F50" s="34">
        <f t="shared" si="32"/>
        <v>41844</v>
      </c>
      <c r="G50" s="34">
        <f t="shared" si="32"/>
        <v>41845</v>
      </c>
      <c r="H50" s="34">
        <f t="shared" si="32"/>
        <v>41846</v>
      </c>
      <c r="J50" s="82" t="str">
        <f t="array" ref="J50">IFERROR(IF(MATCH(8,DAY(B50:H50),0),H50,""),"")</f>
        <v/>
      </c>
      <c r="K50" s="71">
        <f ca="1">IF(""=IFERROR(INDEX(INDIRECT("Data!C"&amp;$B$4,FALSE),MATCH(B50,Data!$A:$A,0)),$K$6),$K$8,IFERROR(INDEX(INDIRECT("Data!C"&amp;$B$4,FALSE),MATCH(B50,Data!$A:$A,0)),$K$6))</f>
        <v>18</v>
      </c>
      <c r="L50" s="71">
        <f ca="1">IF(""=IFERROR(INDEX(INDIRECT("Data!C"&amp;$B$4,FALSE),MATCH(C50,Data!$A:$A,0)),$K$6),$K$8,IFERROR(INDEX(INDIRECT("Data!C"&amp;$B$4,FALSE),MATCH(C50,Data!$A:$A,0)),$K$6))</f>
        <v>276</v>
      </c>
      <c r="M50" s="71">
        <f ca="1">IF(""=IFERROR(INDEX(INDIRECT("Data!C"&amp;$B$4,FALSE),MATCH(D50,Data!$A:$A,0)),$K$6),$K$8,IFERROR(INDEX(INDIRECT("Data!C"&amp;$B$4,FALSE),MATCH(D50,Data!$A:$A,0)),$K$6))</f>
        <v>251</v>
      </c>
      <c r="N50" s="71">
        <f ca="1">IF(""=IFERROR(INDEX(INDIRECT("Data!C"&amp;$B$4,FALSE),MATCH(E50,Data!$A:$A,0)),$K$6),$K$8,IFERROR(INDEX(INDIRECT("Data!C"&amp;$B$4,FALSE),MATCH(E50,Data!$A:$A,0)),$K$6))</f>
        <v>286</v>
      </c>
      <c r="O50" s="71">
        <f ca="1">IF(""=IFERROR(INDEX(INDIRECT("Data!C"&amp;$B$4,FALSE),MATCH(F50,Data!$A:$A,0)),$K$6),$K$8,IFERROR(INDEX(INDIRECT("Data!C"&amp;$B$4,FALSE),MATCH(F50,Data!$A:$A,0)),$K$6))</f>
        <v>175</v>
      </c>
      <c r="P50" s="71">
        <f ca="1">IF(""=IFERROR(INDEX(INDIRECT("Data!C"&amp;$B$4,FALSE),MATCH(G50,Data!$A:$A,0)),$K$6),$K$8,IFERROR(INDEX(INDIRECT("Data!C"&amp;$B$4,FALSE),MATCH(G50,Data!$A:$A,0)),$K$6))</f>
        <v>232</v>
      </c>
      <c r="Q50" s="71">
        <f ca="1">IF(""=IFERROR(INDEX(INDIRECT("Data!C"&amp;$B$4,FALSE),MATCH(H50,Data!$A:$A,0)),$K$6),$K$8,IFERROR(INDEX(INDIRECT("Data!C"&amp;$B$4,FALSE),MATCH(H50,Data!$A:$A,0)),$K$6))</f>
        <v>48</v>
      </c>
      <c r="R50" s="88">
        <f t="shared" ca="1" si="21"/>
        <v>183.71428571428572</v>
      </c>
      <c r="T50" s="34">
        <f t="shared" si="29"/>
        <v>41840</v>
      </c>
      <c r="U50" s="34">
        <f t="shared" si="22"/>
        <v>41841</v>
      </c>
      <c r="V50" s="34">
        <f t="shared" si="17"/>
        <v>41842</v>
      </c>
      <c r="W50" s="34">
        <f t="shared" si="17"/>
        <v>41843</v>
      </c>
      <c r="X50" s="34">
        <f t="shared" si="17"/>
        <v>41844</v>
      </c>
      <c r="Y50" s="34">
        <f t="shared" si="17"/>
        <v>41845</v>
      </c>
      <c r="Z50" s="34">
        <f t="shared" si="17"/>
        <v>41846</v>
      </c>
      <c r="AB50" s="82" t="str">
        <f t="array" ref="AB50">IFERROR(IF(MATCH(8,DAY(T50:Z50),0),Z50,""),"")</f>
        <v/>
      </c>
      <c r="AC50" s="71">
        <f ca="1">IF(""=IFERROR(INDEX(INDIRECT("Data!C"&amp;$T$4,FALSE),MATCH(T50,Data!$A:$A,0)),$AC$6),$AC$8,IFERROR(INDEX(INDIRECT("Data!C"&amp;$T$4,FALSE),MATCH(T50,Data!$A:$A,0)),$AC$6))</f>
        <v>18</v>
      </c>
      <c r="AD50" s="71">
        <f ca="1">IF(""=IFERROR(INDEX(INDIRECT("Data!C"&amp;$T$4,FALSE),MATCH(U50,Data!$A:$A,0)),$AC$6),$AC$8,IFERROR(INDEX(INDIRECT("Data!C"&amp;$T$4,FALSE),MATCH(U50,Data!$A:$A,0)),$AC$6))</f>
        <v>276</v>
      </c>
      <c r="AE50" s="71">
        <f ca="1">IF(""=IFERROR(INDEX(INDIRECT("Data!C"&amp;$T$4,FALSE),MATCH(V50,Data!$A:$A,0)),$AC$6),$AC$8,IFERROR(INDEX(INDIRECT("Data!C"&amp;$T$4,FALSE),MATCH(V50,Data!$A:$A,0)),$AC$6))</f>
        <v>251</v>
      </c>
      <c r="AF50" s="71">
        <f ca="1">IF(""=IFERROR(INDEX(INDIRECT("Data!C"&amp;$T$4,FALSE),MATCH(W50,Data!$A:$A,0)),$AC$6),$AC$8,IFERROR(INDEX(INDIRECT("Data!C"&amp;$T$4,FALSE),MATCH(W50,Data!$A:$A,0)),$AC$6))</f>
        <v>286</v>
      </c>
      <c r="AG50" s="71">
        <f ca="1">IF(""=IFERROR(INDEX(INDIRECT("Data!C"&amp;$T$4,FALSE),MATCH(X50,Data!$A:$A,0)),$AC$6),$AC$8,IFERROR(INDEX(INDIRECT("Data!C"&amp;$T$4,FALSE),MATCH(X50,Data!$A:$A,0)),$AC$6))</f>
        <v>175</v>
      </c>
      <c r="AH50" s="71">
        <f ca="1">IF(""=IFERROR(INDEX(INDIRECT("Data!C"&amp;$T$4,FALSE),MATCH(Y50,Data!$A:$A,0)),$AC$6),$AC$8,IFERROR(INDEX(INDIRECT("Data!C"&amp;$T$4,FALSE),MATCH(Y50,Data!$A:$A,0)),$AC$6))</f>
        <v>232</v>
      </c>
      <c r="AI50" s="71">
        <f ca="1">IF(""=IFERROR(INDEX(INDIRECT("Data!C"&amp;$T$4,FALSE),MATCH(Z50,Data!$A:$A,0)),$AC$6),$AC$8,IFERROR(INDEX(INDIRECT("Data!C"&amp;$T$4,FALSE),MATCH(Z50,Data!$A:$A,0)),$AC$6))</f>
        <v>48</v>
      </c>
      <c r="AJ50" s="88">
        <f t="shared" ca="1" si="23"/>
        <v>183.71428571428572</v>
      </c>
      <c r="AL50" s="34">
        <f t="shared" si="30"/>
        <v>41840</v>
      </c>
      <c r="AM50" s="34">
        <f t="shared" si="24"/>
        <v>41841</v>
      </c>
      <c r="AN50" s="34">
        <f t="shared" si="18"/>
        <v>41842</v>
      </c>
      <c r="AO50" s="34">
        <f t="shared" si="18"/>
        <v>41843</v>
      </c>
      <c r="AP50" s="34">
        <f t="shared" si="18"/>
        <v>41844</v>
      </c>
      <c r="AQ50" s="34">
        <f t="shared" si="18"/>
        <v>41845</v>
      </c>
      <c r="AR50" s="34">
        <f t="shared" si="18"/>
        <v>41846</v>
      </c>
      <c r="AT50" s="82" t="str">
        <f t="array" ref="AT50">IFERROR(IF(MATCH(8,DAY(AL50:AR50),0),AR50,""),"")</f>
        <v/>
      </c>
      <c r="AU50" s="71">
        <f ca="1">IF(""=IFERROR(INDEX(INDIRECT("Data!C"&amp;$AL$4,FALSE),MATCH(AL50,Data!$A:$A,0)),$AU$6),$AU$8,IFERROR(INDEX(INDIRECT("Data!C"&amp;$AL$4,FALSE),MATCH(AL50,Data!$A:$A,0)),$AU$6))</f>
        <v>18</v>
      </c>
      <c r="AV50" s="71">
        <f ca="1">IF(""=IFERROR(INDEX(INDIRECT("Data!C"&amp;$AL$4,FALSE),MATCH(AM50,Data!$A:$A,0)),$AU$6),$AU$8,IFERROR(INDEX(INDIRECT("Data!C"&amp;$AL$4,FALSE),MATCH(AM50,Data!$A:$A,0)),$AU$6))</f>
        <v>276</v>
      </c>
      <c r="AW50" s="71">
        <f ca="1">IF(""=IFERROR(INDEX(INDIRECT("Data!C"&amp;$AL$4,FALSE),MATCH(AN50,Data!$A:$A,0)),$AU$6),$AU$8,IFERROR(INDEX(INDIRECT("Data!C"&amp;$AL$4,FALSE),MATCH(AN50,Data!$A:$A,0)),$AU$6))</f>
        <v>251</v>
      </c>
      <c r="AX50" s="71">
        <f ca="1">IF(""=IFERROR(INDEX(INDIRECT("Data!C"&amp;$AL$4,FALSE),MATCH(AO50,Data!$A:$A,0)),$AU$6),$AU$8,IFERROR(INDEX(INDIRECT("Data!C"&amp;$AL$4,FALSE),MATCH(AO50,Data!$A:$A,0)),$AU$6))</f>
        <v>286</v>
      </c>
      <c r="AY50" s="71">
        <f ca="1">IF(""=IFERROR(INDEX(INDIRECT("Data!C"&amp;$AL$4,FALSE),MATCH(AP50,Data!$A:$A,0)),$AU$6),$AU$8,IFERROR(INDEX(INDIRECT("Data!C"&amp;$AL$4,FALSE),MATCH(AP50,Data!$A:$A,0)),$AU$6))</f>
        <v>175</v>
      </c>
      <c r="AZ50" s="71">
        <f ca="1">IF(""=IFERROR(INDEX(INDIRECT("Data!C"&amp;$AL$4,FALSE),MATCH(AQ50,Data!$A:$A,0)),$AU$6),$AU$8,IFERROR(INDEX(INDIRECT("Data!C"&amp;$AL$4,FALSE),MATCH(AQ50,Data!$A:$A,0)),$AU$6))</f>
        <v>232</v>
      </c>
      <c r="BA50" s="71">
        <f ca="1">IF(""=IFERROR(INDEX(INDIRECT("Data!C"&amp;$AL$4,FALSE),MATCH(AR50,Data!$A:$A,0)),$AU$6),$AU$8,IFERROR(INDEX(INDIRECT("Data!C"&amp;$AL$4,FALSE),MATCH(AR50,Data!$A:$A,0)),$AU$6))</f>
        <v>48</v>
      </c>
      <c r="BB50" s="88">
        <f t="shared" ca="1" si="25"/>
        <v>183.71428571428572</v>
      </c>
      <c r="BD50" s="34">
        <f t="shared" si="31"/>
        <v>41840</v>
      </c>
      <c r="BE50" s="34">
        <f t="shared" si="26"/>
        <v>41841</v>
      </c>
      <c r="BF50" s="34">
        <f t="shared" si="19"/>
        <v>41842</v>
      </c>
      <c r="BG50" s="34">
        <f t="shared" si="19"/>
        <v>41843</v>
      </c>
      <c r="BH50" s="34">
        <f t="shared" si="19"/>
        <v>41844</v>
      </c>
      <c r="BI50" s="34">
        <f t="shared" si="19"/>
        <v>41845</v>
      </c>
      <c r="BJ50" s="34">
        <f t="shared" si="19"/>
        <v>41846</v>
      </c>
      <c r="BL50" s="82" t="str">
        <f t="array" ref="BL50">IFERROR(IF(MATCH(8,DAY(BD50:BJ50),0),BJ50,""),"")</f>
        <v/>
      </c>
      <c r="BM50" s="71">
        <f ca="1">IF(""=IFERROR(INDEX(INDIRECT("Data!C"&amp;$BD$4,FALSE),MATCH(BD50,Data!$A:$A,0)),$BM$6),$BM$8,IFERROR(INDEX(INDIRECT("Data!C"&amp;$BD$4,FALSE),MATCH(BD50,Data!$A:$A,0)),$BM$6))</f>
        <v>18</v>
      </c>
      <c r="BN50" s="71">
        <f ca="1">IF(""=IFERROR(INDEX(INDIRECT("Data!C"&amp;$BD$4,FALSE),MATCH(BE50,Data!$A:$A,0)),$BM$6),$BM$8,IFERROR(INDEX(INDIRECT("Data!C"&amp;$BD$4,FALSE),MATCH(BE50,Data!$A:$A,0)),$BM$6))</f>
        <v>276</v>
      </c>
      <c r="BO50" s="71">
        <f ca="1">IF(""=IFERROR(INDEX(INDIRECT("Data!C"&amp;$BD$4,FALSE),MATCH(BF50,Data!$A:$A,0)),$BM$6),$BM$8,IFERROR(INDEX(INDIRECT("Data!C"&amp;$BD$4,FALSE),MATCH(BF50,Data!$A:$A,0)),$BM$6))</f>
        <v>251</v>
      </c>
      <c r="BP50" s="71">
        <f ca="1">IF(""=IFERROR(INDEX(INDIRECT("Data!C"&amp;$BD$4,FALSE),MATCH(BG50,Data!$A:$A,0)),$BM$6),$BM$8,IFERROR(INDEX(INDIRECT("Data!C"&amp;$BD$4,FALSE),MATCH(BG50,Data!$A:$A,0)),$BM$6))</f>
        <v>286</v>
      </c>
      <c r="BQ50" s="71">
        <f ca="1">IF(""=IFERROR(INDEX(INDIRECT("Data!C"&amp;$BD$4,FALSE),MATCH(BH50,Data!$A:$A,0)),$BM$6),$BM$8,IFERROR(INDEX(INDIRECT("Data!C"&amp;$BD$4,FALSE),MATCH(BH50,Data!$A:$A,0)),$BM$6))</f>
        <v>175</v>
      </c>
      <c r="BR50" s="71">
        <f ca="1">IF(""=IFERROR(INDEX(INDIRECT("Data!C"&amp;$BD$4,FALSE),MATCH(BI50,Data!$A:$A,0)),$BM$6),$BM$8,IFERROR(INDEX(INDIRECT("Data!C"&amp;$BD$4,FALSE),MATCH(BI50,Data!$A:$A,0)),$BM$6))</f>
        <v>232</v>
      </c>
      <c r="BS50" s="71">
        <f ca="1">IF(""=IFERROR(INDEX(INDIRECT("Data!C"&amp;$BD$4,FALSE),MATCH(BJ50,Data!$A:$A,0)),$BM$6),$BM$8,IFERROR(INDEX(INDIRECT("Data!C"&amp;$BD$4,FALSE),MATCH(BJ50,Data!$A:$A,0)),$BM$6))</f>
        <v>48</v>
      </c>
      <c r="BT50" s="88">
        <f t="shared" ca="1" si="27"/>
        <v>183.71428571428572</v>
      </c>
    </row>
    <row r="51" spans="2:72" ht="12" customHeight="1" x14ac:dyDescent="0.2">
      <c r="B51" s="34">
        <f t="shared" si="28"/>
        <v>41847</v>
      </c>
      <c r="C51" s="34">
        <f t="shared" si="32"/>
        <v>41848</v>
      </c>
      <c r="D51" s="34">
        <f t="shared" si="32"/>
        <v>41849</v>
      </c>
      <c r="E51" s="34">
        <f t="shared" si="32"/>
        <v>41850</v>
      </c>
      <c r="F51" s="34">
        <f t="shared" si="32"/>
        <v>41851</v>
      </c>
      <c r="G51" s="34">
        <f t="shared" si="32"/>
        <v>41852</v>
      </c>
      <c r="H51" s="34">
        <f t="shared" si="32"/>
        <v>41853</v>
      </c>
      <c r="J51" s="82" t="str">
        <f t="array" ref="J51">IFERROR(IF(MATCH(8,DAY(B51:H51),0),H51,""),"")</f>
        <v/>
      </c>
      <c r="K51" s="71">
        <f ca="1">IF(""=IFERROR(INDEX(INDIRECT("Data!C"&amp;$B$4,FALSE),MATCH(B51,Data!$A:$A,0)),$K$6),$K$8,IFERROR(INDEX(INDIRECT("Data!C"&amp;$B$4,FALSE),MATCH(B51,Data!$A:$A,0)),$K$6))</f>
        <v>26</v>
      </c>
      <c r="L51" s="71">
        <f ca="1">IF(""=IFERROR(INDEX(INDIRECT("Data!C"&amp;$B$4,FALSE),MATCH(C51,Data!$A:$A,0)),$K$6),$K$8,IFERROR(INDEX(INDIRECT("Data!C"&amp;$B$4,FALSE),MATCH(C51,Data!$A:$A,0)),$K$6))</f>
        <v>299</v>
      </c>
      <c r="M51" s="71">
        <f ca="1">IF(""=IFERROR(INDEX(INDIRECT("Data!C"&amp;$B$4,FALSE),MATCH(D51,Data!$A:$A,0)),$K$6),$K$8,IFERROR(INDEX(INDIRECT("Data!C"&amp;$B$4,FALSE),MATCH(D51,Data!$A:$A,0)),$K$6))</f>
        <v>339</v>
      </c>
      <c r="N51" s="71">
        <f ca="1">IF(""=IFERROR(INDEX(INDIRECT("Data!C"&amp;$B$4,FALSE),MATCH(E51,Data!$A:$A,0)),$K$6),$K$8,IFERROR(INDEX(INDIRECT("Data!C"&amp;$B$4,FALSE),MATCH(E51,Data!$A:$A,0)),$K$6))</f>
        <v>351</v>
      </c>
      <c r="O51" s="71">
        <f ca="1">IF(""=IFERROR(INDEX(INDIRECT("Data!C"&amp;$B$4,FALSE),MATCH(F51,Data!$A:$A,0)),$K$6),$K$8,IFERROR(INDEX(INDIRECT("Data!C"&amp;$B$4,FALSE),MATCH(F51,Data!$A:$A,0)),$K$6))</f>
        <v>217</v>
      </c>
      <c r="P51" s="71">
        <f ca="1">IF(""=IFERROR(INDEX(INDIRECT("Data!C"&amp;$B$4,FALSE),MATCH(G51,Data!$A:$A,0)),$K$6),$K$8,IFERROR(INDEX(INDIRECT("Data!C"&amp;$B$4,FALSE),MATCH(G51,Data!$A:$A,0)),$K$6))</f>
        <v>199</v>
      </c>
      <c r="Q51" s="71">
        <f ca="1">IF(""=IFERROR(INDEX(INDIRECT("Data!C"&amp;$B$4,FALSE),MATCH(H51,Data!$A:$A,0)),$K$6),$K$8,IFERROR(INDEX(INDIRECT("Data!C"&amp;$B$4,FALSE),MATCH(H51,Data!$A:$A,0)),$K$6))</f>
        <v>90</v>
      </c>
      <c r="R51" s="88">
        <f t="shared" ca="1" si="21"/>
        <v>217.28571428571428</v>
      </c>
      <c r="T51" s="34">
        <f t="shared" si="29"/>
        <v>41847</v>
      </c>
      <c r="U51" s="34">
        <f t="shared" si="22"/>
        <v>41848</v>
      </c>
      <c r="V51" s="34">
        <f t="shared" si="17"/>
        <v>41849</v>
      </c>
      <c r="W51" s="34">
        <f t="shared" si="17"/>
        <v>41850</v>
      </c>
      <c r="X51" s="34">
        <f t="shared" si="17"/>
        <v>41851</v>
      </c>
      <c r="Y51" s="34">
        <f t="shared" si="17"/>
        <v>41852</v>
      </c>
      <c r="Z51" s="34">
        <f t="shared" si="17"/>
        <v>41853</v>
      </c>
      <c r="AB51" s="82" t="str">
        <f t="array" ref="AB51">IFERROR(IF(MATCH(8,DAY(T51:Z51),0),Z51,""),"")</f>
        <v/>
      </c>
      <c r="AC51" s="71">
        <f ca="1">IF(""=IFERROR(INDEX(INDIRECT("Data!C"&amp;$T$4,FALSE),MATCH(T51,Data!$A:$A,0)),$AC$6),$AC$8,IFERROR(INDEX(INDIRECT("Data!C"&amp;$T$4,FALSE),MATCH(T51,Data!$A:$A,0)),$AC$6))</f>
        <v>26</v>
      </c>
      <c r="AD51" s="71">
        <f ca="1">IF(""=IFERROR(INDEX(INDIRECT("Data!C"&amp;$T$4,FALSE),MATCH(U51,Data!$A:$A,0)),$AC$6),$AC$8,IFERROR(INDEX(INDIRECT("Data!C"&amp;$T$4,FALSE),MATCH(U51,Data!$A:$A,0)),$AC$6))</f>
        <v>299</v>
      </c>
      <c r="AE51" s="71">
        <f ca="1">IF(""=IFERROR(INDEX(INDIRECT("Data!C"&amp;$T$4,FALSE),MATCH(V51,Data!$A:$A,0)),$AC$6),$AC$8,IFERROR(INDEX(INDIRECT("Data!C"&amp;$T$4,FALSE),MATCH(V51,Data!$A:$A,0)),$AC$6))</f>
        <v>339</v>
      </c>
      <c r="AF51" s="71">
        <f ca="1">IF(""=IFERROR(INDEX(INDIRECT("Data!C"&amp;$T$4,FALSE),MATCH(W51,Data!$A:$A,0)),$AC$6),$AC$8,IFERROR(INDEX(INDIRECT("Data!C"&amp;$T$4,FALSE),MATCH(W51,Data!$A:$A,0)),$AC$6))</f>
        <v>351</v>
      </c>
      <c r="AG51" s="71">
        <f ca="1">IF(""=IFERROR(INDEX(INDIRECT("Data!C"&amp;$T$4,FALSE),MATCH(X51,Data!$A:$A,0)),$AC$6),$AC$8,IFERROR(INDEX(INDIRECT("Data!C"&amp;$T$4,FALSE),MATCH(X51,Data!$A:$A,0)),$AC$6))</f>
        <v>217</v>
      </c>
      <c r="AH51" s="71">
        <f ca="1">IF(""=IFERROR(INDEX(INDIRECT("Data!C"&amp;$T$4,FALSE),MATCH(Y51,Data!$A:$A,0)),$AC$6),$AC$8,IFERROR(INDEX(INDIRECT("Data!C"&amp;$T$4,FALSE),MATCH(Y51,Data!$A:$A,0)),$AC$6))</f>
        <v>199</v>
      </c>
      <c r="AI51" s="71">
        <f ca="1">IF(""=IFERROR(INDEX(INDIRECT("Data!C"&amp;$T$4,FALSE),MATCH(Z51,Data!$A:$A,0)),$AC$6),$AC$8,IFERROR(INDEX(INDIRECT("Data!C"&amp;$T$4,FALSE),MATCH(Z51,Data!$A:$A,0)),$AC$6))</f>
        <v>90</v>
      </c>
      <c r="AJ51" s="88">
        <f t="shared" ca="1" si="23"/>
        <v>217.28571428571428</v>
      </c>
      <c r="AL51" s="34">
        <f t="shared" si="30"/>
        <v>41847</v>
      </c>
      <c r="AM51" s="34">
        <f t="shared" si="24"/>
        <v>41848</v>
      </c>
      <c r="AN51" s="34">
        <f t="shared" si="18"/>
        <v>41849</v>
      </c>
      <c r="AO51" s="34">
        <f t="shared" si="18"/>
        <v>41850</v>
      </c>
      <c r="AP51" s="34">
        <f t="shared" si="18"/>
        <v>41851</v>
      </c>
      <c r="AQ51" s="34">
        <f t="shared" si="18"/>
        <v>41852</v>
      </c>
      <c r="AR51" s="34">
        <f t="shared" si="18"/>
        <v>41853</v>
      </c>
      <c r="AT51" s="82" t="str">
        <f t="array" ref="AT51">IFERROR(IF(MATCH(8,DAY(AL51:AR51),0),AR51,""),"")</f>
        <v/>
      </c>
      <c r="AU51" s="71">
        <f ca="1">IF(""=IFERROR(INDEX(INDIRECT("Data!C"&amp;$AL$4,FALSE),MATCH(AL51,Data!$A:$A,0)),$AU$6),$AU$8,IFERROR(INDEX(INDIRECT("Data!C"&amp;$AL$4,FALSE),MATCH(AL51,Data!$A:$A,0)),$AU$6))</f>
        <v>26</v>
      </c>
      <c r="AV51" s="71">
        <f ca="1">IF(""=IFERROR(INDEX(INDIRECT("Data!C"&amp;$AL$4,FALSE),MATCH(AM51,Data!$A:$A,0)),$AU$6),$AU$8,IFERROR(INDEX(INDIRECT("Data!C"&amp;$AL$4,FALSE),MATCH(AM51,Data!$A:$A,0)),$AU$6))</f>
        <v>299</v>
      </c>
      <c r="AW51" s="71">
        <f ca="1">IF(""=IFERROR(INDEX(INDIRECT("Data!C"&amp;$AL$4,FALSE),MATCH(AN51,Data!$A:$A,0)),$AU$6),$AU$8,IFERROR(INDEX(INDIRECT("Data!C"&amp;$AL$4,FALSE),MATCH(AN51,Data!$A:$A,0)),$AU$6))</f>
        <v>339</v>
      </c>
      <c r="AX51" s="71">
        <f ca="1">IF(""=IFERROR(INDEX(INDIRECT("Data!C"&amp;$AL$4,FALSE),MATCH(AO51,Data!$A:$A,0)),$AU$6),$AU$8,IFERROR(INDEX(INDIRECT("Data!C"&amp;$AL$4,FALSE),MATCH(AO51,Data!$A:$A,0)),$AU$6))</f>
        <v>351</v>
      </c>
      <c r="AY51" s="71">
        <f ca="1">IF(""=IFERROR(INDEX(INDIRECT("Data!C"&amp;$AL$4,FALSE),MATCH(AP51,Data!$A:$A,0)),$AU$6),$AU$8,IFERROR(INDEX(INDIRECT("Data!C"&amp;$AL$4,FALSE),MATCH(AP51,Data!$A:$A,0)),$AU$6))</f>
        <v>217</v>
      </c>
      <c r="AZ51" s="71">
        <f ca="1">IF(""=IFERROR(INDEX(INDIRECT("Data!C"&amp;$AL$4,FALSE),MATCH(AQ51,Data!$A:$A,0)),$AU$6),$AU$8,IFERROR(INDEX(INDIRECT("Data!C"&amp;$AL$4,FALSE),MATCH(AQ51,Data!$A:$A,0)),$AU$6))</f>
        <v>199</v>
      </c>
      <c r="BA51" s="71">
        <f ca="1">IF(""=IFERROR(INDEX(INDIRECT("Data!C"&amp;$AL$4,FALSE),MATCH(AR51,Data!$A:$A,0)),$AU$6),$AU$8,IFERROR(INDEX(INDIRECT("Data!C"&amp;$AL$4,FALSE),MATCH(AR51,Data!$A:$A,0)),$AU$6))</f>
        <v>90</v>
      </c>
      <c r="BB51" s="88">
        <f t="shared" ca="1" si="25"/>
        <v>217.28571428571428</v>
      </c>
      <c r="BD51" s="34">
        <f t="shared" si="31"/>
        <v>41847</v>
      </c>
      <c r="BE51" s="34">
        <f t="shared" si="26"/>
        <v>41848</v>
      </c>
      <c r="BF51" s="34">
        <f t="shared" si="19"/>
        <v>41849</v>
      </c>
      <c r="BG51" s="34">
        <f t="shared" si="19"/>
        <v>41850</v>
      </c>
      <c r="BH51" s="34">
        <f t="shared" si="19"/>
        <v>41851</v>
      </c>
      <c r="BI51" s="34">
        <f t="shared" si="19"/>
        <v>41852</v>
      </c>
      <c r="BJ51" s="34">
        <f t="shared" si="19"/>
        <v>41853</v>
      </c>
      <c r="BL51" s="82" t="str">
        <f t="array" ref="BL51">IFERROR(IF(MATCH(8,DAY(BD51:BJ51),0),BJ51,""),"")</f>
        <v/>
      </c>
      <c r="BM51" s="71">
        <f ca="1">IF(""=IFERROR(INDEX(INDIRECT("Data!C"&amp;$BD$4,FALSE),MATCH(BD51,Data!$A:$A,0)),$BM$6),$BM$8,IFERROR(INDEX(INDIRECT("Data!C"&amp;$BD$4,FALSE),MATCH(BD51,Data!$A:$A,0)),$BM$6))</f>
        <v>26</v>
      </c>
      <c r="BN51" s="71">
        <f ca="1">IF(""=IFERROR(INDEX(INDIRECT("Data!C"&amp;$BD$4,FALSE),MATCH(BE51,Data!$A:$A,0)),$BM$6),$BM$8,IFERROR(INDEX(INDIRECT("Data!C"&amp;$BD$4,FALSE),MATCH(BE51,Data!$A:$A,0)),$BM$6))</f>
        <v>299</v>
      </c>
      <c r="BO51" s="71">
        <f ca="1">IF(""=IFERROR(INDEX(INDIRECT("Data!C"&amp;$BD$4,FALSE),MATCH(BF51,Data!$A:$A,0)),$BM$6),$BM$8,IFERROR(INDEX(INDIRECT("Data!C"&amp;$BD$4,FALSE),MATCH(BF51,Data!$A:$A,0)),$BM$6))</f>
        <v>339</v>
      </c>
      <c r="BP51" s="71">
        <f ca="1">IF(""=IFERROR(INDEX(INDIRECT("Data!C"&amp;$BD$4,FALSE),MATCH(BG51,Data!$A:$A,0)),$BM$6),$BM$8,IFERROR(INDEX(INDIRECT("Data!C"&amp;$BD$4,FALSE),MATCH(BG51,Data!$A:$A,0)),$BM$6))</f>
        <v>351</v>
      </c>
      <c r="BQ51" s="71">
        <f ca="1">IF(""=IFERROR(INDEX(INDIRECT("Data!C"&amp;$BD$4,FALSE),MATCH(BH51,Data!$A:$A,0)),$BM$6),$BM$8,IFERROR(INDEX(INDIRECT("Data!C"&amp;$BD$4,FALSE),MATCH(BH51,Data!$A:$A,0)),$BM$6))</f>
        <v>217</v>
      </c>
      <c r="BR51" s="71">
        <f ca="1">IF(""=IFERROR(INDEX(INDIRECT("Data!C"&amp;$BD$4,FALSE),MATCH(BI51,Data!$A:$A,0)),$BM$6),$BM$8,IFERROR(INDEX(INDIRECT("Data!C"&amp;$BD$4,FALSE),MATCH(BI51,Data!$A:$A,0)),$BM$6))</f>
        <v>199</v>
      </c>
      <c r="BS51" s="71">
        <f ca="1">IF(""=IFERROR(INDEX(INDIRECT("Data!C"&amp;$BD$4,FALSE),MATCH(BJ51,Data!$A:$A,0)),$BM$6),$BM$8,IFERROR(INDEX(INDIRECT("Data!C"&amp;$BD$4,FALSE),MATCH(BJ51,Data!$A:$A,0)),$BM$6))</f>
        <v>90</v>
      </c>
      <c r="BT51" s="88">
        <f t="shared" ca="1" si="27"/>
        <v>217.28571428571428</v>
      </c>
    </row>
    <row r="52" spans="2:72" ht="12" customHeight="1" x14ac:dyDescent="0.2">
      <c r="B52" s="34">
        <f t="shared" si="28"/>
        <v>41854</v>
      </c>
      <c r="C52" s="34">
        <f t="shared" si="32"/>
        <v>41855</v>
      </c>
      <c r="D52" s="34">
        <f t="shared" si="32"/>
        <v>41856</v>
      </c>
      <c r="E52" s="34">
        <f t="shared" si="32"/>
        <v>41857</v>
      </c>
      <c r="F52" s="34">
        <f t="shared" si="32"/>
        <v>41858</v>
      </c>
      <c r="G52" s="34">
        <f t="shared" si="32"/>
        <v>41859</v>
      </c>
      <c r="H52" s="34">
        <f t="shared" si="32"/>
        <v>41860</v>
      </c>
      <c r="J52" s="82">
        <f t="array" ref="J52">IFERROR(IF(MATCH(8,DAY(B52:H52),0),H52,""),"")</f>
        <v>41860</v>
      </c>
      <c r="K52" s="71">
        <f ca="1">IF(""=IFERROR(INDEX(INDIRECT("Data!C"&amp;$B$4,FALSE),MATCH(B52,Data!$A:$A,0)),$K$6),$K$8,IFERROR(INDEX(INDIRECT("Data!C"&amp;$B$4,FALSE),MATCH(B52,Data!$A:$A,0)),$K$6))</f>
        <v>36</v>
      </c>
      <c r="L52" s="71">
        <f ca="1">IF(""=IFERROR(INDEX(INDIRECT("Data!C"&amp;$B$4,FALSE),MATCH(C52,Data!$A:$A,0)),$K$6),$K$8,IFERROR(INDEX(INDIRECT("Data!C"&amp;$B$4,FALSE),MATCH(C52,Data!$A:$A,0)),$K$6))</f>
        <v>291</v>
      </c>
      <c r="M52" s="71">
        <f ca="1">IF(""=IFERROR(INDEX(INDIRECT("Data!C"&amp;$B$4,FALSE),MATCH(D52,Data!$A:$A,0)),$K$6),$K$8,IFERROR(INDEX(INDIRECT("Data!C"&amp;$B$4,FALSE),MATCH(D52,Data!$A:$A,0)),$K$6))</f>
        <v>267</v>
      </c>
      <c r="N52" s="71">
        <f ca="1">IF(""=IFERROR(INDEX(INDIRECT("Data!C"&amp;$B$4,FALSE),MATCH(E52,Data!$A:$A,0)),$K$6),$K$8,IFERROR(INDEX(INDIRECT("Data!C"&amp;$B$4,FALSE),MATCH(E52,Data!$A:$A,0)),$K$6))</f>
        <v>356</v>
      </c>
      <c r="O52" s="71">
        <f ca="1">IF(""=IFERROR(INDEX(INDIRECT("Data!C"&amp;$B$4,FALSE),MATCH(F52,Data!$A:$A,0)),$K$6),$K$8,IFERROR(INDEX(INDIRECT("Data!C"&amp;$B$4,FALSE),MATCH(F52,Data!$A:$A,0)),$K$6))</f>
        <v>270</v>
      </c>
      <c r="P52" s="71">
        <f ca="1">IF(""=IFERROR(INDEX(INDIRECT("Data!C"&amp;$B$4,FALSE),MATCH(G52,Data!$A:$A,0)),$K$6),$K$8,IFERROR(INDEX(INDIRECT("Data!C"&amp;$B$4,FALSE),MATCH(G52,Data!$A:$A,0)),$K$6))</f>
        <v>193</v>
      </c>
      <c r="Q52" s="71">
        <f ca="1">IF(""=IFERROR(INDEX(INDIRECT("Data!C"&amp;$B$4,FALSE),MATCH(H52,Data!$A:$A,0)),$K$6),$K$8,IFERROR(INDEX(INDIRECT("Data!C"&amp;$B$4,FALSE),MATCH(H52,Data!$A:$A,0)),$K$6))</f>
        <v>96</v>
      </c>
      <c r="R52" s="88">
        <f t="shared" ca="1" si="21"/>
        <v>215.57142857142858</v>
      </c>
      <c r="T52" s="34">
        <f t="shared" si="29"/>
        <v>41854</v>
      </c>
      <c r="U52" s="34">
        <f t="shared" si="22"/>
        <v>41855</v>
      </c>
      <c r="V52" s="34">
        <f t="shared" si="17"/>
        <v>41856</v>
      </c>
      <c r="W52" s="34">
        <f t="shared" si="17"/>
        <v>41857</v>
      </c>
      <c r="X52" s="34">
        <f t="shared" si="17"/>
        <v>41858</v>
      </c>
      <c r="Y52" s="34">
        <f t="shared" si="17"/>
        <v>41859</v>
      </c>
      <c r="Z52" s="34">
        <f t="shared" si="17"/>
        <v>41860</v>
      </c>
      <c r="AB52" s="82">
        <f t="array" ref="AB52">IFERROR(IF(MATCH(8,DAY(T52:Z52),0),Z52,""),"")</f>
        <v>41860</v>
      </c>
      <c r="AC52" s="71">
        <f ca="1">IF(""=IFERROR(INDEX(INDIRECT("Data!C"&amp;$T$4,FALSE),MATCH(T52,Data!$A:$A,0)),$AC$6),$AC$8,IFERROR(INDEX(INDIRECT("Data!C"&amp;$T$4,FALSE),MATCH(T52,Data!$A:$A,0)),$AC$6))</f>
        <v>36</v>
      </c>
      <c r="AD52" s="71">
        <f ca="1">IF(""=IFERROR(INDEX(INDIRECT("Data!C"&amp;$T$4,FALSE),MATCH(U52,Data!$A:$A,0)),$AC$6),$AC$8,IFERROR(INDEX(INDIRECT("Data!C"&amp;$T$4,FALSE),MATCH(U52,Data!$A:$A,0)),$AC$6))</f>
        <v>291</v>
      </c>
      <c r="AE52" s="71">
        <f ca="1">IF(""=IFERROR(INDEX(INDIRECT("Data!C"&amp;$T$4,FALSE),MATCH(V52,Data!$A:$A,0)),$AC$6),$AC$8,IFERROR(INDEX(INDIRECT("Data!C"&amp;$T$4,FALSE),MATCH(V52,Data!$A:$A,0)),$AC$6))</f>
        <v>267</v>
      </c>
      <c r="AF52" s="71">
        <f ca="1">IF(""=IFERROR(INDEX(INDIRECT("Data!C"&amp;$T$4,FALSE),MATCH(W52,Data!$A:$A,0)),$AC$6),$AC$8,IFERROR(INDEX(INDIRECT("Data!C"&amp;$T$4,FALSE),MATCH(W52,Data!$A:$A,0)),$AC$6))</f>
        <v>356</v>
      </c>
      <c r="AG52" s="71">
        <f ca="1">IF(""=IFERROR(INDEX(INDIRECT("Data!C"&amp;$T$4,FALSE),MATCH(X52,Data!$A:$A,0)),$AC$6),$AC$8,IFERROR(INDEX(INDIRECT("Data!C"&amp;$T$4,FALSE),MATCH(X52,Data!$A:$A,0)),$AC$6))</f>
        <v>270</v>
      </c>
      <c r="AH52" s="71">
        <f ca="1">IF(""=IFERROR(INDEX(INDIRECT("Data!C"&amp;$T$4,FALSE),MATCH(Y52,Data!$A:$A,0)),$AC$6),$AC$8,IFERROR(INDEX(INDIRECT("Data!C"&amp;$T$4,FALSE),MATCH(Y52,Data!$A:$A,0)),$AC$6))</f>
        <v>193</v>
      </c>
      <c r="AI52" s="71">
        <f ca="1">IF(""=IFERROR(INDEX(INDIRECT("Data!C"&amp;$T$4,FALSE),MATCH(Z52,Data!$A:$A,0)),$AC$6),$AC$8,IFERROR(INDEX(INDIRECT("Data!C"&amp;$T$4,FALSE),MATCH(Z52,Data!$A:$A,0)),$AC$6))</f>
        <v>96</v>
      </c>
      <c r="AJ52" s="88">
        <f t="shared" ca="1" si="23"/>
        <v>215.57142857142858</v>
      </c>
      <c r="AL52" s="34">
        <f t="shared" si="30"/>
        <v>41854</v>
      </c>
      <c r="AM52" s="34">
        <f t="shared" si="24"/>
        <v>41855</v>
      </c>
      <c r="AN52" s="34">
        <f t="shared" si="18"/>
        <v>41856</v>
      </c>
      <c r="AO52" s="34">
        <f t="shared" si="18"/>
        <v>41857</v>
      </c>
      <c r="AP52" s="34">
        <f t="shared" si="18"/>
        <v>41858</v>
      </c>
      <c r="AQ52" s="34">
        <f t="shared" si="18"/>
        <v>41859</v>
      </c>
      <c r="AR52" s="34">
        <f t="shared" si="18"/>
        <v>41860</v>
      </c>
      <c r="AT52" s="82">
        <f t="array" ref="AT52">IFERROR(IF(MATCH(8,DAY(AL52:AR52),0),AR52,""),"")</f>
        <v>41860</v>
      </c>
      <c r="AU52" s="71">
        <f ca="1">IF(""=IFERROR(INDEX(INDIRECT("Data!C"&amp;$AL$4,FALSE),MATCH(AL52,Data!$A:$A,0)),$AU$6),$AU$8,IFERROR(INDEX(INDIRECT("Data!C"&amp;$AL$4,FALSE),MATCH(AL52,Data!$A:$A,0)),$AU$6))</f>
        <v>36</v>
      </c>
      <c r="AV52" s="71">
        <f ca="1">IF(""=IFERROR(INDEX(INDIRECT("Data!C"&amp;$AL$4,FALSE),MATCH(AM52,Data!$A:$A,0)),$AU$6),$AU$8,IFERROR(INDEX(INDIRECT("Data!C"&amp;$AL$4,FALSE),MATCH(AM52,Data!$A:$A,0)),$AU$6))</f>
        <v>291</v>
      </c>
      <c r="AW52" s="71">
        <f ca="1">IF(""=IFERROR(INDEX(INDIRECT("Data!C"&amp;$AL$4,FALSE),MATCH(AN52,Data!$A:$A,0)),$AU$6),$AU$8,IFERROR(INDEX(INDIRECT("Data!C"&amp;$AL$4,FALSE),MATCH(AN52,Data!$A:$A,0)),$AU$6))</f>
        <v>267</v>
      </c>
      <c r="AX52" s="71">
        <f ca="1">IF(""=IFERROR(INDEX(INDIRECT("Data!C"&amp;$AL$4,FALSE),MATCH(AO52,Data!$A:$A,0)),$AU$6),$AU$8,IFERROR(INDEX(INDIRECT("Data!C"&amp;$AL$4,FALSE),MATCH(AO52,Data!$A:$A,0)),$AU$6))</f>
        <v>356</v>
      </c>
      <c r="AY52" s="71">
        <f ca="1">IF(""=IFERROR(INDEX(INDIRECT("Data!C"&amp;$AL$4,FALSE),MATCH(AP52,Data!$A:$A,0)),$AU$6),$AU$8,IFERROR(INDEX(INDIRECT("Data!C"&amp;$AL$4,FALSE),MATCH(AP52,Data!$A:$A,0)),$AU$6))</f>
        <v>270</v>
      </c>
      <c r="AZ52" s="71">
        <f ca="1">IF(""=IFERROR(INDEX(INDIRECT("Data!C"&amp;$AL$4,FALSE),MATCH(AQ52,Data!$A:$A,0)),$AU$6),$AU$8,IFERROR(INDEX(INDIRECT("Data!C"&amp;$AL$4,FALSE),MATCH(AQ52,Data!$A:$A,0)),$AU$6))</f>
        <v>193</v>
      </c>
      <c r="BA52" s="71">
        <f ca="1">IF(""=IFERROR(INDEX(INDIRECT("Data!C"&amp;$AL$4,FALSE),MATCH(AR52,Data!$A:$A,0)),$AU$6),$AU$8,IFERROR(INDEX(INDIRECT("Data!C"&amp;$AL$4,FALSE),MATCH(AR52,Data!$A:$A,0)),$AU$6))</f>
        <v>96</v>
      </c>
      <c r="BB52" s="88">
        <f t="shared" ca="1" si="25"/>
        <v>215.57142857142858</v>
      </c>
      <c r="BD52" s="34">
        <f t="shared" si="31"/>
        <v>41854</v>
      </c>
      <c r="BE52" s="34">
        <f t="shared" si="26"/>
        <v>41855</v>
      </c>
      <c r="BF52" s="34">
        <f t="shared" si="19"/>
        <v>41856</v>
      </c>
      <c r="BG52" s="34">
        <f t="shared" si="19"/>
        <v>41857</v>
      </c>
      <c r="BH52" s="34">
        <f t="shared" si="19"/>
        <v>41858</v>
      </c>
      <c r="BI52" s="34">
        <f t="shared" si="19"/>
        <v>41859</v>
      </c>
      <c r="BJ52" s="34">
        <f t="shared" si="19"/>
        <v>41860</v>
      </c>
      <c r="BL52" s="82">
        <f t="array" ref="BL52">IFERROR(IF(MATCH(8,DAY(BD52:BJ52),0),BJ52,""),"")</f>
        <v>41860</v>
      </c>
      <c r="BM52" s="71">
        <f ca="1">IF(""=IFERROR(INDEX(INDIRECT("Data!C"&amp;$BD$4,FALSE),MATCH(BD52,Data!$A:$A,0)),$BM$6),$BM$8,IFERROR(INDEX(INDIRECT("Data!C"&amp;$BD$4,FALSE),MATCH(BD52,Data!$A:$A,0)),$BM$6))</f>
        <v>36</v>
      </c>
      <c r="BN52" s="71">
        <f ca="1">IF(""=IFERROR(INDEX(INDIRECT("Data!C"&amp;$BD$4,FALSE),MATCH(BE52,Data!$A:$A,0)),$BM$6),$BM$8,IFERROR(INDEX(INDIRECT("Data!C"&amp;$BD$4,FALSE),MATCH(BE52,Data!$A:$A,0)),$BM$6))</f>
        <v>291</v>
      </c>
      <c r="BO52" s="71">
        <f ca="1">IF(""=IFERROR(INDEX(INDIRECT("Data!C"&amp;$BD$4,FALSE),MATCH(BF52,Data!$A:$A,0)),$BM$6),$BM$8,IFERROR(INDEX(INDIRECT("Data!C"&amp;$BD$4,FALSE),MATCH(BF52,Data!$A:$A,0)),$BM$6))</f>
        <v>267</v>
      </c>
      <c r="BP52" s="71">
        <f ca="1">IF(""=IFERROR(INDEX(INDIRECT("Data!C"&amp;$BD$4,FALSE),MATCH(BG52,Data!$A:$A,0)),$BM$6),$BM$8,IFERROR(INDEX(INDIRECT("Data!C"&amp;$BD$4,FALSE),MATCH(BG52,Data!$A:$A,0)),$BM$6))</f>
        <v>356</v>
      </c>
      <c r="BQ52" s="71">
        <f ca="1">IF(""=IFERROR(INDEX(INDIRECT("Data!C"&amp;$BD$4,FALSE),MATCH(BH52,Data!$A:$A,0)),$BM$6),$BM$8,IFERROR(INDEX(INDIRECT("Data!C"&amp;$BD$4,FALSE),MATCH(BH52,Data!$A:$A,0)),$BM$6))</f>
        <v>270</v>
      </c>
      <c r="BR52" s="71">
        <f ca="1">IF(""=IFERROR(INDEX(INDIRECT("Data!C"&amp;$BD$4,FALSE),MATCH(BI52,Data!$A:$A,0)),$BM$6),$BM$8,IFERROR(INDEX(INDIRECT("Data!C"&amp;$BD$4,FALSE),MATCH(BI52,Data!$A:$A,0)),$BM$6))</f>
        <v>193</v>
      </c>
      <c r="BS52" s="71">
        <f ca="1">IF(""=IFERROR(INDEX(INDIRECT("Data!C"&amp;$BD$4,FALSE),MATCH(BJ52,Data!$A:$A,0)),$BM$6),$BM$8,IFERROR(INDEX(INDIRECT("Data!C"&amp;$BD$4,FALSE),MATCH(BJ52,Data!$A:$A,0)),$BM$6))</f>
        <v>96</v>
      </c>
      <c r="BT52" s="88">
        <f t="shared" ca="1" si="27"/>
        <v>215.57142857142858</v>
      </c>
    </row>
    <row r="53" spans="2:72" ht="12" customHeight="1" x14ac:dyDescent="0.2">
      <c r="B53" s="34">
        <f t="shared" si="28"/>
        <v>41861</v>
      </c>
      <c r="C53" s="34">
        <f t="shared" si="32"/>
        <v>41862</v>
      </c>
      <c r="D53" s="34">
        <f t="shared" si="32"/>
        <v>41863</v>
      </c>
      <c r="E53" s="34">
        <f t="shared" si="32"/>
        <v>41864</v>
      </c>
      <c r="F53" s="34">
        <f t="shared" si="32"/>
        <v>41865</v>
      </c>
      <c r="G53" s="34">
        <f t="shared" si="32"/>
        <v>41866</v>
      </c>
      <c r="H53" s="34">
        <f t="shared" si="32"/>
        <v>41867</v>
      </c>
      <c r="J53" s="82" t="str">
        <f t="array" ref="J53">IFERROR(IF(MATCH(8,DAY(B53:H53),0),H53,""),"")</f>
        <v/>
      </c>
      <c r="K53" s="71">
        <f ca="1">IF(""=IFERROR(INDEX(INDIRECT("Data!C"&amp;$B$4,FALSE),MATCH(B53,Data!$A:$A,0)),$K$6),$K$8,IFERROR(INDEX(INDIRECT("Data!C"&amp;$B$4,FALSE),MATCH(B53,Data!$A:$A,0)),$K$6))</f>
        <v>42</v>
      </c>
      <c r="L53" s="71">
        <f ca="1">IF(""=IFERROR(INDEX(INDIRECT("Data!C"&amp;$B$4,FALSE),MATCH(C53,Data!$A:$A,0)),$K$6),$K$8,IFERROR(INDEX(INDIRECT("Data!C"&amp;$B$4,FALSE),MATCH(C53,Data!$A:$A,0)),$K$6))</f>
        <v>456</v>
      </c>
      <c r="M53" s="71">
        <f ca="1">IF(""=IFERROR(INDEX(INDIRECT("Data!C"&amp;$B$4,FALSE),MATCH(D53,Data!$A:$A,0)),$K$6),$K$8,IFERROR(INDEX(INDIRECT("Data!C"&amp;$B$4,FALSE),MATCH(D53,Data!$A:$A,0)),$K$6))</f>
        <v>396</v>
      </c>
      <c r="N53" s="71">
        <f ca="1">IF(""=IFERROR(INDEX(INDIRECT("Data!C"&amp;$B$4,FALSE),MATCH(E53,Data!$A:$A,0)),$K$6),$K$8,IFERROR(INDEX(INDIRECT("Data!C"&amp;$B$4,FALSE),MATCH(E53,Data!$A:$A,0)),$K$6))</f>
        <v>321</v>
      </c>
      <c r="O53" s="71">
        <f ca="1">IF(""=IFERROR(INDEX(INDIRECT("Data!C"&amp;$B$4,FALSE),MATCH(F53,Data!$A:$A,0)),$K$6),$K$8,IFERROR(INDEX(INDIRECT("Data!C"&amp;$B$4,FALSE),MATCH(F53,Data!$A:$A,0)),$K$6))</f>
        <v>249</v>
      </c>
      <c r="P53" s="71">
        <f ca="1">IF(""=IFERROR(INDEX(INDIRECT("Data!C"&amp;$B$4,FALSE),MATCH(G53,Data!$A:$A,0)),$K$6),$K$8,IFERROR(INDEX(INDIRECT("Data!C"&amp;$B$4,FALSE),MATCH(G53,Data!$A:$A,0)),$K$6))</f>
        <v>205</v>
      </c>
      <c r="Q53" s="71">
        <f ca="1">IF(""=IFERROR(INDEX(INDIRECT("Data!C"&amp;$B$4,FALSE),MATCH(H53,Data!$A:$A,0)),$K$6),$K$8,IFERROR(INDEX(INDIRECT("Data!C"&amp;$B$4,FALSE),MATCH(H53,Data!$A:$A,0)),$K$6))</f>
        <v>66</v>
      </c>
      <c r="R53" s="88">
        <f t="shared" ca="1" si="21"/>
        <v>247.85714285714286</v>
      </c>
      <c r="T53" s="34">
        <f t="shared" si="29"/>
        <v>41861</v>
      </c>
      <c r="U53" s="34">
        <f t="shared" si="22"/>
        <v>41862</v>
      </c>
      <c r="V53" s="34">
        <f t="shared" si="17"/>
        <v>41863</v>
      </c>
      <c r="W53" s="34">
        <f t="shared" si="17"/>
        <v>41864</v>
      </c>
      <c r="X53" s="34">
        <f t="shared" si="17"/>
        <v>41865</v>
      </c>
      <c r="Y53" s="34">
        <f t="shared" si="17"/>
        <v>41866</v>
      </c>
      <c r="Z53" s="34">
        <f t="shared" si="17"/>
        <v>41867</v>
      </c>
      <c r="AB53" s="82" t="str">
        <f t="array" ref="AB53">IFERROR(IF(MATCH(8,DAY(T53:Z53),0),Z53,""),"")</f>
        <v/>
      </c>
      <c r="AC53" s="71">
        <f ca="1">IF(""=IFERROR(INDEX(INDIRECT("Data!C"&amp;$T$4,FALSE),MATCH(T53,Data!$A:$A,0)),$AC$6),$AC$8,IFERROR(INDEX(INDIRECT("Data!C"&amp;$T$4,FALSE),MATCH(T53,Data!$A:$A,0)),$AC$6))</f>
        <v>42</v>
      </c>
      <c r="AD53" s="71">
        <f ca="1">IF(""=IFERROR(INDEX(INDIRECT("Data!C"&amp;$T$4,FALSE),MATCH(U53,Data!$A:$A,0)),$AC$6),$AC$8,IFERROR(INDEX(INDIRECT("Data!C"&amp;$T$4,FALSE),MATCH(U53,Data!$A:$A,0)),$AC$6))</f>
        <v>456</v>
      </c>
      <c r="AE53" s="71">
        <f ca="1">IF(""=IFERROR(INDEX(INDIRECT("Data!C"&amp;$T$4,FALSE),MATCH(V53,Data!$A:$A,0)),$AC$6),$AC$8,IFERROR(INDEX(INDIRECT("Data!C"&amp;$T$4,FALSE),MATCH(V53,Data!$A:$A,0)),$AC$6))</f>
        <v>396</v>
      </c>
      <c r="AF53" s="71">
        <f ca="1">IF(""=IFERROR(INDEX(INDIRECT("Data!C"&amp;$T$4,FALSE),MATCH(W53,Data!$A:$A,0)),$AC$6),$AC$8,IFERROR(INDEX(INDIRECT("Data!C"&amp;$T$4,FALSE),MATCH(W53,Data!$A:$A,0)),$AC$6))</f>
        <v>321</v>
      </c>
      <c r="AG53" s="71">
        <f ca="1">IF(""=IFERROR(INDEX(INDIRECT("Data!C"&amp;$T$4,FALSE),MATCH(X53,Data!$A:$A,0)),$AC$6),$AC$8,IFERROR(INDEX(INDIRECT("Data!C"&amp;$T$4,FALSE),MATCH(X53,Data!$A:$A,0)),$AC$6))</f>
        <v>249</v>
      </c>
      <c r="AH53" s="71">
        <f ca="1">IF(""=IFERROR(INDEX(INDIRECT("Data!C"&amp;$T$4,FALSE),MATCH(Y53,Data!$A:$A,0)),$AC$6),$AC$8,IFERROR(INDEX(INDIRECT("Data!C"&amp;$T$4,FALSE),MATCH(Y53,Data!$A:$A,0)),$AC$6))</f>
        <v>205</v>
      </c>
      <c r="AI53" s="71">
        <f ca="1">IF(""=IFERROR(INDEX(INDIRECT("Data!C"&amp;$T$4,FALSE),MATCH(Z53,Data!$A:$A,0)),$AC$6),$AC$8,IFERROR(INDEX(INDIRECT("Data!C"&amp;$T$4,FALSE),MATCH(Z53,Data!$A:$A,0)),$AC$6))</f>
        <v>66</v>
      </c>
      <c r="AJ53" s="88">
        <f t="shared" ca="1" si="23"/>
        <v>247.85714285714286</v>
      </c>
      <c r="AL53" s="34">
        <f t="shared" si="30"/>
        <v>41861</v>
      </c>
      <c r="AM53" s="34">
        <f t="shared" si="24"/>
        <v>41862</v>
      </c>
      <c r="AN53" s="34">
        <f t="shared" si="18"/>
        <v>41863</v>
      </c>
      <c r="AO53" s="34">
        <f t="shared" si="18"/>
        <v>41864</v>
      </c>
      <c r="AP53" s="34">
        <f t="shared" si="18"/>
        <v>41865</v>
      </c>
      <c r="AQ53" s="34">
        <f t="shared" si="18"/>
        <v>41866</v>
      </c>
      <c r="AR53" s="34">
        <f t="shared" si="18"/>
        <v>41867</v>
      </c>
      <c r="AT53" s="82" t="str">
        <f t="array" ref="AT53">IFERROR(IF(MATCH(8,DAY(AL53:AR53),0),AR53,""),"")</f>
        <v/>
      </c>
      <c r="AU53" s="71">
        <f ca="1">IF(""=IFERROR(INDEX(INDIRECT("Data!C"&amp;$AL$4,FALSE),MATCH(AL53,Data!$A:$A,0)),$AU$6),$AU$8,IFERROR(INDEX(INDIRECT("Data!C"&amp;$AL$4,FALSE),MATCH(AL53,Data!$A:$A,0)),$AU$6))</f>
        <v>42</v>
      </c>
      <c r="AV53" s="71">
        <f ca="1">IF(""=IFERROR(INDEX(INDIRECT("Data!C"&amp;$AL$4,FALSE),MATCH(AM53,Data!$A:$A,0)),$AU$6),$AU$8,IFERROR(INDEX(INDIRECT("Data!C"&amp;$AL$4,FALSE),MATCH(AM53,Data!$A:$A,0)),$AU$6))</f>
        <v>456</v>
      </c>
      <c r="AW53" s="71">
        <f ca="1">IF(""=IFERROR(INDEX(INDIRECT("Data!C"&amp;$AL$4,FALSE),MATCH(AN53,Data!$A:$A,0)),$AU$6),$AU$8,IFERROR(INDEX(INDIRECT("Data!C"&amp;$AL$4,FALSE),MATCH(AN53,Data!$A:$A,0)),$AU$6))</f>
        <v>396</v>
      </c>
      <c r="AX53" s="71">
        <f ca="1">IF(""=IFERROR(INDEX(INDIRECT("Data!C"&amp;$AL$4,FALSE),MATCH(AO53,Data!$A:$A,0)),$AU$6),$AU$8,IFERROR(INDEX(INDIRECT("Data!C"&amp;$AL$4,FALSE),MATCH(AO53,Data!$A:$A,0)),$AU$6))</f>
        <v>321</v>
      </c>
      <c r="AY53" s="71">
        <f ca="1">IF(""=IFERROR(INDEX(INDIRECT("Data!C"&amp;$AL$4,FALSE),MATCH(AP53,Data!$A:$A,0)),$AU$6),$AU$8,IFERROR(INDEX(INDIRECT("Data!C"&amp;$AL$4,FALSE),MATCH(AP53,Data!$A:$A,0)),$AU$6))</f>
        <v>249</v>
      </c>
      <c r="AZ53" s="71">
        <f ca="1">IF(""=IFERROR(INDEX(INDIRECT("Data!C"&amp;$AL$4,FALSE),MATCH(AQ53,Data!$A:$A,0)),$AU$6),$AU$8,IFERROR(INDEX(INDIRECT("Data!C"&amp;$AL$4,FALSE),MATCH(AQ53,Data!$A:$A,0)),$AU$6))</f>
        <v>205</v>
      </c>
      <c r="BA53" s="71">
        <f ca="1">IF(""=IFERROR(INDEX(INDIRECT("Data!C"&amp;$AL$4,FALSE),MATCH(AR53,Data!$A:$A,0)),$AU$6),$AU$8,IFERROR(INDEX(INDIRECT("Data!C"&amp;$AL$4,FALSE),MATCH(AR53,Data!$A:$A,0)),$AU$6))</f>
        <v>66</v>
      </c>
      <c r="BB53" s="88">
        <f t="shared" ca="1" si="25"/>
        <v>247.85714285714286</v>
      </c>
      <c r="BD53" s="34">
        <f t="shared" si="31"/>
        <v>41861</v>
      </c>
      <c r="BE53" s="34">
        <f t="shared" si="26"/>
        <v>41862</v>
      </c>
      <c r="BF53" s="34">
        <f t="shared" si="19"/>
        <v>41863</v>
      </c>
      <c r="BG53" s="34">
        <f t="shared" si="19"/>
        <v>41864</v>
      </c>
      <c r="BH53" s="34">
        <f t="shared" si="19"/>
        <v>41865</v>
      </c>
      <c r="BI53" s="34">
        <f t="shared" si="19"/>
        <v>41866</v>
      </c>
      <c r="BJ53" s="34">
        <f t="shared" si="19"/>
        <v>41867</v>
      </c>
      <c r="BL53" s="82" t="str">
        <f t="array" ref="BL53">IFERROR(IF(MATCH(8,DAY(BD53:BJ53),0),BJ53,""),"")</f>
        <v/>
      </c>
      <c r="BM53" s="71">
        <f ca="1">IF(""=IFERROR(INDEX(INDIRECT("Data!C"&amp;$BD$4,FALSE),MATCH(BD53,Data!$A:$A,0)),$BM$6),$BM$8,IFERROR(INDEX(INDIRECT("Data!C"&amp;$BD$4,FALSE),MATCH(BD53,Data!$A:$A,0)),$BM$6))</f>
        <v>42</v>
      </c>
      <c r="BN53" s="71">
        <f ca="1">IF(""=IFERROR(INDEX(INDIRECT("Data!C"&amp;$BD$4,FALSE),MATCH(BE53,Data!$A:$A,0)),$BM$6),$BM$8,IFERROR(INDEX(INDIRECT("Data!C"&amp;$BD$4,FALSE),MATCH(BE53,Data!$A:$A,0)),$BM$6))</f>
        <v>456</v>
      </c>
      <c r="BO53" s="71">
        <f ca="1">IF(""=IFERROR(INDEX(INDIRECT("Data!C"&amp;$BD$4,FALSE),MATCH(BF53,Data!$A:$A,0)),$BM$6),$BM$8,IFERROR(INDEX(INDIRECT("Data!C"&amp;$BD$4,FALSE),MATCH(BF53,Data!$A:$A,0)),$BM$6))</f>
        <v>396</v>
      </c>
      <c r="BP53" s="71">
        <f ca="1">IF(""=IFERROR(INDEX(INDIRECT("Data!C"&amp;$BD$4,FALSE),MATCH(BG53,Data!$A:$A,0)),$BM$6),$BM$8,IFERROR(INDEX(INDIRECT("Data!C"&amp;$BD$4,FALSE),MATCH(BG53,Data!$A:$A,0)),$BM$6))</f>
        <v>321</v>
      </c>
      <c r="BQ53" s="71">
        <f ca="1">IF(""=IFERROR(INDEX(INDIRECT("Data!C"&amp;$BD$4,FALSE),MATCH(BH53,Data!$A:$A,0)),$BM$6),$BM$8,IFERROR(INDEX(INDIRECT("Data!C"&amp;$BD$4,FALSE),MATCH(BH53,Data!$A:$A,0)),$BM$6))</f>
        <v>249</v>
      </c>
      <c r="BR53" s="71">
        <f ca="1">IF(""=IFERROR(INDEX(INDIRECT("Data!C"&amp;$BD$4,FALSE),MATCH(BI53,Data!$A:$A,0)),$BM$6),$BM$8,IFERROR(INDEX(INDIRECT("Data!C"&amp;$BD$4,FALSE),MATCH(BI53,Data!$A:$A,0)),$BM$6))</f>
        <v>205</v>
      </c>
      <c r="BS53" s="71">
        <f ca="1">IF(""=IFERROR(INDEX(INDIRECT("Data!C"&amp;$BD$4,FALSE),MATCH(BJ53,Data!$A:$A,0)),$BM$6),$BM$8,IFERROR(INDEX(INDIRECT("Data!C"&amp;$BD$4,FALSE),MATCH(BJ53,Data!$A:$A,0)),$BM$6))</f>
        <v>66</v>
      </c>
      <c r="BT53" s="88">
        <f t="shared" ca="1" si="27"/>
        <v>247.85714285714286</v>
      </c>
    </row>
    <row r="54" spans="2:72" ht="12" customHeight="1" x14ac:dyDescent="0.2">
      <c r="B54" s="34">
        <f t="shared" si="28"/>
        <v>41868</v>
      </c>
      <c r="C54" s="34">
        <f t="shared" ref="C54:H69" si="33">B54+1</f>
        <v>41869</v>
      </c>
      <c r="D54" s="34">
        <f t="shared" si="33"/>
        <v>41870</v>
      </c>
      <c r="E54" s="34">
        <f t="shared" si="33"/>
        <v>41871</v>
      </c>
      <c r="F54" s="34">
        <f t="shared" si="33"/>
        <v>41872</v>
      </c>
      <c r="G54" s="34">
        <f t="shared" si="33"/>
        <v>41873</v>
      </c>
      <c r="H54" s="34">
        <f t="shared" si="33"/>
        <v>41874</v>
      </c>
      <c r="J54" s="82" t="str">
        <f t="array" ref="J54">IFERROR(IF(MATCH(8,DAY(B54:H54),0),H54,""),"")</f>
        <v/>
      </c>
      <c r="K54" s="71">
        <f ca="1">IF(""=IFERROR(INDEX(INDIRECT("Data!C"&amp;$B$4,FALSE),MATCH(B54,Data!$A:$A,0)),$K$6),$K$8,IFERROR(INDEX(INDIRECT("Data!C"&amp;$B$4,FALSE),MATCH(B54,Data!$A:$A,0)),$K$6))</f>
        <v>30</v>
      </c>
      <c r="L54" s="71">
        <f ca="1">IF(""=IFERROR(INDEX(INDIRECT("Data!C"&amp;$B$4,FALSE),MATCH(C54,Data!$A:$A,0)),$K$6),$K$8,IFERROR(INDEX(INDIRECT("Data!C"&amp;$B$4,FALSE),MATCH(C54,Data!$A:$A,0)),$K$6))</f>
        <v>414</v>
      </c>
      <c r="M54" s="71">
        <f ca="1">IF(""=IFERROR(INDEX(INDIRECT("Data!C"&amp;$B$4,FALSE),MATCH(D54,Data!$A:$A,0)),$K$6),$K$8,IFERROR(INDEX(INDIRECT("Data!C"&amp;$B$4,FALSE),MATCH(D54,Data!$A:$A,0)),$K$6))</f>
        <v>306</v>
      </c>
      <c r="N54" s="71">
        <f ca="1">IF(""=IFERROR(INDEX(INDIRECT("Data!C"&amp;$B$4,FALSE),MATCH(E54,Data!$A:$A,0)),$K$6),$K$8,IFERROR(INDEX(INDIRECT("Data!C"&amp;$B$4,FALSE),MATCH(E54,Data!$A:$A,0)),$K$6))</f>
        <v>320</v>
      </c>
      <c r="O54" s="71">
        <f ca="1">IF(""=IFERROR(INDEX(INDIRECT("Data!C"&amp;$B$4,FALSE),MATCH(F54,Data!$A:$A,0)),$K$6),$K$8,IFERROR(INDEX(INDIRECT("Data!C"&amp;$B$4,FALSE),MATCH(F54,Data!$A:$A,0)),$K$6))</f>
        <v>313</v>
      </c>
      <c r="P54" s="71">
        <f ca="1">IF(""=IFERROR(INDEX(INDIRECT("Data!C"&amp;$B$4,FALSE),MATCH(G54,Data!$A:$A,0)),$K$6),$K$8,IFERROR(INDEX(INDIRECT("Data!C"&amp;$B$4,FALSE),MATCH(G54,Data!$A:$A,0)),$K$6))</f>
        <v>285</v>
      </c>
      <c r="Q54" s="71">
        <f ca="1">IF(""=IFERROR(INDEX(INDIRECT("Data!C"&amp;$B$4,FALSE),MATCH(H54,Data!$A:$A,0)),$K$6),$K$8,IFERROR(INDEX(INDIRECT("Data!C"&amp;$B$4,FALSE),MATCH(H54,Data!$A:$A,0)),$K$6))</f>
        <v>75</v>
      </c>
      <c r="R54" s="88">
        <f t="shared" ca="1" si="21"/>
        <v>249</v>
      </c>
      <c r="T54" s="34">
        <f t="shared" si="29"/>
        <v>41868</v>
      </c>
      <c r="U54" s="34">
        <f t="shared" si="22"/>
        <v>41869</v>
      </c>
      <c r="V54" s="34">
        <f t="shared" si="17"/>
        <v>41870</v>
      </c>
      <c r="W54" s="34">
        <f t="shared" si="17"/>
        <v>41871</v>
      </c>
      <c r="X54" s="34">
        <f t="shared" si="17"/>
        <v>41872</v>
      </c>
      <c r="Y54" s="34">
        <f t="shared" si="17"/>
        <v>41873</v>
      </c>
      <c r="Z54" s="34">
        <f t="shared" si="17"/>
        <v>41874</v>
      </c>
      <c r="AB54" s="82" t="str">
        <f t="array" ref="AB54">IFERROR(IF(MATCH(8,DAY(T54:Z54),0),Z54,""),"")</f>
        <v/>
      </c>
      <c r="AC54" s="71">
        <f ca="1">IF(""=IFERROR(INDEX(INDIRECT("Data!C"&amp;$T$4,FALSE),MATCH(T54,Data!$A:$A,0)),$AC$6),$AC$8,IFERROR(INDEX(INDIRECT("Data!C"&amp;$T$4,FALSE),MATCH(T54,Data!$A:$A,0)),$AC$6))</f>
        <v>30</v>
      </c>
      <c r="AD54" s="71">
        <f ca="1">IF(""=IFERROR(INDEX(INDIRECT("Data!C"&amp;$T$4,FALSE),MATCH(U54,Data!$A:$A,0)),$AC$6),$AC$8,IFERROR(INDEX(INDIRECT("Data!C"&amp;$T$4,FALSE),MATCH(U54,Data!$A:$A,0)),$AC$6))</f>
        <v>414</v>
      </c>
      <c r="AE54" s="71">
        <f ca="1">IF(""=IFERROR(INDEX(INDIRECT("Data!C"&amp;$T$4,FALSE),MATCH(V54,Data!$A:$A,0)),$AC$6),$AC$8,IFERROR(INDEX(INDIRECT("Data!C"&amp;$T$4,FALSE),MATCH(V54,Data!$A:$A,0)),$AC$6))</f>
        <v>306</v>
      </c>
      <c r="AF54" s="71">
        <f ca="1">IF(""=IFERROR(INDEX(INDIRECT("Data!C"&amp;$T$4,FALSE),MATCH(W54,Data!$A:$A,0)),$AC$6),$AC$8,IFERROR(INDEX(INDIRECT("Data!C"&amp;$T$4,FALSE),MATCH(W54,Data!$A:$A,0)),$AC$6))</f>
        <v>320</v>
      </c>
      <c r="AG54" s="71">
        <f ca="1">IF(""=IFERROR(INDEX(INDIRECT("Data!C"&amp;$T$4,FALSE),MATCH(X54,Data!$A:$A,0)),$AC$6),$AC$8,IFERROR(INDEX(INDIRECT("Data!C"&amp;$T$4,FALSE),MATCH(X54,Data!$A:$A,0)),$AC$6))</f>
        <v>313</v>
      </c>
      <c r="AH54" s="71">
        <f ca="1">IF(""=IFERROR(INDEX(INDIRECT("Data!C"&amp;$T$4,FALSE),MATCH(Y54,Data!$A:$A,0)),$AC$6),$AC$8,IFERROR(INDEX(INDIRECT("Data!C"&amp;$T$4,FALSE),MATCH(Y54,Data!$A:$A,0)),$AC$6))</f>
        <v>285</v>
      </c>
      <c r="AI54" s="71">
        <f ca="1">IF(""=IFERROR(INDEX(INDIRECT("Data!C"&amp;$T$4,FALSE),MATCH(Z54,Data!$A:$A,0)),$AC$6),$AC$8,IFERROR(INDEX(INDIRECT("Data!C"&amp;$T$4,FALSE),MATCH(Z54,Data!$A:$A,0)),$AC$6))</f>
        <v>75</v>
      </c>
      <c r="AJ54" s="88">
        <f t="shared" ca="1" si="23"/>
        <v>249</v>
      </c>
      <c r="AL54" s="34">
        <f t="shared" si="30"/>
        <v>41868</v>
      </c>
      <c r="AM54" s="34">
        <f t="shared" si="24"/>
        <v>41869</v>
      </c>
      <c r="AN54" s="34">
        <f t="shared" si="18"/>
        <v>41870</v>
      </c>
      <c r="AO54" s="34">
        <f t="shared" si="18"/>
        <v>41871</v>
      </c>
      <c r="AP54" s="34">
        <f t="shared" si="18"/>
        <v>41872</v>
      </c>
      <c r="AQ54" s="34">
        <f t="shared" si="18"/>
        <v>41873</v>
      </c>
      <c r="AR54" s="34">
        <f t="shared" si="18"/>
        <v>41874</v>
      </c>
      <c r="AT54" s="82" t="str">
        <f t="array" ref="AT54">IFERROR(IF(MATCH(8,DAY(AL54:AR54),0),AR54,""),"")</f>
        <v/>
      </c>
      <c r="AU54" s="71">
        <f ca="1">IF(""=IFERROR(INDEX(INDIRECT("Data!C"&amp;$AL$4,FALSE),MATCH(AL54,Data!$A:$A,0)),$AU$6),$AU$8,IFERROR(INDEX(INDIRECT("Data!C"&amp;$AL$4,FALSE),MATCH(AL54,Data!$A:$A,0)),$AU$6))</f>
        <v>30</v>
      </c>
      <c r="AV54" s="71">
        <f ca="1">IF(""=IFERROR(INDEX(INDIRECT("Data!C"&amp;$AL$4,FALSE),MATCH(AM54,Data!$A:$A,0)),$AU$6),$AU$8,IFERROR(INDEX(INDIRECT("Data!C"&amp;$AL$4,FALSE),MATCH(AM54,Data!$A:$A,0)),$AU$6))</f>
        <v>414</v>
      </c>
      <c r="AW54" s="71">
        <f ca="1">IF(""=IFERROR(INDEX(INDIRECT("Data!C"&amp;$AL$4,FALSE),MATCH(AN54,Data!$A:$A,0)),$AU$6),$AU$8,IFERROR(INDEX(INDIRECT("Data!C"&amp;$AL$4,FALSE),MATCH(AN54,Data!$A:$A,0)),$AU$6))</f>
        <v>306</v>
      </c>
      <c r="AX54" s="71">
        <f ca="1">IF(""=IFERROR(INDEX(INDIRECT("Data!C"&amp;$AL$4,FALSE),MATCH(AO54,Data!$A:$A,0)),$AU$6),$AU$8,IFERROR(INDEX(INDIRECT("Data!C"&amp;$AL$4,FALSE),MATCH(AO54,Data!$A:$A,0)),$AU$6))</f>
        <v>320</v>
      </c>
      <c r="AY54" s="71">
        <f ca="1">IF(""=IFERROR(INDEX(INDIRECT("Data!C"&amp;$AL$4,FALSE),MATCH(AP54,Data!$A:$A,0)),$AU$6),$AU$8,IFERROR(INDEX(INDIRECT("Data!C"&amp;$AL$4,FALSE),MATCH(AP54,Data!$A:$A,0)),$AU$6))</f>
        <v>313</v>
      </c>
      <c r="AZ54" s="71">
        <f ca="1">IF(""=IFERROR(INDEX(INDIRECT("Data!C"&amp;$AL$4,FALSE),MATCH(AQ54,Data!$A:$A,0)),$AU$6),$AU$8,IFERROR(INDEX(INDIRECT("Data!C"&amp;$AL$4,FALSE),MATCH(AQ54,Data!$A:$A,0)),$AU$6))</f>
        <v>285</v>
      </c>
      <c r="BA54" s="71">
        <f ca="1">IF(""=IFERROR(INDEX(INDIRECT("Data!C"&amp;$AL$4,FALSE),MATCH(AR54,Data!$A:$A,0)),$AU$6),$AU$8,IFERROR(INDEX(INDIRECT("Data!C"&amp;$AL$4,FALSE),MATCH(AR54,Data!$A:$A,0)),$AU$6))</f>
        <v>75</v>
      </c>
      <c r="BB54" s="88">
        <f t="shared" ca="1" si="25"/>
        <v>249</v>
      </c>
      <c r="BD54" s="34">
        <f t="shared" si="31"/>
        <v>41868</v>
      </c>
      <c r="BE54" s="34">
        <f t="shared" si="26"/>
        <v>41869</v>
      </c>
      <c r="BF54" s="34">
        <f t="shared" si="19"/>
        <v>41870</v>
      </c>
      <c r="BG54" s="34">
        <f t="shared" si="19"/>
        <v>41871</v>
      </c>
      <c r="BH54" s="34">
        <f t="shared" si="19"/>
        <v>41872</v>
      </c>
      <c r="BI54" s="34">
        <f t="shared" si="19"/>
        <v>41873</v>
      </c>
      <c r="BJ54" s="34">
        <f t="shared" si="19"/>
        <v>41874</v>
      </c>
      <c r="BL54" s="82" t="str">
        <f t="array" ref="BL54">IFERROR(IF(MATCH(8,DAY(BD54:BJ54),0),BJ54,""),"")</f>
        <v/>
      </c>
      <c r="BM54" s="71">
        <f ca="1">IF(""=IFERROR(INDEX(INDIRECT("Data!C"&amp;$BD$4,FALSE),MATCH(BD54,Data!$A:$A,0)),$BM$6),$BM$8,IFERROR(INDEX(INDIRECT("Data!C"&amp;$BD$4,FALSE),MATCH(BD54,Data!$A:$A,0)),$BM$6))</f>
        <v>30</v>
      </c>
      <c r="BN54" s="71">
        <f ca="1">IF(""=IFERROR(INDEX(INDIRECT("Data!C"&amp;$BD$4,FALSE),MATCH(BE54,Data!$A:$A,0)),$BM$6),$BM$8,IFERROR(INDEX(INDIRECT("Data!C"&amp;$BD$4,FALSE),MATCH(BE54,Data!$A:$A,0)),$BM$6))</f>
        <v>414</v>
      </c>
      <c r="BO54" s="71">
        <f ca="1">IF(""=IFERROR(INDEX(INDIRECT("Data!C"&amp;$BD$4,FALSE),MATCH(BF54,Data!$A:$A,0)),$BM$6),$BM$8,IFERROR(INDEX(INDIRECT("Data!C"&amp;$BD$4,FALSE),MATCH(BF54,Data!$A:$A,0)),$BM$6))</f>
        <v>306</v>
      </c>
      <c r="BP54" s="71">
        <f ca="1">IF(""=IFERROR(INDEX(INDIRECT("Data!C"&amp;$BD$4,FALSE),MATCH(BG54,Data!$A:$A,0)),$BM$6),$BM$8,IFERROR(INDEX(INDIRECT("Data!C"&amp;$BD$4,FALSE),MATCH(BG54,Data!$A:$A,0)),$BM$6))</f>
        <v>320</v>
      </c>
      <c r="BQ54" s="71">
        <f ca="1">IF(""=IFERROR(INDEX(INDIRECT("Data!C"&amp;$BD$4,FALSE),MATCH(BH54,Data!$A:$A,0)),$BM$6),$BM$8,IFERROR(INDEX(INDIRECT("Data!C"&amp;$BD$4,FALSE),MATCH(BH54,Data!$A:$A,0)),$BM$6))</f>
        <v>313</v>
      </c>
      <c r="BR54" s="71">
        <f ca="1">IF(""=IFERROR(INDEX(INDIRECT("Data!C"&amp;$BD$4,FALSE),MATCH(BI54,Data!$A:$A,0)),$BM$6),$BM$8,IFERROR(INDEX(INDIRECT("Data!C"&amp;$BD$4,FALSE),MATCH(BI54,Data!$A:$A,0)),$BM$6))</f>
        <v>285</v>
      </c>
      <c r="BS54" s="71">
        <f ca="1">IF(""=IFERROR(INDEX(INDIRECT("Data!C"&amp;$BD$4,FALSE),MATCH(BJ54,Data!$A:$A,0)),$BM$6),$BM$8,IFERROR(INDEX(INDIRECT("Data!C"&amp;$BD$4,FALSE),MATCH(BJ54,Data!$A:$A,0)),$BM$6))</f>
        <v>75</v>
      </c>
      <c r="BT54" s="88">
        <f t="shared" ca="1" si="27"/>
        <v>249</v>
      </c>
    </row>
    <row r="55" spans="2:72" ht="12" customHeight="1" x14ac:dyDescent="0.2">
      <c r="B55" s="34">
        <f t="shared" si="28"/>
        <v>41875</v>
      </c>
      <c r="C55" s="34">
        <f t="shared" si="33"/>
        <v>41876</v>
      </c>
      <c r="D55" s="34">
        <f t="shared" si="33"/>
        <v>41877</v>
      </c>
      <c r="E55" s="34">
        <f t="shared" si="33"/>
        <v>41878</v>
      </c>
      <c r="F55" s="34">
        <f t="shared" si="33"/>
        <v>41879</v>
      </c>
      <c r="G55" s="34">
        <f t="shared" si="33"/>
        <v>41880</v>
      </c>
      <c r="H55" s="34">
        <f t="shared" si="33"/>
        <v>41881</v>
      </c>
      <c r="J55" s="82" t="str">
        <f t="array" ref="J55">IFERROR(IF(MATCH(8,DAY(B55:H55),0),H55,""),"")</f>
        <v/>
      </c>
      <c r="K55" s="71">
        <f ca="1">IF(""=IFERROR(INDEX(INDIRECT("Data!C"&amp;$B$4,FALSE),MATCH(B55,Data!$A:$A,0)),$K$6),$K$8,IFERROR(INDEX(INDIRECT("Data!C"&amp;$B$4,FALSE),MATCH(B55,Data!$A:$A,0)),$K$6))</f>
        <v>44</v>
      </c>
      <c r="L55" s="71">
        <f ca="1">IF(""=IFERROR(INDEX(INDIRECT("Data!C"&amp;$B$4,FALSE),MATCH(C55,Data!$A:$A,0)),$K$6),$K$8,IFERROR(INDEX(INDIRECT("Data!C"&amp;$B$4,FALSE),MATCH(C55,Data!$A:$A,0)),$K$6))</f>
        <v>410</v>
      </c>
      <c r="M55" s="71">
        <f ca="1">IF(""=IFERROR(INDEX(INDIRECT("Data!C"&amp;$B$4,FALSE),MATCH(D55,Data!$A:$A,0)),$K$6),$K$8,IFERROR(INDEX(INDIRECT("Data!C"&amp;$B$4,FALSE),MATCH(D55,Data!$A:$A,0)),$K$6))</f>
        <v>270</v>
      </c>
      <c r="N55" s="71">
        <f ca="1">IF(""=IFERROR(INDEX(INDIRECT("Data!C"&amp;$B$4,FALSE),MATCH(E55,Data!$A:$A,0)),$K$6),$K$8,IFERROR(INDEX(INDIRECT("Data!C"&amp;$B$4,FALSE),MATCH(E55,Data!$A:$A,0)),$K$6))</f>
        <v>230</v>
      </c>
      <c r="O55" s="71">
        <f ca="1">IF(""=IFERROR(INDEX(INDIRECT("Data!C"&amp;$B$4,FALSE),MATCH(F55,Data!$A:$A,0)),$K$6),$K$8,IFERROR(INDEX(INDIRECT("Data!C"&amp;$B$4,FALSE),MATCH(F55,Data!$A:$A,0)),$K$6))</f>
        <v>222</v>
      </c>
      <c r="P55" s="71">
        <f ca="1">IF(""=IFERROR(INDEX(INDIRECT("Data!C"&amp;$B$4,FALSE),MATCH(G55,Data!$A:$A,0)),$K$6),$K$8,IFERROR(INDEX(INDIRECT("Data!C"&amp;$B$4,FALSE),MATCH(G55,Data!$A:$A,0)),$K$6))</f>
        <v>214</v>
      </c>
      <c r="Q55" s="71">
        <f ca="1">IF(""=IFERROR(INDEX(INDIRECT("Data!C"&amp;$B$4,FALSE),MATCH(H55,Data!$A:$A,0)),$K$6),$K$8,IFERROR(INDEX(INDIRECT("Data!C"&amp;$B$4,FALSE),MATCH(H55,Data!$A:$A,0)),$K$6))</f>
        <v>59</v>
      </c>
      <c r="R55" s="88">
        <f t="shared" ca="1" si="21"/>
        <v>207</v>
      </c>
      <c r="T55" s="34">
        <f t="shared" si="29"/>
        <v>41875</v>
      </c>
      <c r="U55" s="34">
        <f t="shared" si="22"/>
        <v>41876</v>
      </c>
      <c r="V55" s="34">
        <f t="shared" si="17"/>
        <v>41877</v>
      </c>
      <c r="W55" s="34">
        <f t="shared" si="17"/>
        <v>41878</v>
      </c>
      <c r="X55" s="34">
        <f t="shared" si="17"/>
        <v>41879</v>
      </c>
      <c r="Y55" s="34">
        <f t="shared" si="17"/>
        <v>41880</v>
      </c>
      <c r="Z55" s="34">
        <f t="shared" si="17"/>
        <v>41881</v>
      </c>
      <c r="AB55" s="82" t="str">
        <f t="array" ref="AB55">IFERROR(IF(MATCH(8,DAY(T55:Z55),0),Z55,""),"")</f>
        <v/>
      </c>
      <c r="AC55" s="71">
        <f ca="1">IF(""=IFERROR(INDEX(INDIRECT("Data!C"&amp;$T$4,FALSE),MATCH(T55,Data!$A:$A,0)),$AC$6),$AC$8,IFERROR(INDEX(INDIRECT("Data!C"&amp;$T$4,FALSE),MATCH(T55,Data!$A:$A,0)),$AC$6))</f>
        <v>44</v>
      </c>
      <c r="AD55" s="71">
        <f ca="1">IF(""=IFERROR(INDEX(INDIRECT("Data!C"&amp;$T$4,FALSE),MATCH(U55,Data!$A:$A,0)),$AC$6),$AC$8,IFERROR(INDEX(INDIRECT("Data!C"&amp;$T$4,FALSE),MATCH(U55,Data!$A:$A,0)),$AC$6))</f>
        <v>410</v>
      </c>
      <c r="AE55" s="71">
        <f ca="1">IF(""=IFERROR(INDEX(INDIRECT("Data!C"&amp;$T$4,FALSE),MATCH(V55,Data!$A:$A,0)),$AC$6),$AC$8,IFERROR(INDEX(INDIRECT("Data!C"&amp;$T$4,FALSE),MATCH(V55,Data!$A:$A,0)),$AC$6))</f>
        <v>270</v>
      </c>
      <c r="AF55" s="71">
        <f ca="1">IF(""=IFERROR(INDEX(INDIRECT("Data!C"&amp;$T$4,FALSE),MATCH(W55,Data!$A:$A,0)),$AC$6),$AC$8,IFERROR(INDEX(INDIRECT("Data!C"&amp;$T$4,FALSE),MATCH(W55,Data!$A:$A,0)),$AC$6))</f>
        <v>230</v>
      </c>
      <c r="AG55" s="71">
        <f ca="1">IF(""=IFERROR(INDEX(INDIRECT("Data!C"&amp;$T$4,FALSE),MATCH(X55,Data!$A:$A,0)),$AC$6),$AC$8,IFERROR(INDEX(INDIRECT("Data!C"&amp;$T$4,FALSE),MATCH(X55,Data!$A:$A,0)),$AC$6))</f>
        <v>222</v>
      </c>
      <c r="AH55" s="71">
        <f ca="1">IF(""=IFERROR(INDEX(INDIRECT("Data!C"&amp;$T$4,FALSE),MATCH(Y55,Data!$A:$A,0)),$AC$6),$AC$8,IFERROR(INDEX(INDIRECT("Data!C"&amp;$T$4,FALSE),MATCH(Y55,Data!$A:$A,0)),$AC$6))</f>
        <v>214</v>
      </c>
      <c r="AI55" s="71">
        <f ca="1">IF(""=IFERROR(INDEX(INDIRECT("Data!C"&amp;$T$4,FALSE),MATCH(Z55,Data!$A:$A,0)),$AC$6),$AC$8,IFERROR(INDEX(INDIRECT("Data!C"&amp;$T$4,FALSE),MATCH(Z55,Data!$A:$A,0)),$AC$6))</f>
        <v>59</v>
      </c>
      <c r="AJ55" s="88">
        <f t="shared" ca="1" si="23"/>
        <v>207</v>
      </c>
      <c r="AL55" s="34">
        <f t="shared" si="30"/>
        <v>41875</v>
      </c>
      <c r="AM55" s="34">
        <f t="shared" si="24"/>
        <v>41876</v>
      </c>
      <c r="AN55" s="34">
        <f t="shared" si="18"/>
        <v>41877</v>
      </c>
      <c r="AO55" s="34">
        <f t="shared" si="18"/>
        <v>41878</v>
      </c>
      <c r="AP55" s="34">
        <f t="shared" si="18"/>
        <v>41879</v>
      </c>
      <c r="AQ55" s="34">
        <f t="shared" si="18"/>
        <v>41880</v>
      </c>
      <c r="AR55" s="34">
        <f t="shared" si="18"/>
        <v>41881</v>
      </c>
      <c r="AT55" s="82" t="str">
        <f t="array" ref="AT55">IFERROR(IF(MATCH(8,DAY(AL55:AR55),0),AR55,""),"")</f>
        <v/>
      </c>
      <c r="AU55" s="71">
        <f ca="1">IF(""=IFERROR(INDEX(INDIRECT("Data!C"&amp;$AL$4,FALSE),MATCH(AL55,Data!$A:$A,0)),$AU$6),$AU$8,IFERROR(INDEX(INDIRECT("Data!C"&amp;$AL$4,FALSE),MATCH(AL55,Data!$A:$A,0)),$AU$6))</f>
        <v>44</v>
      </c>
      <c r="AV55" s="71">
        <f ca="1">IF(""=IFERROR(INDEX(INDIRECT("Data!C"&amp;$AL$4,FALSE),MATCH(AM55,Data!$A:$A,0)),$AU$6),$AU$8,IFERROR(INDEX(INDIRECT("Data!C"&amp;$AL$4,FALSE),MATCH(AM55,Data!$A:$A,0)),$AU$6))</f>
        <v>410</v>
      </c>
      <c r="AW55" s="71">
        <f ca="1">IF(""=IFERROR(INDEX(INDIRECT("Data!C"&amp;$AL$4,FALSE),MATCH(AN55,Data!$A:$A,0)),$AU$6),$AU$8,IFERROR(INDEX(INDIRECT("Data!C"&amp;$AL$4,FALSE),MATCH(AN55,Data!$A:$A,0)),$AU$6))</f>
        <v>270</v>
      </c>
      <c r="AX55" s="71">
        <f ca="1">IF(""=IFERROR(INDEX(INDIRECT("Data!C"&amp;$AL$4,FALSE),MATCH(AO55,Data!$A:$A,0)),$AU$6),$AU$8,IFERROR(INDEX(INDIRECT("Data!C"&amp;$AL$4,FALSE),MATCH(AO55,Data!$A:$A,0)),$AU$6))</f>
        <v>230</v>
      </c>
      <c r="AY55" s="71">
        <f ca="1">IF(""=IFERROR(INDEX(INDIRECT("Data!C"&amp;$AL$4,FALSE),MATCH(AP55,Data!$A:$A,0)),$AU$6),$AU$8,IFERROR(INDEX(INDIRECT("Data!C"&amp;$AL$4,FALSE),MATCH(AP55,Data!$A:$A,0)),$AU$6))</f>
        <v>222</v>
      </c>
      <c r="AZ55" s="71">
        <f ca="1">IF(""=IFERROR(INDEX(INDIRECT("Data!C"&amp;$AL$4,FALSE),MATCH(AQ55,Data!$A:$A,0)),$AU$6),$AU$8,IFERROR(INDEX(INDIRECT("Data!C"&amp;$AL$4,FALSE),MATCH(AQ55,Data!$A:$A,0)),$AU$6))</f>
        <v>214</v>
      </c>
      <c r="BA55" s="71">
        <f ca="1">IF(""=IFERROR(INDEX(INDIRECT("Data!C"&amp;$AL$4,FALSE),MATCH(AR55,Data!$A:$A,0)),$AU$6),$AU$8,IFERROR(INDEX(INDIRECT("Data!C"&amp;$AL$4,FALSE),MATCH(AR55,Data!$A:$A,0)),$AU$6))</f>
        <v>59</v>
      </c>
      <c r="BB55" s="88">
        <f t="shared" ca="1" si="25"/>
        <v>207</v>
      </c>
      <c r="BD55" s="34">
        <f t="shared" si="31"/>
        <v>41875</v>
      </c>
      <c r="BE55" s="34">
        <f t="shared" si="26"/>
        <v>41876</v>
      </c>
      <c r="BF55" s="34">
        <f t="shared" si="19"/>
        <v>41877</v>
      </c>
      <c r="BG55" s="34">
        <f t="shared" si="19"/>
        <v>41878</v>
      </c>
      <c r="BH55" s="34">
        <f t="shared" si="19"/>
        <v>41879</v>
      </c>
      <c r="BI55" s="34">
        <f t="shared" si="19"/>
        <v>41880</v>
      </c>
      <c r="BJ55" s="34">
        <f t="shared" si="19"/>
        <v>41881</v>
      </c>
      <c r="BL55" s="82" t="str">
        <f t="array" ref="BL55">IFERROR(IF(MATCH(8,DAY(BD55:BJ55),0),BJ55,""),"")</f>
        <v/>
      </c>
      <c r="BM55" s="71">
        <f ca="1">IF(""=IFERROR(INDEX(INDIRECT("Data!C"&amp;$BD$4,FALSE),MATCH(BD55,Data!$A:$A,0)),$BM$6),$BM$8,IFERROR(INDEX(INDIRECT("Data!C"&amp;$BD$4,FALSE),MATCH(BD55,Data!$A:$A,0)),$BM$6))</f>
        <v>44</v>
      </c>
      <c r="BN55" s="71">
        <f ca="1">IF(""=IFERROR(INDEX(INDIRECT("Data!C"&amp;$BD$4,FALSE),MATCH(BE55,Data!$A:$A,0)),$BM$6),$BM$8,IFERROR(INDEX(INDIRECT("Data!C"&amp;$BD$4,FALSE),MATCH(BE55,Data!$A:$A,0)),$BM$6))</f>
        <v>410</v>
      </c>
      <c r="BO55" s="71">
        <f ca="1">IF(""=IFERROR(INDEX(INDIRECT("Data!C"&amp;$BD$4,FALSE),MATCH(BF55,Data!$A:$A,0)),$BM$6),$BM$8,IFERROR(INDEX(INDIRECT("Data!C"&amp;$BD$4,FALSE),MATCH(BF55,Data!$A:$A,0)),$BM$6))</f>
        <v>270</v>
      </c>
      <c r="BP55" s="71">
        <f ca="1">IF(""=IFERROR(INDEX(INDIRECT("Data!C"&amp;$BD$4,FALSE),MATCH(BG55,Data!$A:$A,0)),$BM$6),$BM$8,IFERROR(INDEX(INDIRECT("Data!C"&amp;$BD$4,FALSE),MATCH(BG55,Data!$A:$A,0)),$BM$6))</f>
        <v>230</v>
      </c>
      <c r="BQ55" s="71">
        <f ca="1">IF(""=IFERROR(INDEX(INDIRECT("Data!C"&amp;$BD$4,FALSE),MATCH(BH55,Data!$A:$A,0)),$BM$6),$BM$8,IFERROR(INDEX(INDIRECT("Data!C"&amp;$BD$4,FALSE),MATCH(BH55,Data!$A:$A,0)),$BM$6))</f>
        <v>222</v>
      </c>
      <c r="BR55" s="71">
        <f ca="1">IF(""=IFERROR(INDEX(INDIRECT("Data!C"&amp;$BD$4,FALSE),MATCH(BI55,Data!$A:$A,0)),$BM$6),$BM$8,IFERROR(INDEX(INDIRECT("Data!C"&amp;$BD$4,FALSE),MATCH(BI55,Data!$A:$A,0)),$BM$6))</f>
        <v>214</v>
      </c>
      <c r="BS55" s="71">
        <f ca="1">IF(""=IFERROR(INDEX(INDIRECT("Data!C"&amp;$BD$4,FALSE),MATCH(BJ55,Data!$A:$A,0)),$BM$6),$BM$8,IFERROR(INDEX(INDIRECT("Data!C"&amp;$BD$4,FALSE),MATCH(BJ55,Data!$A:$A,0)),$BM$6))</f>
        <v>59</v>
      </c>
      <c r="BT55" s="88">
        <f t="shared" ca="1" si="27"/>
        <v>207</v>
      </c>
    </row>
    <row r="56" spans="2:72" ht="12" customHeight="1" x14ac:dyDescent="0.2">
      <c r="B56" s="34">
        <f t="shared" si="28"/>
        <v>41882</v>
      </c>
      <c r="C56" s="34">
        <f t="shared" si="33"/>
        <v>41883</v>
      </c>
      <c r="D56" s="34">
        <f t="shared" si="33"/>
        <v>41884</v>
      </c>
      <c r="E56" s="34">
        <f t="shared" si="33"/>
        <v>41885</v>
      </c>
      <c r="F56" s="34">
        <f t="shared" si="33"/>
        <v>41886</v>
      </c>
      <c r="G56" s="34">
        <f t="shared" si="33"/>
        <v>41887</v>
      </c>
      <c r="H56" s="34">
        <f t="shared" si="33"/>
        <v>41888</v>
      </c>
      <c r="J56" s="82" t="str">
        <f t="array" ref="J56">IFERROR(IF(MATCH(8,DAY(B56:H56),0),H56,""),"")</f>
        <v/>
      </c>
      <c r="K56" s="71">
        <f ca="1">IF(""=IFERROR(INDEX(INDIRECT("Data!C"&amp;$B$4,FALSE),MATCH(B56,Data!$A:$A,0)),$K$6),$K$8,IFERROR(INDEX(INDIRECT("Data!C"&amp;$B$4,FALSE),MATCH(B56,Data!$A:$A,0)),$K$6))</f>
        <v>30</v>
      </c>
      <c r="L56" s="71">
        <f ca="1">IF(""=IFERROR(INDEX(INDIRECT("Data!C"&amp;$B$4,FALSE),MATCH(C56,Data!$A:$A,0)),$K$6),$K$8,IFERROR(INDEX(INDIRECT("Data!C"&amp;$B$4,FALSE),MATCH(C56,Data!$A:$A,0)),$K$6))</f>
        <v>245</v>
      </c>
      <c r="M56" s="71">
        <f ca="1">IF(""=IFERROR(INDEX(INDIRECT("Data!C"&amp;$B$4,FALSE),MATCH(D56,Data!$A:$A,0)),$K$6),$K$8,IFERROR(INDEX(INDIRECT("Data!C"&amp;$B$4,FALSE),MATCH(D56,Data!$A:$A,0)),$K$6))</f>
        <v>301</v>
      </c>
      <c r="N56" s="71">
        <f ca="1">IF(""=IFERROR(INDEX(INDIRECT("Data!C"&amp;$B$4,FALSE),MATCH(E56,Data!$A:$A,0)),$K$6),$K$8,IFERROR(INDEX(INDIRECT("Data!C"&amp;$B$4,FALSE),MATCH(E56,Data!$A:$A,0)),$K$6))</f>
        <v>334</v>
      </c>
      <c r="O56" s="71">
        <f ca="1">IF(""=IFERROR(INDEX(INDIRECT("Data!C"&amp;$B$4,FALSE),MATCH(F56,Data!$A:$A,0)),$K$6),$K$8,IFERROR(INDEX(INDIRECT("Data!C"&amp;$B$4,FALSE),MATCH(F56,Data!$A:$A,0)),$K$6))</f>
        <v>169</v>
      </c>
      <c r="P56" s="71">
        <f ca="1">IF(""=IFERROR(INDEX(INDIRECT("Data!C"&amp;$B$4,FALSE),MATCH(G56,Data!$A:$A,0)),$K$6),$K$8,IFERROR(INDEX(INDIRECT("Data!C"&amp;$B$4,FALSE),MATCH(G56,Data!$A:$A,0)),$K$6))</f>
        <v>150</v>
      </c>
      <c r="Q56" s="71">
        <f ca="1">IF(""=IFERROR(INDEX(INDIRECT("Data!C"&amp;$B$4,FALSE),MATCH(H56,Data!$A:$A,0)),$K$6),$K$8,IFERROR(INDEX(INDIRECT("Data!C"&amp;$B$4,FALSE),MATCH(H56,Data!$A:$A,0)),$K$6))</f>
        <v>73</v>
      </c>
      <c r="R56" s="88">
        <f t="shared" ca="1" si="21"/>
        <v>186</v>
      </c>
      <c r="T56" s="34">
        <f t="shared" si="29"/>
        <v>41882</v>
      </c>
      <c r="U56" s="34">
        <f t="shared" si="22"/>
        <v>41883</v>
      </c>
      <c r="V56" s="34">
        <f t="shared" si="17"/>
        <v>41884</v>
      </c>
      <c r="W56" s="34">
        <f t="shared" si="17"/>
        <v>41885</v>
      </c>
      <c r="X56" s="34">
        <f t="shared" si="17"/>
        <v>41886</v>
      </c>
      <c r="Y56" s="34">
        <f t="shared" si="17"/>
        <v>41887</v>
      </c>
      <c r="Z56" s="34">
        <f t="shared" si="17"/>
        <v>41888</v>
      </c>
      <c r="AB56" s="82" t="str">
        <f t="array" ref="AB56">IFERROR(IF(MATCH(8,DAY(T56:Z56),0),Z56,""),"")</f>
        <v/>
      </c>
      <c r="AC56" s="71">
        <f ca="1">IF(""=IFERROR(INDEX(INDIRECT("Data!C"&amp;$T$4,FALSE),MATCH(T56,Data!$A:$A,0)),$AC$6),$AC$8,IFERROR(INDEX(INDIRECT("Data!C"&amp;$T$4,FALSE),MATCH(T56,Data!$A:$A,0)),$AC$6))</f>
        <v>30</v>
      </c>
      <c r="AD56" s="71">
        <f ca="1">IF(""=IFERROR(INDEX(INDIRECT("Data!C"&amp;$T$4,FALSE),MATCH(U56,Data!$A:$A,0)),$AC$6),$AC$8,IFERROR(INDEX(INDIRECT("Data!C"&amp;$T$4,FALSE),MATCH(U56,Data!$A:$A,0)),$AC$6))</f>
        <v>245</v>
      </c>
      <c r="AE56" s="71">
        <f ca="1">IF(""=IFERROR(INDEX(INDIRECT("Data!C"&amp;$T$4,FALSE),MATCH(V56,Data!$A:$A,0)),$AC$6),$AC$8,IFERROR(INDEX(INDIRECT("Data!C"&amp;$T$4,FALSE),MATCH(V56,Data!$A:$A,0)),$AC$6))</f>
        <v>301</v>
      </c>
      <c r="AF56" s="71">
        <f ca="1">IF(""=IFERROR(INDEX(INDIRECT("Data!C"&amp;$T$4,FALSE),MATCH(W56,Data!$A:$A,0)),$AC$6),$AC$8,IFERROR(INDEX(INDIRECT("Data!C"&amp;$T$4,FALSE),MATCH(W56,Data!$A:$A,0)),$AC$6))</f>
        <v>334</v>
      </c>
      <c r="AG56" s="71">
        <f ca="1">IF(""=IFERROR(INDEX(INDIRECT("Data!C"&amp;$T$4,FALSE),MATCH(X56,Data!$A:$A,0)),$AC$6),$AC$8,IFERROR(INDEX(INDIRECT("Data!C"&amp;$T$4,FALSE),MATCH(X56,Data!$A:$A,0)),$AC$6))</f>
        <v>169</v>
      </c>
      <c r="AH56" s="71">
        <f ca="1">IF(""=IFERROR(INDEX(INDIRECT("Data!C"&amp;$T$4,FALSE),MATCH(Y56,Data!$A:$A,0)),$AC$6),$AC$8,IFERROR(INDEX(INDIRECT("Data!C"&amp;$T$4,FALSE),MATCH(Y56,Data!$A:$A,0)),$AC$6))</f>
        <v>150</v>
      </c>
      <c r="AI56" s="71">
        <f ca="1">IF(""=IFERROR(INDEX(INDIRECT("Data!C"&amp;$T$4,FALSE),MATCH(Z56,Data!$A:$A,0)),$AC$6),$AC$8,IFERROR(INDEX(INDIRECT("Data!C"&amp;$T$4,FALSE),MATCH(Z56,Data!$A:$A,0)),$AC$6))</f>
        <v>73</v>
      </c>
      <c r="AJ56" s="88">
        <f t="shared" ca="1" si="23"/>
        <v>186</v>
      </c>
      <c r="AL56" s="34">
        <f t="shared" si="30"/>
        <v>41882</v>
      </c>
      <c r="AM56" s="34">
        <f t="shared" si="24"/>
        <v>41883</v>
      </c>
      <c r="AN56" s="34">
        <f t="shared" si="18"/>
        <v>41884</v>
      </c>
      <c r="AO56" s="34">
        <f t="shared" si="18"/>
        <v>41885</v>
      </c>
      <c r="AP56" s="34">
        <f t="shared" si="18"/>
        <v>41886</v>
      </c>
      <c r="AQ56" s="34">
        <f t="shared" si="18"/>
        <v>41887</v>
      </c>
      <c r="AR56" s="34">
        <f t="shared" si="18"/>
        <v>41888</v>
      </c>
      <c r="AT56" s="82" t="str">
        <f t="array" ref="AT56">IFERROR(IF(MATCH(8,DAY(AL56:AR56),0),AR56,""),"")</f>
        <v/>
      </c>
      <c r="AU56" s="71">
        <f ca="1">IF(""=IFERROR(INDEX(INDIRECT("Data!C"&amp;$AL$4,FALSE),MATCH(AL56,Data!$A:$A,0)),$AU$6),$AU$8,IFERROR(INDEX(INDIRECT("Data!C"&amp;$AL$4,FALSE),MATCH(AL56,Data!$A:$A,0)),$AU$6))</f>
        <v>30</v>
      </c>
      <c r="AV56" s="71">
        <f ca="1">IF(""=IFERROR(INDEX(INDIRECT("Data!C"&amp;$AL$4,FALSE),MATCH(AM56,Data!$A:$A,0)),$AU$6),$AU$8,IFERROR(INDEX(INDIRECT("Data!C"&amp;$AL$4,FALSE),MATCH(AM56,Data!$A:$A,0)),$AU$6))</f>
        <v>245</v>
      </c>
      <c r="AW56" s="71">
        <f ca="1">IF(""=IFERROR(INDEX(INDIRECT("Data!C"&amp;$AL$4,FALSE),MATCH(AN56,Data!$A:$A,0)),$AU$6),$AU$8,IFERROR(INDEX(INDIRECT("Data!C"&amp;$AL$4,FALSE),MATCH(AN56,Data!$A:$A,0)),$AU$6))</f>
        <v>301</v>
      </c>
      <c r="AX56" s="71">
        <f ca="1">IF(""=IFERROR(INDEX(INDIRECT("Data!C"&amp;$AL$4,FALSE),MATCH(AO56,Data!$A:$A,0)),$AU$6),$AU$8,IFERROR(INDEX(INDIRECT("Data!C"&amp;$AL$4,FALSE),MATCH(AO56,Data!$A:$A,0)),$AU$6))</f>
        <v>334</v>
      </c>
      <c r="AY56" s="71">
        <f ca="1">IF(""=IFERROR(INDEX(INDIRECT("Data!C"&amp;$AL$4,FALSE),MATCH(AP56,Data!$A:$A,0)),$AU$6),$AU$8,IFERROR(INDEX(INDIRECT("Data!C"&amp;$AL$4,FALSE),MATCH(AP56,Data!$A:$A,0)),$AU$6))</f>
        <v>169</v>
      </c>
      <c r="AZ56" s="71">
        <f ca="1">IF(""=IFERROR(INDEX(INDIRECT("Data!C"&amp;$AL$4,FALSE),MATCH(AQ56,Data!$A:$A,0)),$AU$6),$AU$8,IFERROR(INDEX(INDIRECT("Data!C"&amp;$AL$4,FALSE),MATCH(AQ56,Data!$A:$A,0)),$AU$6))</f>
        <v>150</v>
      </c>
      <c r="BA56" s="71">
        <f ca="1">IF(""=IFERROR(INDEX(INDIRECT("Data!C"&amp;$AL$4,FALSE),MATCH(AR56,Data!$A:$A,0)),$AU$6),$AU$8,IFERROR(INDEX(INDIRECT("Data!C"&amp;$AL$4,FALSE),MATCH(AR56,Data!$A:$A,0)),$AU$6))</f>
        <v>73</v>
      </c>
      <c r="BB56" s="88">
        <f t="shared" ca="1" si="25"/>
        <v>186</v>
      </c>
      <c r="BD56" s="34">
        <f t="shared" si="31"/>
        <v>41882</v>
      </c>
      <c r="BE56" s="34">
        <f t="shared" si="26"/>
        <v>41883</v>
      </c>
      <c r="BF56" s="34">
        <f t="shared" si="19"/>
        <v>41884</v>
      </c>
      <c r="BG56" s="34">
        <f t="shared" si="19"/>
        <v>41885</v>
      </c>
      <c r="BH56" s="34">
        <f t="shared" si="19"/>
        <v>41886</v>
      </c>
      <c r="BI56" s="34">
        <f t="shared" si="19"/>
        <v>41887</v>
      </c>
      <c r="BJ56" s="34">
        <f t="shared" si="19"/>
        <v>41888</v>
      </c>
      <c r="BL56" s="82" t="str">
        <f t="array" ref="BL56">IFERROR(IF(MATCH(8,DAY(BD56:BJ56),0),BJ56,""),"")</f>
        <v/>
      </c>
      <c r="BM56" s="71">
        <f ca="1">IF(""=IFERROR(INDEX(INDIRECT("Data!C"&amp;$BD$4,FALSE),MATCH(BD56,Data!$A:$A,0)),$BM$6),$BM$8,IFERROR(INDEX(INDIRECT("Data!C"&amp;$BD$4,FALSE),MATCH(BD56,Data!$A:$A,0)),$BM$6))</f>
        <v>30</v>
      </c>
      <c r="BN56" s="71">
        <f ca="1">IF(""=IFERROR(INDEX(INDIRECT("Data!C"&amp;$BD$4,FALSE),MATCH(BE56,Data!$A:$A,0)),$BM$6),$BM$8,IFERROR(INDEX(INDIRECT("Data!C"&amp;$BD$4,FALSE),MATCH(BE56,Data!$A:$A,0)),$BM$6))</f>
        <v>245</v>
      </c>
      <c r="BO56" s="71">
        <f ca="1">IF(""=IFERROR(INDEX(INDIRECT("Data!C"&amp;$BD$4,FALSE),MATCH(BF56,Data!$A:$A,0)),$BM$6),$BM$8,IFERROR(INDEX(INDIRECT("Data!C"&amp;$BD$4,FALSE),MATCH(BF56,Data!$A:$A,0)),$BM$6))</f>
        <v>301</v>
      </c>
      <c r="BP56" s="71">
        <f ca="1">IF(""=IFERROR(INDEX(INDIRECT("Data!C"&amp;$BD$4,FALSE),MATCH(BG56,Data!$A:$A,0)),$BM$6),$BM$8,IFERROR(INDEX(INDIRECT("Data!C"&amp;$BD$4,FALSE),MATCH(BG56,Data!$A:$A,0)),$BM$6))</f>
        <v>334</v>
      </c>
      <c r="BQ56" s="71">
        <f ca="1">IF(""=IFERROR(INDEX(INDIRECT("Data!C"&amp;$BD$4,FALSE),MATCH(BH56,Data!$A:$A,0)),$BM$6),$BM$8,IFERROR(INDEX(INDIRECT("Data!C"&amp;$BD$4,FALSE),MATCH(BH56,Data!$A:$A,0)),$BM$6))</f>
        <v>169</v>
      </c>
      <c r="BR56" s="71">
        <f ca="1">IF(""=IFERROR(INDEX(INDIRECT("Data!C"&amp;$BD$4,FALSE),MATCH(BI56,Data!$A:$A,0)),$BM$6),$BM$8,IFERROR(INDEX(INDIRECT("Data!C"&amp;$BD$4,FALSE),MATCH(BI56,Data!$A:$A,0)),$BM$6))</f>
        <v>150</v>
      </c>
      <c r="BS56" s="71">
        <f ca="1">IF(""=IFERROR(INDEX(INDIRECT("Data!C"&amp;$BD$4,FALSE),MATCH(BJ56,Data!$A:$A,0)),$BM$6),$BM$8,IFERROR(INDEX(INDIRECT("Data!C"&amp;$BD$4,FALSE),MATCH(BJ56,Data!$A:$A,0)),$BM$6))</f>
        <v>73</v>
      </c>
      <c r="BT56" s="88">
        <f t="shared" ca="1" si="27"/>
        <v>186</v>
      </c>
    </row>
    <row r="57" spans="2:72" ht="12" customHeight="1" x14ac:dyDescent="0.2">
      <c r="B57" s="34">
        <f t="shared" si="28"/>
        <v>41889</v>
      </c>
      <c r="C57" s="34">
        <f t="shared" si="33"/>
        <v>41890</v>
      </c>
      <c r="D57" s="34">
        <f t="shared" si="33"/>
        <v>41891</v>
      </c>
      <c r="E57" s="34">
        <f t="shared" si="33"/>
        <v>41892</v>
      </c>
      <c r="F57" s="34">
        <f t="shared" si="33"/>
        <v>41893</v>
      </c>
      <c r="G57" s="34">
        <f t="shared" si="33"/>
        <v>41894</v>
      </c>
      <c r="H57" s="34">
        <f t="shared" si="33"/>
        <v>41895</v>
      </c>
      <c r="J57" s="82">
        <f t="array" ref="J57">IFERROR(IF(MATCH(8,DAY(B57:H57),0),H57,""),"")</f>
        <v>41895</v>
      </c>
      <c r="K57" s="71">
        <f ca="1">IF(""=IFERROR(INDEX(INDIRECT("Data!C"&amp;$B$4,FALSE),MATCH(B57,Data!$A:$A,0)),$K$6),$K$8,IFERROR(INDEX(INDIRECT("Data!C"&amp;$B$4,FALSE),MATCH(B57,Data!$A:$A,0)),$K$6))</f>
        <v>26</v>
      </c>
      <c r="L57" s="71">
        <f ca="1">IF(""=IFERROR(INDEX(INDIRECT("Data!C"&amp;$B$4,FALSE),MATCH(C57,Data!$A:$A,0)),$K$6),$K$8,IFERROR(INDEX(INDIRECT("Data!C"&amp;$B$4,FALSE),MATCH(C57,Data!$A:$A,0)),$K$6))</f>
        <v>376</v>
      </c>
      <c r="M57" s="71">
        <f ca="1">IF(""=IFERROR(INDEX(INDIRECT("Data!C"&amp;$B$4,FALSE),MATCH(D57,Data!$A:$A,0)),$K$6),$K$8,IFERROR(INDEX(INDIRECT("Data!C"&amp;$B$4,FALSE),MATCH(D57,Data!$A:$A,0)),$K$6))</f>
        <v>227</v>
      </c>
      <c r="N57" s="71">
        <f ca="1">IF(""=IFERROR(INDEX(INDIRECT("Data!C"&amp;$B$4,FALSE),MATCH(E57,Data!$A:$A,0)),$K$6),$K$8,IFERROR(INDEX(INDIRECT("Data!C"&amp;$B$4,FALSE),MATCH(E57,Data!$A:$A,0)),$K$6))</f>
        <v>173</v>
      </c>
      <c r="O57" s="71">
        <f ca="1">IF(""=IFERROR(INDEX(INDIRECT("Data!C"&amp;$B$4,FALSE),MATCH(F57,Data!$A:$A,0)),$K$6),$K$8,IFERROR(INDEX(INDIRECT("Data!C"&amp;$B$4,FALSE),MATCH(F57,Data!$A:$A,0)),$K$6))</f>
        <v>126</v>
      </c>
      <c r="P57" s="71">
        <f ca="1">IF(""=IFERROR(INDEX(INDIRECT("Data!C"&amp;$B$4,FALSE),MATCH(G57,Data!$A:$A,0)),$K$6),$K$8,IFERROR(INDEX(INDIRECT("Data!C"&amp;$B$4,FALSE),MATCH(G57,Data!$A:$A,0)),$K$6))</f>
        <v>157</v>
      </c>
      <c r="Q57" s="71">
        <f ca="1">IF(""=IFERROR(INDEX(INDIRECT("Data!C"&amp;$B$4,FALSE),MATCH(H57,Data!$A:$A,0)),$K$6),$K$8,IFERROR(INDEX(INDIRECT("Data!C"&amp;$B$4,FALSE),MATCH(H57,Data!$A:$A,0)),$K$6))</f>
        <v>51</v>
      </c>
      <c r="R57" s="88">
        <f t="shared" ca="1" si="21"/>
        <v>162.28571428571428</v>
      </c>
      <c r="T57" s="34">
        <f t="shared" si="29"/>
        <v>41889</v>
      </c>
      <c r="U57" s="34">
        <f t="shared" si="22"/>
        <v>41890</v>
      </c>
      <c r="V57" s="34">
        <f t="shared" si="17"/>
        <v>41891</v>
      </c>
      <c r="W57" s="34">
        <f t="shared" si="17"/>
        <v>41892</v>
      </c>
      <c r="X57" s="34">
        <f t="shared" si="17"/>
        <v>41893</v>
      </c>
      <c r="Y57" s="34">
        <f t="shared" si="17"/>
        <v>41894</v>
      </c>
      <c r="Z57" s="34">
        <f t="shared" si="17"/>
        <v>41895</v>
      </c>
      <c r="AB57" s="82">
        <f t="array" ref="AB57">IFERROR(IF(MATCH(8,DAY(T57:Z57),0),Z57,""),"")</f>
        <v>41895</v>
      </c>
      <c r="AC57" s="71">
        <f ca="1">IF(""=IFERROR(INDEX(INDIRECT("Data!C"&amp;$T$4,FALSE),MATCH(T57,Data!$A:$A,0)),$AC$6),$AC$8,IFERROR(INDEX(INDIRECT("Data!C"&amp;$T$4,FALSE),MATCH(T57,Data!$A:$A,0)),$AC$6))</f>
        <v>26</v>
      </c>
      <c r="AD57" s="71">
        <f ca="1">IF(""=IFERROR(INDEX(INDIRECT("Data!C"&amp;$T$4,FALSE),MATCH(U57,Data!$A:$A,0)),$AC$6),$AC$8,IFERROR(INDEX(INDIRECT("Data!C"&amp;$T$4,FALSE),MATCH(U57,Data!$A:$A,0)),$AC$6))</f>
        <v>376</v>
      </c>
      <c r="AE57" s="71">
        <f ca="1">IF(""=IFERROR(INDEX(INDIRECT("Data!C"&amp;$T$4,FALSE),MATCH(V57,Data!$A:$A,0)),$AC$6),$AC$8,IFERROR(INDEX(INDIRECT("Data!C"&amp;$T$4,FALSE),MATCH(V57,Data!$A:$A,0)),$AC$6))</f>
        <v>227</v>
      </c>
      <c r="AF57" s="71">
        <f ca="1">IF(""=IFERROR(INDEX(INDIRECT("Data!C"&amp;$T$4,FALSE),MATCH(W57,Data!$A:$A,0)),$AC$6),$AC$8,IFERROR(INDEX(INDIRECT("Data!C"&amp;$T$4,FALSE),MATCH(W57,Data!$A:$A,0)),$AC$6))</f>
        <v>173</v>
      </c>
      <c r="AG57" s="71">
        <f ca="1">IF(""=IFERROR(INDEX(INDIRECT("Data!C"&amp;$T$4,FALSE),MATCH(X57,Data!$A:$A,0)),$AC$6),$AC$8,IFERROR(INDEX(INDIRECT("Data!C"&amp;$T$4,FALSE),MATCH(X57,Data!$A:$A,0)),$AC$6))</f>
        <v>126</v>
      </c>
      <c r="AH57" s="71">
        <f ca="1">IF(""=IFERROR(INDEX(INDIRECT("Data!C"&amp;$T$4,FALSE),MATCH(Y57,Data!$A:$A,0)),$AC$6),$AC$8,IFERROR(INDEX(INDIRECT("Data!C"&amp;$T$4,FALSE),MATCH(Y57,Data!$A:$A,0)),$AC$6))</f>
        <v>157</v>
      </c>
      <c r="AI57" s="71">
        <f ca="1">IF(""=IFERROR(INDEX(INDIRECT("Data!C"&amp;$T$4,FALSE),MATCH(Z57,Data!$A:$A,0)),$AC$6),$AC$8,IFERROR(INDEX(INDIRECT("Data!C"&amp;$T$4,FALSE),MATCH(Z57,Data!$A:$A,0)),$AC$6))</f>
        <v>51</v>
      </c>
      <c r="AJ57" s="88">
        <f t="shared" ca="1" si="23"/>
        <v>162.28571428571428</v>
      </c>
      <c r="AL57" s="34">
        <f t="shared" si="30"/>
        <v>41889</v>
      </c>
      <c r="AM57" s="34">
        <f t="shared" si="24"/>
        <v>41890</v>
      </c>
      <c r="AN57" s="34">
        <f t="shared" si="18"/>
        <v>41891</v>
      </c>
      <c r="AO57" s="34">
        <f t="shared" si="18"/>
        <v>41892</v>
      </c>
      <c r="AP57" s="34">
        <f t="shared" si="18"/>
        <v>41893</v>
      </c>
      <c r="AQ57" s="34">
        <f t="shared" si="18"/>
        <v>41894</v>
      </c>
      <c r="AR57" s="34">
        <f t="shared" si="18"/>
        <v>41895</v>
      </c>
      <c r="AT57" s="82">
        <f t="array" ref="AT57">IFERROR(IF(MATCH(8,DAY(AL57:AR57),0),AR57,""),"")</f>
        <v>41895</v>
      </c>
      <c r="AU57" s="71">
        <f ca="1">IF(""=IFERROR(INDEX(INDIRECT("Data!C"&amp;$AL$4,FALSE),MATCH(AL57,Data!$A:$A,0)),$AU$6),$AU$8,IFERROR(INDEX(INDIRECT("Data!C"&amp;$AL$4,FALSE),MATCH(AL57,Data!$A:$A,0)),$AU$6))</f>
        <v>26</v>
      </c>
      <c r="AV57" s="71">
        <f ca="1">IF(""=IFERROR(INDEX(INDIRECT("Data!C"&amp;$AL$4,FALSE),MATCH(AM57,Data!$A:$A,0)),$AU$6),$AU$8,IFERROR(INDEX(INDIRECT("Data!C"&amp;$AL$4,FALSE),MATCH(AM57,Data!$A:$A,0)),$AU$6))</f>
        <v>376</v>
      </c>
      <c r="AW57" s="71">
        <f ca="1">IF(""=IFERROR(INDEX(INDIRECT("Data!C"&amp;$AL$4,FALSE),MATCH(AN57,Data!$A:$A,0)),$AU$6),$AU$8,IFERROR(INDEX(INDIRECT("Data!C"&amp;$AL$4,FALSE),MATCH(AN57,Data!$A:$A,0)),$AU$6))</f>
        <v>227</v>
      </c>
      <c r="AX57" s="71">
        <f ca="1">IF(""=IFERROR(INDEX(INDIRECT("Data!C"&amp;$AL$4,FALSE),MATCH(AO57,Data!$A:$A,0)),$AU$6),$AU$8,IFERROR(INDEX(INDIRECT("Data!C"&amp;$AL$4,FALSE),MATCH(AO57,Data!$A:$A,0)),$AU$6))</f>
        <v>173</v>
      </c>
      <c r="AY57" s="71">
        <f ca="1">IF(""=IFERROR(INDEX(INDIRECT("Data!C"&amp;$AL$4,FALSE),MATCH(AP57,Data!$A:$A,0)),$AU$6),$AU$8,IFERROR(INDEX(INDIRECT("Data!C"&amp;$AL$4,FALSE),MATCH(AP57,Data!$A:$A,0)),$AU$6))</f>
        <v>126</v>
      </c>
      <c r="AZ57" s="71">
        <f ca="1">IF(""=IFERROR(INDEX(INDIRECT("Data!C"&amp;$AL$4,FALSE),MATCH(AQ57,Data!$A:$A,0)),$AU$6),$AU$8,IFERROR(INDEX(INDIRECT("Data!C"&amp;$AL$4,FALSE),MATCH(AQ57,Data!$A:$A,0)),$AU$6))</f>
        <v>157</v>
      </c>
      <c r="BA57" s="71">
        <f ca="1">IF(""=IFERROR(INDEX(INDIRECT("Data!C"&amp;$AL$4,FALSE),MATCH(AR57,Data!$A:$A,0)),$AU$6),$AU$8,IFERROR(INDEX(INDIRECT("Data!C"&amp;$AL$4,FALSE),MATCH(AR57,Data!$A:$A,0)),$AU$6))</f>
        <v>51</v>
      </c>
      <c r="BB57" s="88">
        <f t="shared" ca="1" si="25"/>
        <v>162.28571428571428</v>
      </c>
      <c r="BD57" s="34">
        <f t="shared" si="31"/>
        <v>41889</v>
      </c>
      <c r="BE57" s="34">
        <f t="shared" si="26"/>
        <v>41890</v>
      </c>
      <c r="BF57" s="34">
        <f t="shared" si="19"/>
        <v>41891</v>
      </c>
      <c r="BG57" s="34">
        <f t="shared" si="19"/>
        <v>41892</v>
      </c>
      <c r="BH57" s="34">
        <f t="shared" si="19"/>
        <v>41893</v>
      </c>
      <c r="BI57" s="34">
        <f t="shared" si="19"/>
        <v>41894</v>
      </c>
      <c r="BJ57" s="34">
        <f t="shared" si="19"/>
        <v>41895</v>
      </c>
      <c r="BL57" s="82">
        <f t="array" ref="BL57">IFERROR(IF(MATCH(8,DAY(BD57:BJ57),0),BJ57,""),"")</f>
        <v>41895</v>
      </c>
      <c r="BM57" s="71">
        <f ca="1">IF(""=IFERROR(INDEX(INDIRECT("Data!C"&amp;$BD$4,FALSE),MATCH(BD57,Data!$A:$A,0)),$BM$6),$BM$8,IFERROR(INDEX(INDIRECT("Data!C"&amp;$BD$4,FALSE),MATCH(BD57,Data!$A:$A,0)),$BM$6))</f>
        <v>26</v>
      </c>
      <c r="BN57" s="71">
        <f ca="1">IF(""=IFERROR(INDEX(INDIRECT("Data!C"&amp;$BD$4,FALSE),MATCH(BE57,Data!$A:$A,0)),$BM$6),$BM$8,IFERROR(INDEX(INDIRECT("Data!C"&amp;$BD$4,FALSE),MATCH(BE57,Data!$A:$A,0)),$BM$6))</f>
        <v>376</v>
      </c>
      <c r="BO57" s="71">
        <f ca="1">IF(""=IFERROR(INDEX(INDIRECT("Data!C"&amp;$BD$4,FALSE),MATCH(BF57,Data!$A:$A,0)),$BM$6),$BM$8,IFERROR(INDEX(INDIRECT("Data!C"&amp;$BD$4,FALSE),MATCH(BF57,Data!$A:$A,0)),$BM$6))</f>
        <v>227</v>
      </c>
      <c r="BP57" s="71">
        <f ca="1">IF(""=IFERROR(INDEX(INDIRECT("Data!C"&amp;$BD$4,FALSE),MATCH(BG57,Data!$A:$A,0)),$BM$6),$BM$8,IFERROR(INDEX(INDIRECT("Data!C"&amp;$BD$4,FALSE),MATCH(BG57,Data!$A:$A,0)),$BM$6))</f>
        <v>173</v>
      </c>
      <c r="BQ57" s="71">
        <f ca="1">IF(""=IFERROR(INDEX(INDIRECT("Data!C"&amp;$BD$4,FALSE),MATCH(BH57,Data!$A:$A,0)),$BM$6),$BM$8,IFERROR(INDEX(INDIRECT("Data!C"&amp;$BD$4,FALSE),MATCH(BH57,Data!$A:$A,0)),$BM$6))</f>
        <v>126</v>
      </c>
      <c r="BR57" s="71">
        <f ca="1">IF(""=IFERROR(INDEX(INDIRECT("Data!C"&amp;$BD$4,FALSE),MATCH(BI57,Data!$A:$A,0)),$BM$6),$BM$8,IFERROR(INDEX(INDIRECT("Data!C"&amp;$BD$4,FALSE),MATCH(BI57,Data!$A:$A,0)),$BM$6))</f>
        <v>157</v>
      </c>
      <c r="BS57" s="71">
        <f ca="1">IF(""=IFERROR(INDEX(INDIRECT("Data!C"&amp;$BD$4,FALSE),MATCH(BJ57,Data!$A:$A,0)),$BM$6),$BM$8,IFERROR(INDEX(INDIRECT("Data!C"&amp;$BD$4,FALSE),MATCH(BJ57,Data!$A:$A,0)),$BM$6))</f>
        <v>51</v>
      </c>
      <c r="BT57" s="88">
        <f t="shared" ca="1" si="27"/>
        <v>162.28571428571428</v>
      </c>
    </row>
    <row r="58" spans="2:72" ht="12" customHeight="1" x14ac:dyDescent="0.2">
      <c r="B58" s="34">
        <f t="shared" si="28"/>
        <v>41896</v>
      </c>
      <c r="C58" s="34">
        <f t="shared" si="33"/>
        <v>41897</v>
      </c>
      <c r="D58" s="34">
        <f t="shared" si="33"/>
        <v>41898</v>
      </c>
      <c r="E58" s="34">
        <f t="shared" si="33"/>
        <v>41899</v>
      </c>
      <c r="F58" s="34">
        <f t="shared" si="33"/>
        <v>41900</v>
      </c>
      <c r="G58" s="34">
        <f t="shared" si="33"/>
        <v>41901</v>
      </c>
      <c r="H58" s="34">
        <f t="shared" si="33"/>
        <v>41902</v>
      </c>
      <c r="J58" s="82" t="str">
        <f t="array" ref="J58">IFERROR(IF(MATCH(8,DAY(B58:H58),0),H58,""),"")</f>
        <v/>
      </c>
      <c r="K58" s="71">
        <f ca="1">IF(""=IFERROR(INDEX(INDIRECT("Data!C"&amp;$B$4,FALSE),MATCH(B58,Data!$A:$A,0)),$K$6),$K$8,IFERROR(INDEX(INDIRECT("Data!C"&amp;$B$4,FALSE),MATCH(B58,Data!$A:$A,0)),$K$6))</f>
        <v>20</v>
      </c>
      <c r="L58" s="71">
        <f ca="1">IF(""=IFERROR(INDEX(INDIRECT("Data!C"&amp;$B$4,FALSE),MATCH(C58,Data!$A:$A,0)),$K$6),$K$8,IFERROR(INDEX(INDIRECT("Data!C"&amp;$B$4,FALSE),MATCH(C58,Data!$A:$A,0)),$K$6))</f>
        <v>310</v>
      </c>
      <c r="M58" s="71">
        <f ca="1">IF(""=IFERROR(INDEX(INDIRECT("Data!C"&amp;$B$4,FALSE),MATCH(D58,Data!$A:$A,0)),$K$6),$K$8,IFERROR(INDEX(INDIRECT("Data!C"&amp;$B$4,FALSE),MATCH(D58,Data!$A:$A,0)),$K$6))</f>
        <v>183</v>
      </c>
      <c r="N58" s="71">
        <f ca="1">IF(""=IFERROR(INDEX(INDIRECT("Data!C"&amp;$B$4,FALSE),MATCH(E58,Data!$A:$A,0)),$K$6),$K$8,IFERROR(INDEX(INDIRECT("Data!C"&amp;$B$4,FALSE),MATCH(E58,Data!$A:$A,0)),$K$6))</f>
        <v>217</v>
      </c>
      <c r="O58" s="71">
        <f ca="1">IF(""=IFERROR(INDEX(INDIRECT("Data!C"&amp;$B$4,FALSE),MATCH(F58,Data!$A:$A,0)),$K$6),$K$8,IFERROR(INDEX(INDIRECT("Data!C"&amp;$B$4,FALSE),MATCH(F58,Data!$A:$A,0)),$K$6))</f>
        <v>138</v>
      </c>
      <c r="P58" s="71">
        <f ca="1">IF(""=IFERROR(INDEX(INDIRECT("Data!C"&amp;$B$4,FALSE),MATCH(G58,Data!$A:$A,0)),$K$6),$K$8,IFERROR(INDEX(INDIRECT("Data!C"&amp;$B$4,FALSE),MATCH(G58,Data!$A:$A,0)),$K$6))</f>
        <v>139</v>
      </c>
      <c r="Q58" s="71">
        <f ca="1">IF(""=IFERROR(INDEX(INDIRECT("Data!C"&amp;$B$4,FALSE),MATCH(H58,Data!$A:$A,0)),$K$6),$K$8,IFERROR(INDEX(INDIRECT("Data!C"&amp;$B$4,FALSE),MATCH(H58,Data!$A:$A,0)),$K$6))</f>
        <v>64</v>
      </c>
      <c r="R58" s="88">
        <f t="shared" ca="1" si="21"/>
        <v>153</v>
      </c>
      <c r="T58" s="34">
        <f t="shared" si="29"/>
        <v>41896</v>
      </c>
      <c r="U58" s="34">
        <f t="shared" si="22"/>
        <v>41897</v>
      </c>
      <c r="V58" s="34">
        <f t="shared" si="17"/>
        <v>41898</v>
      </c>
      <c r="W58" s="34">
        <f t="shared" si="17"/>
        <v>41899</v>
      </c>
      <c r="X58" s="34">
        <f t="shared" si="17"/>
        <v>41900</v>
      </c>
      <c r="Y58" s="34">
        <f t="shared" si="17"/>
        <v>41901</v>
      </c>
      <c r="Z58" s="34">
        <f t="shared" si="17"/>
        <v>41902</v>
      </c>
      <c r="AB58" s="82" t="str">
        <f t="array" ref="AB58">IFERROR(IF(MATCH(8,DAY(T58:Z58),0),Z58,""),"")</f>
        <v/>
      </c>
      <c r="AC58" s="71">
        <f ca="1">IF(""=IFERROR(INDEX(INDIRECT("Data!C"&amp;$T$4,FALSE),MATCH(T58,Data!$A:$A,0)),$AC$6),$AC$8,IFERROR(INDEX(INDIRECT("Data!C"&amp;$T$4,FALSE),MATCH(T58,Data!$A:$A,0)),$AC$6))</f>
        <v>20</v>
      </c>
      <c r="AD58" s="71">
        <f ca="1">IF(""=IFERROR(INDEX(INDIRECT("Data!C"&amp;$T$4,FALSE),MATCH(U58,Data!$A:$A,0)),$AC$6),$AC$8,IFERROR(INDEX(INDIRECT("Data!C"&amp;$T$4,FALSE),MATCH(U58,Data!$A:$A,0)),$AC$6))</f>
        <v>310</v>
      </c>
      <c r="AE58" s="71">
        <f ca="1">IF(""=IFERROR(INDEX(INDIRECT("Data!C"&amp;$T$4,FALSE),MATCH(V58,Data!$A:$A,0)),$AC$6),$AC$8,IFERROR(INDEX(INDIRECT("Data!C"&amp;$T$4,FALSE),MATCH(V58,Data!$A:$A,0)),$AC$6))</f>
        <v>183</v>
      </c>
      <c r="AF58" s="71">
        <f ca="1">IF(""=IFERROR(INDEX(INDIRECT("Data!C"&amp;$T$4,FALSE),MATCH(W58,Data!$A:$A,0)),$AC$6),$AC$8,IFERROR(INDEX(INDIRECT("Data!C"&amp;$T$4,FALSE),MATCH(W58,Data!$A:$A,0)),$AC$6))</f>
        <v>217</v>
      </c>
      <c r="AG58" s="71">
        <f ca="1">IF(""=IFERROR(INDEX(INDIRECT("Data!C"&amp;$T$4,FALSE),MATCH(X58,Data!$A:$A,0)),$AC$6),$AC$8,IFERROR(INDEX(INDIRECT("Data!C"&amp;$T$4,FALSE),MATCH(X58,Data!$A:$A,0)),$AC$6))</f>
        <v>138</v>
      </c>
      <c r="AH58" s="71">
        <f ca="1">IF(""=IFERROR(INDEX(INDIRECT("Data!C"&amp;$T$4,FALSE),MATCH(Y58,Data!$A:$A,0)),$AC$6),$AC$8,IFERROR(INDEX(INDIRECT("Data!C"&amp;$T$4,FALSE),MATCH(Y58,Data!$A:$A,0)),$AC$6))</f>
        <v>139</v>
      </c>
      <c r="AI58" s="71">
        <f ca="1">IF(""=IFERROR(INDEX(INDIRECT("Data!C"&amp;$T$4,FALSE),MATCH(Z58,Data!$A:$A,0)),$AC$6),$AC$8,IFERROR(INDEX(INDIRECT("Data!C"&amp;$T$4,FALSE),MATCH(Z58,Data!$A:$A,0)),$AC$6))</f>
        <v>64</v>
      </c>
      <c r="AJ58" s="88">
        <f t="shared" ca="1" si="23"/>
        <v>153</v>
      </c>
      <c r="AL58" s="34">
        <f t="shared" si="30"/>
        <v>41896</v>
      </c>
      <c r="AM58" s="34">
        <f t="shared" si="24"/>
        <v>41897</v>
      </c>
      <c r="AN58" s="34">
        <f t="shared" si="18"/>
        <v>41898</v>
      </c>
      <c r="AO58" s="34">
        <f t="shared" si="18"/>
        <v>41899</v>
      </c>
      <c r="AP58" s="34">
        <f t="shared" si="18"/>
        <v>41900</v>
      </c>
      <c r="AQ58" s="34">
        <f t="shared" si="18"/>
        <v>41901</v>
      </c>
      <c r="AR58" s="34">
        <f t="shared" si="18"/>
        <v>41902</v>
      </c>
      <c r="AT58" s="82" t="str">
        <f t="array" ref="AT58">IFERROR(IF(MATCH(8,DAY(AL58:AR58),0),AR58,""),"")</f>
        <v/>
      </c>
      <c r="AU58" s="71">
        <f ca="1">IF(""=IFERROR(INDEX(INDIRECT("Data!C"&amp;$AL$4,FALSE),MATCH(AL58,Data!$A:$A,0)),$AU$6),$AU$8,IFERROR(INDEX(INDIRECT("Data!C"&amp;$AL$4,FALSE),MATCH(AL58,Data!$A:$A,0)),$AU$6))</f>
        <v>20</v>
      </c>
      <c r="AV58" s="71">
        <f ca="1">IF(""=IFERROR(INDEX(INDIRECT("Data!C"&amp;$AL$4,FALSE),MATCH(AM58,Data!$A:$A,0)),$AU$6),$AU$8,IFERROR(INDEX(INDIRECT("Data!C"&amp;$AL$4,FALSE),MATCH(AM58,Data!$A:$A,0)),$AU$6))</f>
        <v>310</v>
      </c>
      <c r="AW58" s="71">
        <f ca="1">IF(""=IFERROR(INDEX(INDIRECT("Data!C"&amp;$AL$4,FALSE),MATCH(AN58,Data!$A:$A,0)),$AU$6),$AU$8,IFERROR(INDEX(INDIRECT("Data!C"&amp;$AL$4,FALSE),MATCH(AN58,Data!$A:$A,0)),$AU$6))</f>
        <v>183</v>
      </c>
      <c r="AX58" s="71">
        <f ca="1">IF(""=IFERROR(INDEX(INDIRECT("Data!C"&amp;$AL$4,FALSE),MATCH(AO58,Data!$A:$A,0)),$AU$6),$AU$8,IFERROR(INDEX(INDIRECT("Data!C"&amp;$AL$4,FALSE),MATCH(AO58,Data!$A:$A,0)),$AU$6))</f>
        <v>217</v>
      </c>
      <c r="AY58" s="71">
        <f ca="1">IF(""=IFERROR(INDEX(INDIRECT("Data!C"&amp;$AL$4,FALSE),MATCH(AP58,Data!$A:$A,0)),$AU$6),$AU$8,IFERROR(INDEX(INDIRECT("Data!C"&amp;$AL$4,FALSE),MATCH(AP58,Data!$A:$A,0)),$AU$6))</f>
        <v>138</v>
      </c>
      <c r="AZ58" s="71">
        <f ca="1">IF(""=IFERROR(INDEX(INDIRECT("Data!C"&amp;$AL$4,FALSE),MATCH(AQ58,Data!$A:$A,0)),$AU$6),$AU$8,IFERROR(INDEX(INDIRECT("Data!C"&amp;$AL$4,FALSE),MATCH(AQ58,Data!$A:$A,0)),$AU$6))</f>
        <v>139</v>
      </c>
      <c r="BA58" s="71">
        <f ca="1">IF(""=IFERROR(INDEX(INDIRECT("Data!C"&amp;$AL$4,FALSE),MATCH(AR58,Data!$A:$A,0)),$AU$6),$AU$8,IFERROR(INDEX(INDIRECT("Data!C"&amp;$AL$4,FALSE),MATCH(AR58,Data!$A:$A,0)),$AU$6))</f>
        <v>64</v>
      </c>
      <c r="BB58" s="88">
        <f t="shared" ca="1" si="25"/>
        <v>153</v>
      </c>
      <c r="BD58" s="34">
        <f t="shared" si="31"/>
        <v>41896</v>
      </c>
      <c r="BE58" s="34">
        <f t="shared" si="26"/>
        <v>41897</v>
      </c>
      <c r="BF58" s="34">
        <f t="shared" si="19"/>
        <v>41898</v>
      </c>
      <c r="BG58" s="34">
        <f t="shared" si="19"/>
        <v>41899</v>
      </c>
      <c r="BH58" s="34">
        <f t="shared" si="19"/>
        <v>41900</v>
      </c>
      <c r="BI58" s="34">
        <f t="shared" si="19"/>
        <v>41901</v>
      </c>
      <c r="BJ58" s="34">
        <f t="shared" si="19"/>
        <v>41902</v>
      </c>
      <c r="BL58" s="82" t="str">
        <f t="array" ref="BL58">IFERROR(IF(MATCH(8,DAY(BD58:BJ58),0),BJ58,""),"")</f>
        <v/>
      </c>
      <c r="BM58" s="71">
        <f ca="1">IF(""=IFERROR(INDEX(INDIRECT("Data!C"&amp;$BD$4,FALSE),MATCH(BD58,Data!$A:$A,0)),$BM$6),$BM$8,IFERROR(INDEX(INDIRECT("Data!C"&amp;$BD$4,FALSE),MATCH(BD58,Data!$A:$A,0)),$BM$6))</f>
        <v>20</v>
      </c>
      <c r="BN58" s="71">
        <f ca="1">IF(""=IFERROR(INDEX(INDIRECT("Data!C"&amp;$BD$4,FALSE),MATCH(BE58,Data!$A:$A,0)),$BM$6),$BM$8,IFERROR(INDEX(INDIRECT("Data!C"&amp;$BD$4,FALSE),MATCH(BE58,Data!$A:$A,0)),$BM$6))</f>
        <v>310</v>
      </c>
      <c r="BO58" s="71">
        <f ca="1">IF(""=IFERROR(INDEX(INDIRECT("Data!C"&amp;$BD$4,FALSE),MATCH(BF58,Data!$A:$A,0)),$BM$6),$BM$8,IFERROR(INDEX(INDIRECT("Data!C"&amp;$BD$4,FALSE),MATCH(BF58,Data!$A:$A,0)),$BM$6))</f>
        <v>183</v>
      </c>
      <c r="BP58" s="71">
        <f ca="1">IF(""=IFERROR(INDEX(INDIRECT("Data!C"&amp;$BD$4,FALSE),MATCH(BG58,Data!$A:$A,0)),$BM$6),$BM$8,IFERROR(INDEX(INDIRECT("Data!C"&amp;$BD$4,FALSE),MATCH(BG58,Data!$A:$A,0)),$BM$6))</f>
        <v>217</v>
      </c>
      <c r="BQ58" s="71">
        <f ca="1">IF(""=IFERROR(INDEX(INDIRECT("Data!C"&amp;$BD$4,FALSE),MATCH(BH58,Data!$A:$A,0)),$BM$6),$BM$8,IFERROR(INDEX(INDIRECT("Data!C"&amp;$BD$4,FALSE),MATCH(BH58,Data!$A:$A,0)),$BM$6))</f>
        <v>138</v>
      </c>
      <c r="BR58" s="71">
        <f ca="1">IF(""=IFERROR(INDEX(INDIRECT("Data!C"&amp;$BD$4,FALSE),MATCH(BI58,Data!$A:$A,0)),$BM$6),$BM$8,IFERROR(INDEX(INDIRECT("Data!C"&amp;$BD$4,FALSE),MATCH(BI58,Data!$A:$A,0)),$BM$6))</f>
        <v>139</v>
      </c>
      <c r="BS58" s="71">
        <f ca="1">IF(""=IFERROR(INDEX(INDIRECT("Data!C"&amp;$BD$4,FALSE),MATCH(BJ58,Data!$A:$A,0)),$BM$6),$BM$8,IFERROR(INDEX(INDIRECT("Data!C"&amp;$BD$4,FALSE),MATCH(BJ58,Data!$A:$A,0)),$BM$6))</f>
        <v>64</v>
      </c>
      <c r="BT58" s="88">
        <f t="shared" ca="1" si="27"/>
        <v>153</v>
      </c>
    </row>
    <row r="59" spans="2:72" ht="12" customHeight="1" x14ac:dyDescent="0.2">
      <c r="B59" s="34">
        <f t="shared" si="28"/>
        <v>41903</v>
      </c>
      <c r="C59" s="34">
        <f t="shared" si="33"/>
        <v>41904</v>
      </c>
      <c r="D59" s="34">
        <f t="shared" si="33"/>
        <v>41905</v>
      </c>
      <c r="E59" s="34">
        <f t="shared" si="33"/>
        <v>41906</v>
      </c>
      <c r="F59" s="34">
        <f t="shared" si="33"/>
        <v>41907</v>
      </c>
      <c r="G59" s="34">
        <f t="shared" si="33"/>
        <v>41908</v>
      </c>
      <c r="H59" s="34">
        <f t="shared" si="33"/>
        <v>41909</v>
      </c>
      <c r="J59" s="82" t="str">
        <f t="array" ref="J59">IFERROR(IF(MATCH(8,DAY(B59:H59),0),H59,""),"")</f>
        <v/>
      </c>
      <c r="K59" s="71">
        <f ca="1">IF(""=IFERROR(INDEX(INDIRECT("Data!C"&amp;$B$4,FALSE),MATCH(B59,Data!$A:$A,0)),$K$6),$K$8,IFERROR(INDEX(INDIRECT("Data!C"&amp;$B$4,FALSE),MATCH(B59,Data!$A:$A,0)),$K$6))</f>
        <v>18</v>
      </c>
      <c r="L59" s="71">
        <f ca="1">IF(""=IFERROR(INDEX(INDIRECT("Data!C"&amp;$B$4,FALSE),MATCH(C59,Data!$A:$A,0)),$K$6),$K$8,IFERROR(INDEX(INDIRECT("Data!C"&amp;$B$4,FALSE),MATCH(C59,Data!$A:$A,0)),$K$6))</f>
        <v>221</v>
      </c>
      <c r="M59" s="71">
        <f ca="1">IF(""=IFERROR(INDEX(INDIRECT("Data!C"&amp;$B$4,FALSE),MATCH(D59,Data!$A:$A,0)),$K$6),$K$8,IFERROR(INDEX(INDIRECT("Data!C"&amp;$B$4,FALSE),MATCH(D59,Data!$A:$A,0)),$K$6))</f>
        <v>210</v>
      </c>
      <c r="N59" s="71">
        <f ca="1">IF(""=IFERROR(INDEX(INDIRECT("Data!C"&amp;$B$4,FALSE),MATCH(E59,Data!$A:$A,0)),$K$6),$K$8,IFERROR(INDEX(INDIRECT("Data!C"&amp;$B$4,FALSE),MATCH(E59,Data!$A:$A,0)),$K$6))</f>
        <v>201</v>
      </c>
      <c r="O59" s="71">
        <f ca="1">IF(""=IFERROR(INDEX(INDIRECT("Data!C"&amp;$B$4,FALSE),MATCH(F59,Data!$A:$A,0)),$K$6),$K$8,IFERROR(INDEX(INDIRECT("Data!C"&amp;$B$4,FALSE),MATCH(F59,Data!$A:$A,0)),$K$6))</f>
        <v>119</v>
      </c>
      <c r="P59" s="71">
        <f ca="1">IF(""=IFERROR(INDEX(INDIRECT("Data!C"&amp;$B$4,FALSE),MATCH(G59,Data!$A:$A,0)),$K$6),$K$8,IFERROR(INDEX(INDIRECT("Data!C"&amp;$B$4,FALSE),MATCH(G59,Data!$A:$A,0)),$K$6))</f>
        <v>176</v>
      </c>
      <c r="Q59" s="71">
        <f ca="1">IF(""=IFERROR(INDEX(INDIRECT("Data!C"&amp;$B$4,FALSE),MATCH(H59,Data!$A:$A,0)),$K$6),$K$8,IFERROR(INDEX(INDIRECT("Data!C"&amp;$B$4,FALSE),MATCH(H59,Data!$A:$A,0)),$K$6))</f>
        <v>53</v>
      </c>
      <c r="R59" s="88">
        <f t="shared" ca="1" si="21"/>
        <v>142.57142857142858</v>
      </c>
      <c r="T59" s="34">
        <f t="shared" si="29"/>
        <v>41903</v>
      </c>
      <c r="U59" s="34">
        <f t="shared" si="22"/>
        <v>41904</v>
      </c>
      <c r="V59" s="34">
        <f t="shared" si="17"/>
        <v>41905</v>
      </c>
      <c r="W59" s="34">
        <f t="shared" si="17"/>
        <v>41906</v>
      </c>
      <c r="X59" s="34">
        <f t="shared" si="17"/>
        <v>41907</v>
      </c>
      <c r="Y59" s="34">
        <f t="shared" si="17"/>
        <v>41908</v>
      </c>
      <c r="Z59" s="34">
        <f t="shared" si="17"/>
        <v>41909</v>
      </c>
      <c r="AB59" s="82" t="str">
        <f t="array" ref="AB59">IFERROR(IF(MATCH(8,DAY(T59:Z59),0),Z59,""),"")</f>
        <v/>
      </c>
      <c r="AC59" s="71">
        <f ca="1">IF(""=IFERROR(INDEX(INDIRECT("Data!C"&amp;$T$4,FALSE),MATCH(T59,Data!$A:$A,0)),$AC$6),$AC$8,IFERROR(INDEX(INDIRECT("Data!C"&amp;$T$4,FALSE),MATCH(T59,Data!$A:$A,0)),$AC$6))</f>
        <v>18</v>
      </c>
      <c r="AD59" s="71">
        <f ca="1">IF(""=IFERROR(INDEX(INDIRECT("Data!C"&amp;$T$4,FALSE),MATCH(U59,Data!$A:$A,0)),$AC$6),$AC$8,IFERROR(INDEX(INDIRECT("Data!C"&amp;$T$4,FALSE),MATCH(U59,Data!$A:$A,0)),$AC$6))</f>
        <v>221</v>
      </c>
      <c r="AE59" s="71">
        <f ca="1">IF(""=IFERROR(INDEX(INDIRECT("Data!C"&amp;$T$4,FALSE),MATCH(V59,Data!$A:$A,0)),$AC$6),$AC$8,IFERROR(INDEX(INDIRECT("Data!C"&amp;$T$4,FALSE),MATCH(V59,Data!$A:$A,0)),$AC$6))</f>
        <v>210</v>
      </c>
      <c r="AF59" s="71">
        <f ca="1">IF(""=IFERROR(INDEX(INDIRECT("Data!C"&amp;$T$4,FALSE),MATCH(W59,Data!$A:$A,0)),$AC$6),$AC$8,IFERROR(INDEX(INDIRECT("Data!C"&amp;$T$4,FALSE),MATCH(W59,Data!$A:$A,0)),$AC$6))</f>
        <v>201</v>
      </c>
      <c r="AG59" s="71">
        <f ca="1">IF(""=IFERROR(INDEX(INDIRECT("Data!C"&amp;$T$4,FALSE),MATCH(X59,Data!$A:$A,0)),$AC$6),$AC$8,IFERROR(INDEX(INDIRECT("Data!C"&amp;$T$4,FALSE),MATCH(X59,Data!$A:$A,0)),$AC$6))</f>
        <v>119</v>
      </c>
      <c r="AH59" s="71">
        <f ca="1">IF(""=IFERROR(INDEX(INDIRECT("Data!C"&amp;$T$4,FALSE),MATCH(Y59,Data!$A:$A,0)),$AC$6),$AC$8,IFERROR(INDEX(INDIRECT("Data!C"&amp;$T$4,FALSE),MATCH(Y59,Data!$A:$A,0)),$AC$6))</f>
        <v>176</v>
      </c>
      <c r="AI59" s="71">
        <f ca="1">IF(""=IFERROR(INDEX(INDIRECT("Data!C"&amp;$T$4,FALSE),MATCH(Z59,Data!$A:$A,0)),$AC$6),$AC$8,IFERROR(INDEX(INDIRECT("Data!C"&amp;$T$4,FALSE),MATCH(Z59,Data!$A:$A,0)),$AC$6))</f>
        <v>53</v>
      </c>
      <c r="AJ59" s="88">
        <f t="shared" ca="1" si="23"/>
        <v>142.57142857142858</v>
      </c>
      <c r="AL59" s="34">
        <f t="shared" si="30"/>
        <v>41903</v>
      </c>
      <c r="AM59" s="34">
        <f t="shared" si="24"/>
        <v>41904</v>
      </c>
      <c r="AN59" s="34">
        <f t="shared" si="18"/>
        <v>41905</v>
      </c>
      <c r="AO59" s="34">
        <f t="shared" si="18"/>
        <v>41906</v>
      </c>
      <c r="AP59" s="34">
        <f t="shared" si="18"/>
        <v>41907</v>
      </c>
      <c r="AQ59" s="34">
        <f t="shared" si="18"/>
        <v>41908</v>
      </c>
      <c r="AR59" s="34">
        <f t="shared" si="18"/>
        <v>41909</v>
      </c>
      <c r="AT59" s="82" t="str">
        <f t="array" ref="AT59">IFERROR(IF(MATCH(8,DAY(AL59:AR59),0),AR59,""),"")</f>
        <v/>
      </c>
      <c r="AU59" s="71">
        <f ca="1">IF(""=IFERROR(INDEX(INDIRECT("Data!C"&amp;$AL$4,FALSE),MATCH(AL59,Data!$A:$A,0)),$AU$6),$AU$8,IFERROR(INDEX(INDIRECT("Data!C"&amp;$AL$4,FALSE),MATCH(AL59,Data!$A:$A,0)),$AU$6))</f>
        <v>18</v>
      </c>
      <c r="AV59" s="71">
        <f ca="1">IF(""=IFERROR(INDEX(INDIRECT("Data!C"&amp;$AL$4,FALSE),MATCH(AM59,Data!$A:$A,0)),$AU$6),$AU$8,IFERROR(INDEX(INDIRECT("Data!C"&amp;$AL$4,FALSE),MATCH(AM59,Data!$A:$A,0)),$AU$6))</f>
        <v>221</v>
      </c>
      <c r="AW59" s="71">
        <f ca="1">IF(""=IFERROR(INDEX(INDIRECT("Data!C"&amp;$AL$4,FALSE),MATCH(AN59,Data!$A:$A,0)),$AU$6),$AU$8,IFERROR(INDEX(INDIRECT("Data!C"&amp;$AL$4,FALSE),MATCH(AN59,Data!$A:$A,0)),$AU$6))</f>
        <v>210</v>
      </c>
      <c r="AX59" s="71">
        <f ca="1">IF(""=IFERROR(INDEX(INDIRECT("Data!C"&amp;$AL$4,FALSE),MATCH(AO59,Data!$A:$A,0)),$AU$6),$AU$8,IFERROR(INDEX(INDIRECT("Data!C"&amp;$AL$4,FALSE),MATCH(AO59,Data!$A:$A,0)),$AU$6))</f>
        <v>201</v>
      </c>
      <c r="AY59" s="71">
        <f ca="1">IF(""=IFERROR(INDEX(INDIRECT("Data!C"&amp;$AL$4,FALSE),MATCH(AP59,Data!$A:$A,0)),$AU$6),$AU$8,IFERROR(INDEX(INDIRECT("Data!C"&amp;$AL$4,FALSE),MATCH(AP59,Data!$A:$A,0)),$AU$6))</f>
        <v>119</v>
      </c>
      <c r="AZ59" s="71">
        <f ca="1">IF(""=IFERROR(INDEX(INDIRECT("Data!C"&amp;$AL$4,FALSE),MATCH(AQ59,Data!$A:$A,0)),$AU$6),$AU$8,IFERROR(INDEX(INDIRECT("Data!C"&amp;$AL$4,FALSE),MATCH(AQ59,Data!$A:$A,0)),$AU$6))</f>
        <v>176</v>
      </c>
      <c r="BA59" s="71">
        <f ca="1">IF(""=IFERROR(INDEX(INDIRECT("Data!C"&amp;$AL$4,FALSE),MATCH(AR59,Data!$A:$A,0)),$AU$6),$AU$8,IFERROR(INDEX(INDIRECT("Data!C"&amp;$AL$4,FALSE),MATCH(AR59,Data!$A:$A,0)),$AU$6))</f>
        <v>53</v>
      </c>
      <c r="BB59" s="88">
        <f t="shared" ca="1" si="25"/>
        <v>142.57142857142858</v>
      </c>
      <c r="BD59" s="34">
        <f t="shared" si="31"/>
        <v>41903</v>
      </c>
      <c r="BE59" s="34">
        <f t="shared" si="26"/>
        <v>41904</v>
      </c>
      <c r="BF59" s="34">
        <f t="shared" si="19"/>
        <v>41905</v>
      </c>
      <c r="BG59" s="34">
        <f t="shared" si="19"/>
        <v>41906</v>
      </c>
      <c r="BH59" s="34">
        <f t="shared" si="19"/>
        <v>41907</v>
      </c>
      <c r="BI59" s="34">
        <f t="shared" si="19"/>
        <v>41908</v>
      </c>
      <c r="BJ59" s="34">
        <f t="shared" si="19"/>
        <v>41909</v>
      </c>
      <c r="BL59" s="82" t="str">
        <f t="array" ref="BL59">IFERROR(IF(MATCH(8,DAY(BD59:BJ59),0),BJ59,""),"")</f>
        <v/>
      </c>
      <c r="BM59" s="71">
        <f ca="1">IF(""=IFERROR(INDEX(INDIRECT("Data!C"&amp;$BD$4,FALSE),MATCH(BD59,Data!$A:$A,0)),$BM$6),$BM$8,IFERROR(INDEX(INDIRECT("Data!C"&amp;$BD$4,FALSE),MATCH(BD59,Data!$A:$A,0)),$BM$6))</f>
        <v>18</v>
      </c>
      <c r="BN59" s="71">
        <f ca="1">IF(""=IFERROR(INDEX(INDIRECT("Data!C"&amp;$BD$4,FALSE),MATCH(BE59,Data!$A:$A,0)),$BM$6),$BM$8,IFERROR(INDEX(INDIRECT("Data!C"&amp;$BD$4,FALSE),MATCH(BE59,Data!$A:$A,0)),$BM$6))</f>
        <v>221</v>
      </c>
      <c r="BO59" s="71">
        <f ca="1">IF(""=IFERROR(INDEX(INDIRECT("Data!C"&amp;$BD$4,FALSE),MATCH(BF59,Data!$A:$A,0)),$BM$6),$BM$8,IFERROR(INDEX(INDIRECT("Data!C"&amp;$BD$4,FALSE),MATCH(BF59,Data!$A:$A,0)),$BM$6))</f>
        <v>210</v>
      </c>
      <c r="BP59" s="71">
        <f ca="1">IF(""=IFERROR(INDEX(INDIRECT("Data!C"&amp;$BD$4,FALSE),MATCH(BG59,Data!$A:$A,0)),$BM$6),$BM$8,IFERROR(INDEX(INDIRECT("Data!C"&amp;$BD$4,FALSE),MATCH(BG59,Data!$A:$A,0)),$BM$6))</f>
        <v>201</v>
      </c>
      <c r="BQ59" s="71">
        <f ca="1">IF(""=IFERROR(INDEX(INDIRECT("Data!C"&amp;$BD$4,FALSE),MATCH(BH59,Data!$A:$A,0)),$BM$6),$BM$8,IFERROR(INDEX(INDIRECT("Data!C"&amp;$BD$4,FALSE),MATCH(BH59,Data!$A:$A,0)),$BM$6))</f>
        <v>119</v>
      </c>
      <c r="BR59" s="71">
        <f ca="1">IF(""=IFERROR(INDEX(INDIRECT("Data!C"&amp;$BD$4,FALSE),MATCH(BI59,Data!$A:$A,0)),$BM$6),$BM$8,IFERROR(INDEX(INDIRECT("Data!C"&amp;$BD$4,FALSE),MATCH(BI59,Data!$A:$A,0)),$BM$6))</f>
        <v>176</v>
      </c>
      <c r="BS59" s="71">
        <f ca="1">IF(""=IFERROR(INDEX(INDIRECT("Data!C"&amp;$BD$4,FALSE),MATCH(BJ59,Data!$A:$A,0)),$BM$6),$BM$8,IFERROR(INDEX(INDIRECT("Data!C"&amp;$BD$4,FALSE),MATCH(BJ59,Data!$A:$A,0)),$BM$6))</f>
        <v>53</v>
      </c>
      <c r="BT59" s="88">
        <f t="shared" ca="1" si="27"/>
        <v>142.57142857142858</v>
      </c>
    </row>
    <row r="60" spans="2:72" ht="12" customHeight="1" x14ac:dyDescent="0.2">
      <c r="B60" s="34">
        <f t="shared" si="28"/>
        <v>41910</v>
      </c>
      <c r="C60" s="34">
        <f t="shared" si="33"/>
        <v>41911</v>
      </c>
      <c r="D60" s="34">
        <f t="shared" si="33"/>
        <v>41912</v>
      </c>
      <c r="E60" s="34">
        <f t="shared" si="33"/>
        <v>41913</v>
      </c>
      <c r="F60" s="34">
        <f t="shared" si="33"/>
        <v>41914</v>
      </c>
      <c r="G60" s="34">
        <f t="shared" si="33"/>
        <v>41915</v>
      </c>
      <c r="H60" s="34">
        <f t="shared" si="33"/>
        <v>41916</v>
      </c>
      <c r="J60" s="82" t="str">
        <f t="array" ref="J60">IFERROR(IF(MATCH(8,DAY(B60:H60),0),H60,""),"")</f>
        <v/>
      </c>
      <c r="K60" s="71">
        <f ca="1">IF(""=IFERROR(INDEX(INDIRECT("Data!C"&amp;$B$4,FALSE),MATCH(B60,Data!$A:$A,0)),$K$6),$K$8,IFERROR(INDEX(INDIRECT("Data!C"&amp;$B$4,FALSE),MATCH(B60,Data!$A:$A,0)),$K$6))</f>
        <v>24</v>
      </c>
      <c r="L60" s="71">
        <f ca="1">IF(""=IFERROR(INDEX(INDIRECT("Data!C"&amp;$B$4,FALSE),MATCH(C60,Data!$A:$A,0)),$K$6),$K$8,IFERROR(INDEX(INDIRECT("Data!C"&amp;$B$4,FALSE),MATCH(C60,Data!$A:$A,0)),$K$6))</f>
        <v>197</v>
      </c>
      <c r="M60" s="71">
        <f ca="1">IF(""=IFERROR(INDEX(INDIRECT("Data!C"&amp;$B$4,FALSE),MATCH(D60,Data!$A:$A,0)),$K$6),$K$8,IFERROR(INDEX(INDIRECT("Data!C"&amp;$B$4,FALSE),MATCH(D60,Data!$A:$A,0)),$K$6))</f>
        <v>226</v>
      </c>
      <c r="N60" s="71">
        <f ca="1">IF(""=IFERROR(INDEX(INDIRECT("Data!C"&amp;$B$4,FALSE),MATCH(E60,Data!$A:$A,0)),$K$6),$K$8,IFERROR(INDEX(INDIRECT("Data!C"&amp;$B$4,FALSE),MATCH(E60,Data!$A:$A,0)),$K$6))</f>
        <v>168</v>
      </c>
      <c r="O60" s="71">
        <f ca="1">IF(""=IFERROR(INDEX(INDIRECT("Data!C"&amp;$B$4,FALSE),MATCH(F60,Data!$A:$A,0)),$K$6),$K$8,IFERROR(INDEX(INDIRECT("Data!C"&amp;$B$4,FALSE),MATCH(F60,Data!$A:$A,0)),$K$6))</f>
        <v>164</v>
      </c>
      <c r="P60" s="71">
        <f ca="1">IF(""=IFERROR(INDEX(INDIRECT("Data!C"&amp;$B$4,FALSE),MATCH(G60,Data!$A:$A,0)),$K$6),$K$8,IFERROR(INDEX(INDIRECT("Data!C"&amp;$B$4,FALSE),MATCH(G60,Data!$A:$A,0)),$K$6))</f>
        <v>108</v>
      </c>
      <c r="Q60" s="71">
        <f ca="1">IF(""=IFERROR(INDEX(INDIRECT("Data!C"&amp;$B$4,FALSE),MATCH(H60,Data!$A:$A,0)),$K$6),$K$8,IFERROR(INDEX(INDIRECT("Data!C"&amp;$B$4,FALSE),MATCH(H60,Data!$A:$A,0)),$K$6))</f>
        <v>26</v>
      </c>
      <c r="R60" s="88">
        <f t="shared" ca="1" si="21"/>
        <v>130.42857142857142</v>
      </c>
      <c r="T60" s="34">
        <f t="shared" si="29"/>
        <v>41910</v>
      </c>
      <c r="U60" s="34">
        <f t="shared" si="22"/>
        <v>41911</v>
      </c>
      <c r="V60" s="34">
        <f t="shared" si="17"/>
        <v>41912</v>
      </c>
      <c r="W60" s="34">
        <f t="shared" si="17"/>
        <v>41913</v>
      </c>
      <c r="X60" s="34">
        <f t="shared" si="17"/>
        <v>41914</v>
      </c>
      <c r="Y60" s="34">
        <f t="shared" si="17"/>
        <v>41915</v>
      </c>
      <c r="Z60" s="34">
        <f t="shared" si="17"/>
        <v>41916</v>
      </c>
      <c r="AB60" s="82" t="str">
        <f t="array" ref="AB60">IFERROR(IF(MATCH(8,DAY(T60:Z60),0),Z60,""),"")</f>
        <v/>
      </c>
      <c r="AC60" s="71">
        <f ca="1">IF(""=IFERROR(INDEX(INDIRECT("Data!C"&amp;$T$4,FALSE),MATCH(T60,Data!$A:$A,0)),$AC$6),$AC$8,IFERROR(INDEX(INDIRECT("Data!C"&amp;$T$4,FALSE),MATCH(T60,Data!$A:$A,0)),$AC$6))</f>
        <v>24</v>
      </c>
      <c r="AD60" s="71">
        <f ca="1">IF(""=IFERROR(INDEX(INDIRECT("Data!C"&amp;$T$4,FALSE),MATCH(U60,Data!$A:$A,0)),$AC$6),$AC$8,IFERROR(INDEX(INDIRECT("Data!C"&amp;$T$4,FALSE),MATCH(U60,Data!$A:$A,0)),$AC$6))</f>
        <v>197</v>
      </c>
      <c r="AE60" s="71">
        <f ca="1">IF(""=IFERROR(INDEX(INDIRECT("Data!C"&amp;$T$4,FALSE),MATCH(V60,Data!$A:$A,0)),$AC$6),$AC$8,IFERROR(INDEX(INDIRECT("Data!C"&amp;$T$4,FALSE),MATCH(V60,Data!$A:$A,0)),$AC$6))</f>
        <v>226</v>
      </c>
      <c r="AF60" s="71">
        <f ca="1">IF(""=IFERROR(INDEX(INDIRECT("Data!C"&amp;$T$4,FALSE),MATCH(W60,Data!$A:$A,0)),$AC$6),$AC$8,IFERROR(INDEX(INDIRECT("Data!C"&amp;$T$4,FALSE),MATCH(W60,Data!$A:$A,0)),$AC$6))</f>
        <v>168</v>
      </c>
      <c r="AG60" s="71">
        <f ca="1">IF(""=IFERROR(INDEX(INDIRECT("Data!C"&amp;$T$4,FALSE),MATCH(X60,Data!$A:$A,0)),$AC$6),$AC$8,IFERROR(INDEX(INDIRECT("Data!C"&amp;$T$4,FALSE),MATCH(X60,Data!$A:$A,0)),$AC$6))</f>
        <v>164</v>
      </c>
      <c r="AH60" s="71">
        <f ca="1">IF(""=IFERROR(INDEX(INDIRECT("Data!C"&amp;$T$4,FALSE),MATCH(Y60,Data!$A:$A,0)),$AC$6),$AC$8,IFERROR(INDEX(INDIRECT("Data!C"&amp;$T$4,FALSE),MATCH(Y60,Data!$A:$A,0)),$AC$6))</f>
        <v>108</v>
      </c>
      <c r="AI60" s="71">
        <f ca="1">IF(""=IFERROR(INDEX(INDIRECT("Data!C"&amp;$T$4,FALSE),MATCH(Z60,Data!$A:$A,0)),$AC$6),$AC$8,IFERROR(INDEX(INDIRECT("Data!C"&amp;$T$4,FALSE),MATCH(Z60,Data!$A:$A,0)),$AC$6))</f>
        <v>26</v>
      </c>
      <c r="AJ60" s="88">
        <f t="shared" ca="1" si="23"/>
        <v>130.42857142857142</v>
      </c>
      <c r="AL60" s="34">
        <f t="shared" si="30"/>
        <v>41910</v>
      </c>
      <c r="AM60" s="34">
        <f t="shared" si="24"/>
        <v>41911</v>
      </c>
      <c r="AN60" s="34">
        <f t="shared" si="18"/>
        <v>41912</v>
      </c>
      <c r="AO60" s="34">
        <f t="shared" si="18"/>
        <v>41913</v>
      </c>
      <c r="AP60" s="34">
        <f t="shared" si="18"/>
        <v>41914</v>
      </c>
      <c r="AQ60" s="34">
        <f t="shared" si="18"/>
        <v>41915</v>
      </c>
      <c r="AR60" s="34">
        <f t="shared" si="18"/>
        <v>41916</v>
      </c>
      <c r="AT60" s="82" t="str">
        <f t="array" ref="AT60">IFERROR(IF(MATCH(8,DAY(AL60:AR60),0),AR60,""),"")</f>
        <v/>
      </c>
      <c r="AU60" s="71">
        <f ca="1">IF(""=IFERROR(INDEX(INDIRECT("Data!C"&amp;$AL$4,FALSE),MATCH(AL60,Data!$A:$A,0)),$AU$6),$AU$8,IFERROR(INDEX(INDIRECT("Data!C"&amp;$AL$4,FALSE),MATCH(AL60,Data!$A:$A,0)),$AU$6))</f>
        <v>24</v>
      </c>
      <c r="AV60" s="71">
        <f ca="1">IF(""=IFERROR(INDEX(INDIRECT("Data!C"&amp;$AL$4,FALSE),MATCH(AM60,Data!$A:$A,0)),$AU$6),$AU$8,IFERROR(INDEX(INDIRECT("Data!C"&amp;$AL$4,FALSE),MATCH(AM60,Data!$A:$A,0)),$AU$6))</f>
        <v>197</v>
      </c>
      <c r="AW60" s="71">
        <f ca="1">IF(""=IFERROR(INDEX(INDIRECT("Data!C"&amp;$AL$4,FALSE),MATCH(AN60,Data!$A:$A,0)),$AU$6),$AU$8,IFERROR(INDEX(INDIRECT("Data!C"&amp;$AL$4,FALSE),MATCH(AN60,Data!$A:$A,0)),$AU$6))</f>
        <v>226</v>
      </c>
      <c r="AX60" s="71">
        <f ca="1">IF(""=IFERROR(INDEX(INDIRECT("Data!C"&amp;$AL$4,FALSE),MATCH(AO60,Data!$A:$A,0)),$AU$6),$AU$8,IFERROR(INDEX(INDIRECT("Data!C"&amp;$AL$4,FALSE),MATCH(AO60,Data!$A:$A,0)),$AU$6))</f>
        <v>168</v>
      </c>
      <c r="AY60" s="71">
        <f ca="1">IF(""=IFERROR(INDEX(INDIRECT("Data!C"&amp;$AL$4,FALSE),MATCH(AP60,Data!$A:$A,0)),$AU$6),$AU$8,IFERROR(INDEX(INDIRECT("Data!C"&amp;$AL$4,FALSE),MATCH(AP60,Data!$A:$A,0)),$AU$6))</f>
        <v>164</v>
      </c>
      <c r="AZ60" s="71">
        <f ca="1">IF(""=IFERROR(INDEX(INDIRECT("Data!C"&amp;$AL$4,FALSE),MATCH(AQ60,Data!$A:$A,0)),$AU$6),$AU$8,IFERROR(INDEX(INDIRECT("Data!C"&amp;$AL$4,FALSE),MATCH(AQ60,Data!$A:$A,0)),$AU$6))</f>
        <v>108</v>
      </c>
      <c r="BA60" s="71">
        <f ca="1">IF(""=IFERROR(INDEX(INDIRECT("Data!C"&amp;$AL$4,FALSE),MATCH(AR60,Data!$A:$A,0)),$AU$6),$AU$8,IFERROR(INDEX(INDIRECT("Data!C"&amp;$AL$4,FALSE),MATCH(AR60,Data!$A:$A,0)),$AU$6))</f>
        <v>26</v>
      </c>
      <c r="BB60" s="88">
        <f t="shared" ca="1" si="25"/>
        <v>130.42857142857142</v>
      </c>
      <c r="BD60" s="34">
        <f t="shared" si="31"/>
        <v>41910</v>
      </c>
      <c r="BE60" s="34">
        <f t="shared" si="26"/>
        <v>41911</v>
      </c>
      <c r="BF60" s="34">
        <f t="shared" si="19"/>
        <v>41912</v>
      </c>
      <c r="BG60" s="34">
        <f t="shared" si="19"/>
        <v>41913</v>
      </c>
      <c r="BH60" s="34">
        <f t="shared" si="19"/>
        <v>41914</v>
      </c>
      <c r="BI60" s="34">
        <f t="shared" si="19"/>
        <v>41915</v>
      </c>
      <c r="BJ60" s="34">
        <f t="shared" si="19"/>
        <v>41916</v>
      </c>
      <c r="BL60" s="82" t="str">
        <f t="array" ref="BL60">IFERROR(IF(MATCH(8,DAY(BD60:BJ60),0),BJ60,""),"")</f>
        <v/>
      </c>
      <c r="BM60" s="71">
        <f ca="1">IF(""=IFERROR(INDEX(INDIRECT("Data!C"&amp;$BD$4,FALSE),MATCH(BD60,Data!$A:$A,0)),$BM$6),$BM$8,IFERROR(INDEX(INDIRECT("Data!C"&amp;$BD$4,FALSE),MATCH(BD60,Data!$A:$A,0)),$BM$6))</f>
        <v>24</v>
      </c>
      <c r="BN60" s="71">
        <f ca="1">IF(""=IFERROR(INDEX(INDIRECT("Data!C"&amp;$BD$4,FALSE),MATCH(BE60,Data!$A:$A,0)),$BM$6),$BM$8,IFERROR(INDEX(INDIRECT("Data!C"&amp;$BD$4,FALSE),MATCH(BE60,Data!$A:$A,0)),$BM$6))</f>
        <v>197</v>
      </c>
      <c r="BO60" s="71">
        <f ca="1">IF(""=IFERROR(INDEX(INDIRECT("Data!C"&amp;$BD$4,FALSE),MATCH(BF60,Data!$A:$A,0)),$BM$6),$BM$8,IFERROR(INDEX(INDIRECT("Data!C"&amp;$BD$4,FALSE),MATCH(BF60,Data!$A:$A,0)),$BM$6))</f>
        <v>226</v>
      </c>
      <c r="BP60" s="71">
        <f ca="1">IF(""=IFERROR(INDEX(INDIRECT("Data!C"&amp;$BD$4,FALSE),MATCH(BG60,Data!$A:$A,0)),$BM$6),$BM$8,IFERROR(INDEX(INDIRECT("Data!C"&amp;$BD$4,FALSE),MATCH(BG60,Data!$A:$A,0)),$BM$6))</f>
        <v>168</v>
      </c>
      <c r="BQ60" s="71">
        <f ca="1">IF(""=IFERROR(INDEX(INDIRECT("Data!C"&amp;$BD$4,FALSE),MATCH(BH60,Data!$A:$A,0)),$BM$6),$BM$8,IFERROR(INDEX(INDIRECT("Data!C"&amp;$BD$4,FALSE),MATCH(BH60,Data!$A:$A,0)),$BM$6))</f>
        <v>164</v>
      </c>
      <c r="BR60" s="71">
        <f ca="1">IF(""=IFERROR(INDEX(INDIRECT("Data!C"&amp;$BD$4,FALSE),MATCH(BI60,Data!$A:$A,0)),$BM$6),$BM$8,IFERROR(INDEX(INDIRECT("Data!C"&amp;$BD$4,FALSE),MATCH(BI60,Data!$A:$A,0)),$BM$6))</f>
        <v>108</v>
      </c>
      <c r="BS60" s="71">
        <f ca="1">IF(""=IFERROR(INDEX(INDIRECT("Data!C"&amp;$BD$4,FALSE),MATCH(BJ60,Data!$A:$A,0)),$BM$6),$BM$8,IFERROR(INDEX(INDIRECT("Data!C"&amp;$BD$4,FALSE),MATCH(BJ60,Data!$A:$A,0)),$BM$6))</f>
        <v>26</v>
      </c>
      <c r="BT60" s="88">
        <f t="shared" ca="1" si="27"/>
        <v>130.42857142857142</v>
      </c>
    </row>
    <row r="61" spans="2:72" ht="12" customHeight="1" x14ac:dyDescent="0.2">
      <c r="B61" s="34">
        <f t="shared" si="28"/>
        <v>41917</v>
      </c>
      <c r="C61" s="34">
        <f t="shared" si="33"/>
        <v>41918</v>
      </c>
      <c r="D61" s="34">
        <f t="shared" si="33"/>
        <v>41919</v>
      </c>
      <c r="E61" s="34">
        <f t="shared" si="33"/>
        <v>41920</v>
      </c>
      <c r="F61" s="34">
        <f t="shared" si="33"/>
        <v>41921</v>
      </c>
      <c r="G61" s="34">
        <f t="shared" si="33"/>
        <v>41922</v>
      </c>
      <c r="H61" s="34">
        <f t="shared" si="33"/>
        <v>41923</v>
      </c>
      <c r="J61" s="82">
        <f t="array" ref="J61">IFERROR(IF(MATCH(8,DAY(B61:H61),0),H61,""),"")</f>
        <v>41923</v>
      </c>
      <c r="K61" s="71">
        <f ca="1">IF(""=IFERROR(INDEX(INDIRECT("Data!C"&amp;$B$4,FALSE),MATCH(B61,Data!$A:$A,0)),$K$6),$K$8,IFERROR(INDEX(INDIRECT("Data!C"&amp;$B$4,FALSE),MATCH(B61,Data!$A:$A,0)),$K$6))</f>
        <v>10</v>
      </c>
      <c r="L61" s="71">
        <f ca="1">IF(""=IFERROR(INDEX(INDIRECT("Data!C"&amp;$B$4,FALSE),MATCH(C61,Data!$A:$A,0)),$K$6),$K$8,IFERROR(INDEX(INDIRECT("Data!C"&amp;$B$4,FALSE),MATCH(C61,Data!$A:$A,0)),$K$6))</f>
        <v>259</v>
      </c>
      <c r="M61" s="71">
        <f ca="1">IF(""=IFERROR(INDEX(INDIRECT("Data!C"&amp;$B$4,FALSE),MATCH(D61,Data!$A:$A,0)),$K$6),$K$8,IFERROR(INDEX(INDIRECT("Data!C"&amp;$B$4,FALSE),MATCH(D61,Data!$A:$A,0)),$K$6))</f>
        <v>201</v>
      </c>
      <c r="N61" s="71">
        <f ca="1">IF(""=IFERROR(INDEX(INDIRECT("Data!C"&amp;$B$4,FALSE),MATCH(E61,Data!$A:$A,0)),$K$6),$K$8,IFERROR(INDEX(INDIRECT("Data!C"&amp;$B$4,FALSE),MATCH(E61,Data!$A:$A,0)),$K$6))</f>
        <v>114</v>
      </c>
      <c r="O61" s="71">
        <f ca="1">IF(""=IFERROR(INDEX(INDIRECT("Data!C"&amp;$B$4,FALSE),MATCH(F61,Data!$A:$A,0)),$K$6),$K$8,IFERROR(INDEX(INDIRECT("Data!C"&amp;$B$4,FALSE),MATCH(F61,Data!$A:$A,0)),$K$6))</f>
        <v>134</v>
      </c>
      <c r="P61" s="71">
        <f ca="1">IF(""=IFERROR(INDEX(INDIRECT("Data!C"&amp;$B$4,FALSE),MATCH(G61,Data!$A:$A,0)),$K$6),$K$8,IFERROR(INDEX(INDIRECT("Data!C"&amp;$B$4,FALSE),MATCH(G61,Data!$A:$A,0)),$K$6))</f>
        <v>186</v>
      </c>
      <c r="Q61" s="71">
        <f ca="1">IF(""=IFERROR(INDEX(INDIRECT("Data!C"&amp;$B$4,FALSE),MATCH(H61,Data!$A:$A,0)),$K$6),$K$8,IFERROR(INDEX(INDIRECT("Data!C"&amp;$B$4,FALSE),MATCH(H61,Data!$A:$A,0)),$K$6))</f>
        <v>56</v>
      </c>
      <c r="R61" s="88">
        <f t="shared" ca="1" si="21"/>
        <v>137.14285714285714</v>
      </c>
      <c r="T61" s="34">
        <f t="shared" si="29"/>
        <v>41917</v>
      </c>
      <c r="U61" s="34">
        <f t="shared" si="22"/>
        <v>41918</v>
      </c>
      <c r="V61" s="34">
        <f t="shared" si="17"/>
        <v>41919</v>
      </c>
      <c r="W61" s="34">
        <f t="shared" si="17"/>
        <v>41920</v>
      </c>
      <c r="X61" s="34">
        <f t="shared" si="17"/>
        <v>41921</v>
      </c>
      <c r="Y61" s="34">
        <f t="shared" si="17"/>
        <v>41922</v>
      </c>
      <c r="Z61" s="34">
        <f t="shared" si="17"/>
        <v>41923</v>
      </c>
      <c r="AB61" s="82">
        <f t="array" ref="AB61">IFERROR(IF(MATCH(8,DAY(T61:Z61),0),Z61,""),"")</f>
        <v>41923</v>
      </c>
      <c r="AC61" s="71">
        <f ca="1">IF(""=IFERROR(INDEX(INDIRECT("Data!C"&amp;$T$4,FALSE),MATCH(T61,Data!$A:$A,0)),$AC$6),$AC$8,IFERROR(INDEX(INDIRECT("Data!C"&amp;$T$4,FALSE),MATCH(T61,Data!$A:$A,0)),$AC$6))</f>
        <v>10</v>
      </c>
      <c r="AD61" s="71">
        <f ca="1">IF(""=IFERROR(INDEX(INDIRECT("Data!C"&amp;$T$4,FALSE),MATCH(U61,Data!$A:$A,0)),$AC$6),$AC$8,IFERROR(INDEX(INDIRECT("Data!C"&amp;$T$4,FALSE),MATCH(U61,Data!$A:$A,0)),$AC$6))</f>
        <v>259</v>
      </c>
      <c r="AE61" s="71">
        <f ca="1">IF(""=IFERROR(INDEX(INDIRECT("Data!C"&amp;$T$4,FALSE),MATCH(V61,Data!$A:$A,0)),$AC$6),$AC$8,IFERROR(INDEX(INDIRECT("Data!C"&amp;$T$4,FALSE),MATCH(V61,Data!$A:$A,0)),$AC$6))</f>
        <v>201</v>
      </c>
      <c r="AF61" s="71">
        <f ca="1">IF(""=IFERROR(INDEX(INDIRECT("Data!C"&amp;$T$4,FALSE),MATCH(W61,Data!$A:$A,0)),$AC$6),$AC$8,IFERROR(INDEX(INDIRECT("Data!C"&amp;$T$4,FALSE),MATCH(W61,Data!$A:$A,0)),$AC$6))</f>
        <v>114</v>
      </c>
      <c r="AG61" s="71">
        <f ca="1">IF(""=IFERROR(INDEX(INDIRECT("Data!C"&amp;$T$4,FALSE),MATCH(X61,Data!$A:$A,0)),$AC$6),$AC$8,IFERROR(INDEX(INDIRECT("Data!C"&amp;$T$4,FALSE),MATCH(X61,Data!$A:$A,0)),$AC$6))</f>
        <v>134</v>
      </c>
      <c r="AH61" s="71">
        <f ca="1">IF(""=IFERROR(INDEX(INDIRECT("Data!C"&amp;$T$4,FALSE),MATCH(Y61,Data!$A:$A,0)),$AC$6),$AC$8,IFERROR(INDEX(INDIRECT("Data!C"&amp;$T$4,FALSE),MATCH(Y61,Data!$A:$A,0)),$AC$6))</f>
        <v>186</v>
      </c>
      <c r="AI61" s="71">
        <f ca="1">IF(""=IFERROR(INDEX(INDIRECT("Data!C"&amp;$T$4,FALSE),MATCH(Z61,Data!$A:$A,0)),$AC$6),$AC$8,IFERROR(INDEX(INDIRECT("Data!C"&amp;$T$4,FALSE),MATCH(Z61,Data!$A:$A,0)),$AC$6))</f>
        <v>56</v>
      </c>
      <c r="AJ61" s="88">
        <f t="shared" ca="1" si="23"/>
        <v>137.14285714285714</v>
      </c>
      <c r="AL61" s="34">
        <f t="shared" si="30"/>
        <v>41917</v>
      </c>
      <c r="AM61" s="34">
        <f t="shared" si="24"/>
        <v>41918</v>
      </c>
      <c r="AN61" s="34">
        <f t="shared" si="18"/>
        <v>41919</v>
      </c>
      <c r="AO61" s="34">
        <f t="shared" si="18"/>
        <v>41920</v>
      </c>
      <c r="AP61" s="34">
        <f t="shared" si="18"/>
        <v>41921</v>
      </c>
      <c r="AQ61" s="34">
        <f t="shared" si="18"/>
        <v>41922</v>
      </c>
      <c r="AR61" s="34">
        <f t="shared" si="18"/>
        <v>41923</v>
      </c>
      <c r="AT61" s="82">
        <f t="array" ref="AT61">IFERROR(IF(MATCH(8,DAY(AL61:AR61),0),AR61,""),"")</f>
        <v>41923</v>
      </c>
      <c r="AU61" s="71">
        <f ca="1">IF(""=IFERROR(INDEX(INDIRECT("Data!C"&amp;$AL$4,FALSE),MATCH(AL61,Data!$A:$A,0)),$AU$6),$AU$8,IFERROR(INDEX(INDIRECT("Data!C"&amp;$AL$4,FALSE),MATCH(AL61,Data!$A:$A,0)),$AU$6))</f>
        <v>10</v>
      </c>
      <c r="AV61" s="71">
        <f ca="1">IF(""=IFERROR(INDEX(INDIRECT("Data!C"&amp;$AL$4,FALSE),MATCH(AM61,Data!$A:$A,0)),$AU$6),$AU$8,IFERROR(INDEX(INDIRECT("Data!C"&amp;$AL$4,FALSE),MATCH(AM61,Data!$A:$A,0)),$AU$6))</f>
        <v>259</v>
      </c>
      <c r="AW61" s="71">
        <f ca="1">IF(""=IFERROR(INDEX(INDIRECT("Data!C"&amp;$AL$4,FALSE),MATCH(AN61,Data!$A:$A,0)),$AU$6),$AU$8,IFERROR(INDEX(INDIRECT("Data!C"&amp;$AL$4,FALSE),MATCH(AN61,Data!$A:$A,0)),$AU$6))</f>
        <v>201</v>
      </c>
      <c r="AX61" s="71">
        <f ca="1">IF(""=IFERROR(INDEX(INDIRECT("Data!C"&amp;$AL$4,FALSE),MATCH(AO61,Data!$A:$A,0)),$AU$6),$AU$8,IFERROR(INDEX(INDIRECT("Data!C"&amp;$AL$4,FALSE),MATCH(AO61,Data!$A:$A,0)),$AU$6))</f>
        <v>114</v>
      </c>
      <c r="AY61" s="71">
        <f ca="1">IF(""=IFERROR(INDEX(INDIRECT("Data!C"&amp;$AL$4,FALSE),MATCH(AP61,Data!$A:$A,0)),$AU$6),$AU$8,IFERROR(INDEX(INDIRECT("Data!C"&amp;$AL$4,FALSE),MATCH(AP61,Data!$A:$A,0)),$AU$6))</f>
        <v>134</v>
      </c>
      <c r="AZ61" s="71">
        <f ca="1">IF(""=IFERROR(INDEX(INDIRECT("Data!C"&amp;$AL$4,FALSE),MATCH(AQ61,Data!$A:$A,0)),$AU$6),$AU$8,IFERROR(INDEX(INDIRECT("Data!C"&amp;$AL$4,FALSE),MATCH(AQ61,Data!$A:$A,0)),$AU$6))</f>
        <v>186</v>
      </c>
      <c r="BA61" s="71">
        <f ca="1">IF(""=IFERROR(INDEX(INDIRECT("Data!C"&amp;$AL$4,FALSE),MATCH(AR61,Data!$A:$A,0)),$AU$6),$AU$8,IFERROR(INDEX(INDIRECT("Data!C"&amp;$AL$4,FALSE),MATCH(AR61,Data!$A:$A,0)),$AU$6))</f>
        <v>56</v>
      </c>
      <c r="BB61" s="88">
        <f t="shared" ca="1" si="25"/>
        <v>137.14285714285714</v>
      </c>
      <c r="BD61" s="34">
        <f t="shared" si="31"/>
        <v>41917</v>
      </c>
      <c r="BE61" s="34">
        <f t="shared" si="26"/>
        <v>41918</v>
      </c>
      <c r="BF61" s="34">
        <f t="shared" si="19"/>
        <v>41919</v>
      </c>
      <c r="BG61" s="34">
        <f t="shared" si="19"/>
        <v>41920</v>
      </c>
      <c r="BH61" s="34">
        <f t="shared" si="19"/>
        <v>41921</v>
      </c>
      <c r="BI61" s="34">
        <f t="shared" si="19"/>
        <v>41922</v>
      </c>
      <c r="BJ61" s="34">
        <f t="shared" si="19"/>
        <v>41923</v>
      </c>
      <c r="BL61" s="82">
        <f t="array" ref="BL61">IFERROR(IF(MATCH(8,DAY(BD61:BJ61),0),BJ61,""),"")</f>
        <v>41923</v>
      </c>
      <c r="BM61" s="71">
        <f ca="1">IF(""=IFERROR(INDEX(INDIRECT("Data!C"&amp;$BD$4,FALSE),MATCH(BD61,Data!$A:$A,0)),$BM$6),$BM$8,IFERROR(INDEX(INDIRECT("Data!C"&amp;$BD$4,FALSE),MATCH(BD61,Data!$A:$A,0)),$BM$6))</f>
        <v>10</v>
      </c>
      <c r="BN61" s="71">
        <f ca="1">IF(""=IFERROR(INDEX(INDIRECT("Data!C"&amp;$BD$4,FALSE),MATCH(BE61,Data!$A:$A,0)),$BM$6),$BM$8,IFERROR(INDEX(INDIRECT("Data!C"&amp;$BD$4,FALSE),MATCH(BE61,Data!$A:$A,0)),$BM$6))</f>
        <v>259</v>
      </c>
      <c r="BO61" s="71">
        <f ca="1">IF(""=IFERROR(INDEX(INDIRECT("Data!C"&amp;$BD$4,FALSE),MATCH(BF61,Data!$A:$A,0)),$BM$6),$BM$8,IFERROR(INDEX(INDIRECT("Data!C"&amp;$BD$4,FALSE),MATCH(BF61,Data!$A:$A,0)),$BM$6))</f>
        <v>201</v>
      </c>
      <c r="BP61" s="71">
        <f ca="1">IF(""=IFERROR(INDEX(INDIRECT("Data!C"&amp;$BD$4,FALSE),MATCH(BG61,Data!$A:$A,0)),$BM$6),$BM$8,IFERROR(INDEX(INDIRECT("Data!C"&amp;$BD$4,FALSE),MATCH(BG61,Data!$A:$A,0)),$BM$6))</f>
        <v>114</v>
      </c>
      <c r="BQ61" s="71">
        <f ca="1">IF(""=IFERROR(INDEX(INDIRECT("Data!C"&amp;$BD$4,FALSE),MATCH(BH61,Data!$A:$A,0)),$BM$6),$BM$8,IFERROR(INDEX(INDIRECT("Data!C"&amp;$BD$4,FALSE),MATCH(BH61,Data!$A:$A,0)),$BM$6))</f>
        <v>134</v>
      </c>
      <c r="BR61" s="71">
        <f ca="1">IF(""=IFERROR(INDEX(INDIRECT("Data!C"&amp;$BD$4,FALSE),MATCH(BI61,Data!$A:$A,0)),$BM$6),$BM$8,IFERROR(INDEX(INDIRECT("Data!C"&amp;$BD$4,FALSE),MATCH(BI61,Data!$A:$A,0)),$BM$6))</f>
        <v>186</v>
      </c>
      <c r="BS61" s="71">
        <f ca="1">IF(""=IFERROR(INDEX(INDIRECT("Data!C"&amp;$BD$4,FALSE),MATCH(BJ61,Data!$A:$A,0)),$BM$6),$BM$8,IFERROR(INDEX(INDIRECT("Data!C"&amp;$BD$4,FALSE),MATCH(BJ61,Data!$A:$A,0)),$BM$6))</f>
        <v>56</v>
      </c>
      <c r="BT61" s="88">
        <f t="shared" ca="1" si="27"/>
        <v>137.14285714285714</v>
      </c>
    </row>
    <row r="62" spans="2:72" ht="12" customHeight="1" x14ac:dyDescent="0.2">
      <c r="B62" s="34">
        <f t="shared" si="28"/>
        <v>41924</v>
      </c>
      <c r="C62" s="34">
        <f t="shared" si="33"/>
        <v>41925</v>
      </c>
      <c r="D62" s="34">
        <f t="shared" si="33"/>
        <v>41926</v>
      </c>
      <c r="E62" s="34">
        <f t="shared" si="33"/>
        <v>41927</v>
      </c>
      <c r="F62" s="34">
        <f t="shared" si="33"/>
        <v>41928</v>
      </c>
      <c r="G62" s="34">
        <f t="shared" si="33"/>
        <v>41929</v>
      </c>
      <c r="H62" s="34">
        <f t="shared" si="33"/>
        <v>41930</v>
      </c>
      <c r="J62" s="82" t="str">
        <f t="array" ref="J62">IFERROR(IF(MATCH(8,DAY(B62:H62),0),H62,""),"")</f>
        <v/>
      </c>
      <c r="K62" s="71">
        <f ca="1">IF(""=IFERROR(INDEX(INDIRECT("Data!C"&amp;$B$4,FALSE),MATCH(B62,Data!$A:$A,0)),$K$6),$K$8,IFERROR(INDEX(INDIRECT("Data!C"&amp;$B$4,FALSE),MATCH(B62,Data!$A:$A,0)),$K$6))</f>
        <v>19</v>
      </c>
      <c r="L62" s="71">
        <f ca="1">IF(""=IFERROR(INDEX(INDIRECT("Data!C"&amp;$B$4,FALSE),MATCH(C62,Data!$A:$A,0)),$K$6),$K$8,IFERROR(INDEX(INDIRECT("Data!C"&amp;$B$4,FALSE),MATCH(C62,Data!$A:$A,0)),$K$6))</f>
        <v>335</v>
      </c>
      <c r="M62" s="71">
        <f ca="1">IF(""=IFERROR(INDEX(INDIRECT("Data!C"&amp;$B$4,FALSE),MATCH(D62,Data!$A:$A,0)),$K$6),$K$8,IFERROR(INDEX(INDIRECT("Data!C"&amp;$B$4,FALSE),MATCH(D62,Data!$A:$A,0)),$K$6))</f>
        <v>213</v>
      </c>
      <c r="N62" s="71">
        <f ca="1">IF(""=IFERROR(INDEX(INDIRECT("Data!C"&amp;$B$4,FALSE),MATCH(E62,Data!$A:$A,0)),$K$6),$K$8,IFERROR(INDEX(INDIRECT("Data!C"&amp;$B$4,FALSE),MATCH(E62,Data!$A:$A,0)),$K$6))</f>
        <v>268</v>
      </c>
      <c r="O62" s="71">
        <f ca="1">IF(""=IFERROR(INDEX(INDIRECT("Data!C"&amp;$B$4,FALSE),MATCH(F62,Data!$A:$A,0)),$K$6),$K$8,IFERROR(INDEX(INDIRECT("Data!C"&amp;$B$4,FALSE),MATCH(F62,Data!$A:$A,0)),$K$6))</f>
        <v>194</v>
      </c>
      <c r="P62" s="71">
        <f ca="1">IF(""=IFERROR(INDEX(INDIRECT("Data!C"&amp;$B$4,FALSE),MATCH(G62,Data!$A:$A,0)),$K$6),$K$8,IFERROR(INDEX(INDIRECT("Data!C"&amp;$B$4,FALSE),MATCH(G62,Data!$A:$A,0)),$K$6))</f>
        <v>196</v>
      </c>
      <c r="Q62" s="71">
        <f ca="1">IF(""=IFERROR(INDEX(INDIRECT("Data!C"&amp;$B$4,FALSE),MATCH(H62,Data!$A:$A,0)),$K$6),$K$8,IFERROR(INDEX(INDIRECT("Data!C"&amp;$B$4,FALSE),MATCH(H62,Data!$A:$A,0)),$K$6))</f>
        <v>56</v>
      </c>
      <c r="R62" s="88">
        <f t="shared" ca="1" si="21"/>
        <v>183</v>
      </c>
      <c r="T62" s="34">
        <f t="shared" si="29"/>
        <v>41924</v>
      </c>
      <c r="U62" s="34">
        <f t="shared" si="22"/>
        <v>41925</v>
      </c>
      <c r="V62" s="34">
        <f t="shared" si="17"/>
        <v>41926</v>
      </c>
      <c r="W62" s="34">
        <f t="shared" si="17"/>
        <v>41927</v>
      </c>
      <c r="X62" s="34">
        <f t="shared" si="17"/>
        <v>41928</v>
      </c>
      <c r="Y62" s="34">
        <f t="shared" si="17"/>
        <v>41929</v>
      </c>
      <c r="Z62" s="34">
        <f t="shared" si="17"/>
        <v>41930</v>
      </c>
      <c r="AB62" s="82" t="str">
        <f t="array" ref="AB62">IFERROR(IF(MATCH(8,DAY(T62:Z62),0),Z62,""),"")</f>
        <v/>
      </c>
      <c r="AC62" s="71">
        <f ca="1">IF(""=IFERROR(INDEX(INDIRECT("Data!C"&amp;$T$4,FALSE),MATCH(T62,Data!$A:$A,0)),$AC$6),$AC$8,IFERROR(INDEX(INDIRECT("Data!C"&amp;$T$4,FALSE),MATCH(T62,Data!$A:$A,0)),$AC$6))</f>
        <v>19</v>
      </c>
      <c r="AD62" s="71">
        <f ca="1">IF(""=IFERROR(INDEX(INDIRECT("Data!C"&amp;$T$4,FALSE),MATCH(U62,Data!$A:$A,0)),$AC$6),$AC$8,IFERROR(INDEX(INDIRECT("Data!C"&amp;$T$4,FALSE),MATCH(U62,Data!$A:$A,0)),$AC$6))</f>
        <v>335</v>
      </c>
      <c r="AE62" s="71">
        <f ca="1">IF(""=IFERROR(INDEX(INDIRECT("Data!C"&amp;$T$4,FALSE),MATCH(V62,Data!$A:$A,0)),$AC$6),$AC$8,IFERROR(INDEX(INDIRECT("Data!C"&amp;$T$4,FALSE),MATCH(V62,Data!$A:$A,0)),$AC$6))</f>
        <v>213</v>
      </c>
      <c r="AF62" s="71">
        <f ca="1">IF(""=IFERROR(INDEX(INDIRECT("Data!C"&amp;$T$4,FALSE),MATCH(W62,Data!$A:$A,0)),$AC$6),$AC$8,IFERROR(INDEX(INDIRECT("Data!C"&amp;$T$4,FALSE),MATCH(W62,Data!$A:$A,0)),$AC$6))</f>
        <v>268</v>
      </c>
      <c r="AG62" s="71">
        <f ca="1">IF(""=IFERROR(INDEX(INDIRECT("Data!C"&amp;$T$4,FALSE),MATCH(X62,Data!$A:$A,0)),$AC$6),$AC$8,IFERROR(INDEX(INDIRECT("Data!C"&amp;$T$4,FALSE),MATCH(X62,Data!$A:$A,0)),$AC$6))</f>
        <v>194</v>
      </c>
      <c r="AH62" s="71">
        <f ca="1">IF(""=IFERROR(INDEX(INDIRECT("Data!C"&amp;$T$4,FALSE),MATCH(Y62,Data!$A:$A,0)),$AC$6),$AC$8,IFERROR(INDEX(INDIRECT("Data!C"&amp;$T$4,FALSE),MATCH(Y62,Data!$A:$A,0)),$AC$6))</f>
        <v>196</v>
      </c>
      <c r="AI62" s="71">
        <f ca="1">IF(""=IFERROR(INDEX(INDIRECT("Data!C"&amp;$T$4,FALSE),MATCH(Z62,Data!$A:$A,0)),$AC$6),$AC$8,IFERROR(INDEX(INDIRECT("Data!C"&amp;$T$4,FALSE),MATCH(Z62,Data!$A:$A,0)),$AC$6))</f>
        <v>56</v>
      </c>
      <c r="AJ62" s="88">
        <f t="shared" ca="1" si="23"/>
        <v>183</v>
      </c>
      <c r="AL62" s="34">
        <f t="shared" si="30"/>
        <v>41924</v>
      </c>
      <c r="AM62" s="34">
        <f t="shared" si="24"/>
        <v>41925</v>
      </c>
      <c r="AN62" s="34">
        <f t="shared" si="18"/>
        <v>41926</v>
      </c>
      <c r="AO62" s="34">
        <f t="shared" si="18"/>
        <v>41927</v>
      </c>
      <c r="AP62" s="34">
        <f t="shared" si="18"/>
        <v>41928</v>
      </c>
      <c r="AQ62" s="34">
        <f t="shared" si="18"/>
        <v>41929</v>
      </c>
      <c r="AR62" s="34">
        <f t="shared" si="18"/>
        <v>41930</v>
      </c>
      <c r="AT62" s="82" t="str">
        <f t="array" ref="AT62">IFERROR(IF(MATCH(8,DAY(AL62:AR62),0),AR62,""),"")</f>
        <v/>
      </c>
      <c r="AU62" s="71">
        <f ca="1">IF(""=IFERROR(INDEX(INDIRECT("Data!C"&amp;$AL$4,FALSE),MATCH(AL62,Data!$A:$A,0)),$AU$6),$AU$8,IFERROR(INDEX(INDIRECT("Data!C"&amp;$AL$4,FALSE),MATCH(AL62,Data!$A:$A,0)),$AU$6))</f>
        <v>19</v>
      </c>
      <c r="AV62" s="71">
        <f ca="1">IF(""=IFERROR(INDEX(INDIRECT("Data!C"&amp;$AL$4,FALSE),MATCH(AM62,Data!$A:$A,0)),$AU$6),$AU$8,IFERROR(INDEX(INDIRECT("Data!C"&amp;$AL$4,FALSE),MATCH(AM62,Data!$A:$A,0)),$AU$6))</f>
        <v>335</v>
      </c>
      <c r="AW62" s="71">
        <f ca="1">IF(""=IFERROR(INDEX(INDIRECT("Data!C"&amp;$AL$4,FALSE),MATCH(AN62,Data!$A:$A,0)),$AU$6),$AU$8,IFERROR(INDEX(INDIRECT("Data!C"&amp;$AL$4,FALSE),MATCH(AN62,Data!$A:$A,0)),$AU$6))</f>
        <v>213</v>
      </c>
      <c r="AX62" s="71">
        <f ca="1">IF(""=IFERROR(INDEX(INDIRECT("Data!C"&amp;$AL$4,FALSE),MATCH(AO62,Data!$A:$A,0)),$AU$6),$AU$8,IFERROR(INDEX(INDIRECT("Data!C"&amp;$AL$4,FALSE),MATCH(AO62,Data!$A:$A,0)),$AU$6))</f>
        <v>268</v>
      </c>
      <c r="AY62" s="71">
        <f ca="1">IF(""=IFERROR(INDEX(INDIRECT("Data!C"&amp;$AL$4,FALSE),MATCH(AP62,Data!$A:$A,0)),$AU$6),$AU$8,IFERROR(INDEX(INDIRECT("Data!C"&amp;$AL$4,FALSE),MATCH(AP62,Data!$A:$A,0)),$AU$6))</f>
        <v>194</v>
      </c>
      <c r="AZ62" s="71">
        <f ca="1">IF(""=IFERROR(INDEX(INDIRECT("Data!C"&amp;$AL$4,FALSE),MATCH(AQ62,Data!$A:$A,0)),$AU$6),$AU$8,IFERROR(INDEX(INDIRECT("Data!C"&amp;$AL$4,FALSE),MATCH(AQ62,Data!$A:$A,0)),$AU$6))</f>
        <v>196</v>
      </c>
      <c r="BA62" s="71">
        <f ca="1">IF(""=IFERROR(INDEX(INDIRECT("Data!C"&amp;$AL$4,FALSE),MATCH(AR62,Data!$A:$A,0)),$AU$6),$AU$8,IFERROR(INDEX(INDIRECT("Data!C"&amp;$AL$4,FALSE),MATCH(AR62,Data!$A:$A,0)),$AU$6))</f>
        <v>56</v>
      </c>
      <c r="BB62" s="88">
        <f t="shared" ca="1" si="25"/>
        <v>183</v>
      </c>
      <c r="BD62" s="34">
        <f t="shared" si="31"/>
        <v>41924</v>
      </c>
      <c r="BE62" s="34">
        <f t="shared" si="26"/>
        <v>41925</v>
      </c>
      <c r="BF62" s="34">
        <f t="shared" si="19"/>
        <v>41926</v>
      </c>
      <c r="BG62" s="34">
        <f t="shared" si="19"/>
        <v>41927</v>
      </c>
      <c r="BH62" s="34">
        <f t="shared" si="19"/>
        <v>41928</v>
      </c>
      <c r="BI62" s="34">
        <f t="shared" si="19"/>
        <v>41929</v>
      </c>
      <c r="BJ62" s="34">
        <f t="shared" si="19"/>
        <v>41930</v>
      </c>
      <c r="BL62" s="82" t="str">
        <f t="array" ref="BL62">IFERROR(IF(MATCH(8,DAY(BD62:BJ62),0),BJ62,""),"")</f>
        <v/>
      </c>
      <c r="BM62" s="71">
        <f ca="1">IF(""=IFERROR(INDEX(INDIRECT("Data!C"&amp;$BD$4,FALSE),MATCH(BD62,Data!$A:$A,0)),$BM$6),$BM$8,IFERROR(INDEX(INDIRECT("Data!C"&amp;$BD$4,FALSE),MATCH(BD62,Data!$A:$A,0)),$BM$6))</f>
        <v>19</v>
      </c>
      <c r="BN62" s="71">
        <f ca="1">IF(""=IFERROR(INDEX(INDIRECT("Data!C"&amp;$BD$4,FALSE),MATCH(BE62,Data!$A:$A,0)),$BM$6),$BM$8,IFERROR(INDEX(INDIRECT("Data!C"&amp;$BD$4,FALSE),MATCH(BE62,Data!$A:$A,0)),$BM$6))</f>
        <v>335</v>
      </c>
      <c r="BO62" s="71">
        <f ca="1">IF(""=IFERROR(INDEX(INDIRECT("Data!C"&amp;$BD$4,FALSE),MATCH(BF62,Data!$A:$A,0)),$BM$6),$BM$8,IFERROR(INDEX(INDIRECT("Data!C"&amp;$BD$4,FALSE),MATCH(BF62,Data!$A:$A,0)),$BM$6))</f>
        <v>213</v>
      </c>
      <c r="BP62" s="71">
        <f ca="1">IF(""=IFERROR(INDEX(INDIRECT("Data!C"&amp;$BD$4,FALSE),MATCH(BG62,Data!$A:$A,0)),$BM$6),$BM$8,IFERROR(INDEX(INDIRECT("Data!C"&amp;$BD$4,FALSE),MATCH(BG62,Data!$A:$A,0)),$BM$6))</f>
        <v>268</v>
      </c>
      <c r="BQ62" s="71">
        <f ca="1">IF(""=IFERROR(INDEX(INDIRECT("Data!C"&amp;$BD$4,FALSE),MATCH(BH62,Data!$A:$A,0)),$BM$6),$BM$8,IFERROR(INDEX(INDIRECT("Data!C"&amp;$BD$4,FALSE),MATCH(BH62,Data!$A:$A,0)),$BM$6))</f>
        <v>194</v>
      </c>
      <c r="BR62" s="71">
        <f ca="1">IF(""=IFERROR(INDEX(INDIRECT("Data!C"&amp;$BD$4,FALSE),MATCH(BI62,Data!$A:$A,0)),$BM$6),$BM$8,IFERROR(INDEX(INDIRECT("Data!C"&amp;$BD$4,FALSE),MATCH(BI62,Data!$A:$A,0)),$BM$6))</f>
        <v>196</v>
      </c>
      <c r="BS62" s="71">
        <f ca="1">IF(""=IFERROR(INDEX(INDIRECT("Data!C"&amp;$BD$4,FALSE),MATCH(BJ62,Data!$A:$A,0)),$BM$6),$BM$8,IFERROR(INDEX(INDIRECT("Data!C"&amp;$BD$4,FALSE),MATCH(BJ62,Data!$A:$A,0)),$BM$6))</f>
        <v>56</v>
      </c>
      <c r="BT62" s="88">
        <f t="shared" ca="1" si="27"/>
        <v>183</v>
      </c>
    </row>
    <row r="63" spans="2:72" ht="12" customHeight="1" x14ac:dyDescent="0.2">
      <c r="B63" s="34">
        <f t="shared" si="28"/>
        <v>41931</v>
      </c>
      <c r="C63" s="34">
        <f t="shared" si="33"/>
        <v>41932</v>
      </c>
      <c r="D63" s="34">
        <f t="shared" si="33"/>
        <v>41933</v>
      </c>
      <c r="E63" s="34">
        <f t="shared" si="33"/>
        <v>41934</v>
      </c>
      <c r="F63" s="34">
        <f t="shared" si="33"/>
        <v>41935</v>
      </c>
      <c r="G63" s="34">
        <f t="shared" si="33"/>
        <v>41936</v>
      </c>
      <c r="H63" s="34">
        <f t="shared" si="33"/>
        <v>41937</v>
      </c>
      <c r="J63" s="82" t="str">
        <f t="array" ref="J63">IFERROR(IF(MATCH(8,DAY(B63:H63),0),H63,""),"")</f>
        <v/>
      </c>
      <c r="K63" s="71">
        <f ca="1">IF(""=IFERROR(INDEX(INDIRECT("Data!C"&amp;$B$4,FALSE),MATCH(B63,Data!$A:$A,0)),$K$6),$K$8,IFERROR(INDEX(INDIRECT("Data!C"&amp;$B$4,FALSE),MATCH(B63,Data!$A:$A,0)),$K$6))</f>
        <v>32</v>
      </c>
      <c r="L63" s="71">
        <f ca="1">IF(""=IFERROR(INDEX(INDIRECT("Data!C"&amp;$B$4,FALSE),MATCH(C63,Data!$A:$A,0)),$K$6),$K$8,IFERROR(INDEX(INDIRECT("Data!C"&amp;$B$4,FALSE),MATCH(C63,Data!$A:$A,0)),$K$6))</f>
        <v>305</v>
      </c>
      <c r="M63" s="71">
        <f ca="1">IF(""=IFERROR(INDEX(INDIRECT("Data!C"&amp;$B$4,FALSE),MATCH(D63,Data!$A:$A,0)),$K$6),$K$8,IFERROR(INDEX(INDIRECT("Data!C"&amp;$B$4,FALSE),MATCH(D63,Data!$A:$A,0)),$K$6))</f>
        <v>353</v>
      </c>
      <c r="N63" s="71">
        <f ca="1">IF(""=IFERROR(INDEX(INDIRECT("Data!C"&amp;$B$4,FALSE),MATCH(E63,Data!$A:$A,0)),$K$6),$K$8,IFERROR(INDEX(INDIRECT("Data!C"&amp;$B$4,FALSE),MATCH(E63,Data!$A:$A,0)),$K$6))</f>
        <v>256</v>
      </c>
      <c r="O63" s="71">
        <f ca="1">IF(""=IFERROR(INDEX(INDIRECT("Data!C"&amp;$B$4,FALSE),MATCH(F63,Data!$A:$A,0)),$K$6),$K$8,IFERROR(INDEX(INDIRECT("Data!C"&amp;$B$4,FALSE),MATCH(F63,Data!$A:$A,0)),$K$6))</f>
        <v>281</v>
      </c>
      <c r="P63" s="71">
        <f ca="1">IF(""=IFERROR(INDEX(INDIRECT("Data!C"&amp;$B$4,FALSE),MATCH(G63,Data!$A:$A,0)),$K$6),$K$8,IFERROR(INDEX(INDIRECT("Data!C"&amp;$B$4,FALSE),MATCH(G63,Data!$A:$A,0)),$K$6))</f>
        <v>215</v>
      </c>
      <c r="Q63" s="71">
        <f ca="1">IF(""=IFERROR(INDEX(INDIRECT("Data!C"&amp;$B$4,FALSE),MATCH(H63,Data!$A:$A,0)),$K$6),$K$8,IFERROR(INDEX(INDIRECT("Data!C"&amp;$B$4,FALSE),MATCH(H63,Data!$A:$A,0)),$K$6))</f>
        <v>59</v>
      </c>
      <c r="R63" s="88">
        <f t="shared" ca="1" si="21"/>
        <v>214.42857142857142</v>
      </c>
      <c r="T63" s="34">
        <f t="shared" si="29"/>
        <v>41931</v>
      </c>
      <c r="U63" s="34">
        <f t="shared" si="22"/>
        <v>41932</v>
      </c>
      <c r="V63" s="34">
        <f t="shared" si="17"/>
        <v>41933</v>
      </c>
      <c r="W63" s="34">
        <f t="shared" si="17"/>
        <v>41934</v>
      </c>
      <c r="X63" s="34">
        <f t="shared" si="17"/>
        <v>41935</v>
      </c>
      <c r="Y63" s="34">
        <f t="shared" si="17"/>
        <v>41936</v>
      </c>
      <c r="Z63" s="34">
        <f t="shared" si="17"/>
        <v>41937</v>
      </c>
      <c r="AB63" s="82" t="str">
        <f t="array" ref="AB63">IFERROR(IF(MATCH(8,DAY(T63:Z63),0),Z63,""),"")</f>
        <v/>
      </c>
      <c r="AC63" s="71">
        <f ca="1">IF(""=IFERROR(INDEX(INDIRECT("Data!C"&amp;$T$4,FALSE),MATCH(T63,Data!$A:$A,0)),$AC$6),$AC$8,IFERROR(INDEX(INDIRECT("Data!C"&amp;$T$4,FALSE),MATCH(T63,Data!$A:$A,0)),$AC$6))</f>
        <v>32</v>
      </c>
      <c r="AD63" s="71">
        <f ca="1">IF(""=IFERROR(INDEX(INDIRECT("Data!C"&amp;$T$4,FALSE),MATCH(U63,Data!$A:$A,0)),$AC$6),$AC$8,IFERROR(INDEX(INDIRECT("Data!C"&amp;$T$4,FALSE),MATCH(U63,Data!$A:$A,0)),$AC$6))</f>
        <v>305</v>
      </c>
      <c r="AE63" s="71">
        <f ca="1">IF(""=IFERROR(INDEX(INDIRECT("Data!C"&amp;$T$4,FALSE),MATCH(V63,Data!$A:$A,0)),$AC$6),$AC$8,IFERROR(INDEX(INDIRECT("Data!C"&amp;$T$4,FALSE),MATCH(V63,Data!$A:$A,0)),$AC$6))</f>
        <v>353</v>
      </c>
      <c r="AF63" s="71">
        <f ca="1">IF(""=IFERROR(INDEX(INDIRECT("Data!C"&amp;$T$4,FALSE),MATCH(W63,Data!$A:$A,0)),$AC$6),$AC$8,IFERROR(INDEX(INDIRECT("Data!C"&amp;$T$4,FALSE),MATCH(W63,Data!$A:$A,0)),$AC$6))</f>
        <v>256</v>
      </c>
      <c r="AG63" s="71">
        <f ca="1">IF(""=IFERROR(INDEX(INDIRECT("Data!C"&amp;$T$4,FALSE),MATCH(X63,Data!$A:$A,0)),$AC$6),$AC$8,IFERROR(INDEX(INDIRECT("Data!C"&amp;$T$4,FALSE),MATCH(X63,Data!$A:$A,0)),$AC$6))</f>
        <v>281</v>
      </c>
      <c r="AH63" s="71">
        <f ca="1">IF(""=IFERROR(INDEX(INDIRECT("Data!C"&amp;$T$4,FALSE),MATCH(Y63,Data!$A:$A,0)),$AC$6),$AC$8,IFERROR(INDEX(INDIRECT("Data!C"&amp;$T$4,FALSE),MATCH(Y63,Data!$A:$A,0)),$AC$6))</f>
        <v>215</v>
      </c>
      <c r="AI63" s="71">
        <f ca="1">IF(""=IFERROR(INDEX(INDIRECT("Data!C"&amp;$T$4,FALSE),MATCH(Z63,Data!$A:$A,0)),$AC$6),$AC$8,IFERROR(INDEX(INDIRECT("Data!C"&amp;$T$4,FALSE),MATCH(Z63,Data!$A:$A,0)),$AC$6))</f>
        <v>59</v>
      </c>
      <c r="AJ63" s="88">
        <f t="shared" ca="1" si="23"/>
        <v>214.42857142857142</v>
      </c>
      <c r="AL63" s="34">
        <f t="shared" si="30"/>
        <v>41931</v>
      </c>
      <c r="AM63" s="34">
        <f t="shared" si="24"/>
        <v>41932</v>
      </c>
      <c r="AN63" s="34">
        <f t="shared" si="18"/>
        <v>41933</v>
      </c>
      <c r="AO63" s="34">
        <f t="shared" si="18"/>
        <v>41934</v>
      </c>
      <c r="AP63" s="34">
        <f t="shared" si="18"/>
        <v>41935</v>
      </c>
      <c r="AQ63" s="34">
        <f t="shared" si="18"/>
        <v>41936</v>
      </c>
      <c r="AR63" s="34">
        <f t="shared" si="18"/>
        <v>41937</v>
      </c>
      <c r="AT63" s="82" t="str">
        <f t="array" ref="AT63">IFERROR(IF(MATCH(8,DAY(AL63:AR63),0),AR63,""),"")</f>
        <v/>
      </c>
      <c r="AU63" s="71">
        <f ca="1">IF(""=IFERROR(INDEX(INDIRECT("Data!C"&amp;$AL$4,FALSE),MATCH(AL63,Data!$A:$A,0)),$AU$6),$AU$8,IFERROR(INDEX(INDIRECT("Data!C"&amp;$AL$4,FALSE),MATCH(AL63,Data!$A:$A,0)),$AU$6))</f>
        <v>32</v>
      </c>
      <c r="AV63" s="71">
        <f ca="1">IF(""=IFERROR(INDEX(INDIRECT("Data!C"&amp;$AL$4,FALSE),MATCH(AM63,Data!$A:$A,0)),$AU$6),$AU$8,IFERROR(INDEX(INDIRECT("Data!C"&amp;$AL$4,FALSE),MATCH(AM63,Data!$A:$A,0)),$AU$6))</f>
        <v>305</v>
      </c>
      <c r="AW63" s="71">
        <f ca="1">IF(""=IFERROR(INDEX(INDIRECT("Data!C"&amp;$AL$4,FALSE),MATCH(AN63,Data!$A:$A,0)),$AU$6),$AU$8,IFERROR(INDEX(INDIRECT("Data!C"&amp;$AL$4,FALSE),MATCH(AN63,Data!$A:$A,0)),$AU$6))</f>
        <v>353</v>
      </c>
      <c r="AX63" s="71">
        <f ca="1">IF(""=IFERROR(INDEX(INDIRECT("Data!C"&amp;$AL$4,FALSE),MATCH(AO63,Data!$A:$A,0)),$AU$6),$AU$8,IFERROR(INDEX(INDIRECT("Data!C"&amp;$AL$4,FALSE),MATCH(AO63,Data!$A:$A,0)),$AU$6))</f>
        <v>256</v>
      </c>
      <c r="AY63" s="71">
        <f ca="1">IF(""=IFERROR(INDEX(INDIRECT("Data!C"&amp;$AL$4,FALSE),MATCH(AP63,Data!$A:$A,0)),$AU$6),$AU$8,IFERROR(INDEX(INDIRECT("Data!C"&amp;$AL$4,FALSE),MATCH(AP63,Data!$A:$A,0)),$AU$6))</f>
        <v>281</v>
      </c>
      <c r="AZ63" s="71">
        <f ca="1">IF(""=IFERROR(INDEX(INDIRECT("Data!C"&amp;$AL$4,FALSE),MATCH(AQ63,Data!$A:$A,0)),$AU$6),$AU$8,IFERROR(INDEX(INDIRECT("Data!C"&amp;$AL$4,FALSE),MATCH(AQ63,Data!$A:$A,0)),$AU$6))</f>
        <v>215</v>
      </c>
      <c r="BA63" s="71">
        <f ca="1">IF(""=IFERROR(INDEX(INDIRECT("Data!C"&amp;$AL$4,FALSE),MATCH(AR63,Data!$A:$A,0)),$AU$6),$AU$8,IFERROR(INDEX(INDIRECT("Data!C"&amp;$AL$4,FALSE),MATCH(AR63,Data!$A:$A,0)),$AU$6))</f>
        <v>59</v>
      </c>
      <c r="BB63" s="88">
        <f t="shared" ca="1" si="25"/>
        <v>214.42857142857142</v>
      </c>
      <c r="BD63" s="34">
        <f t="shared" si="31"/>
        <v>41931</v>
      </c>
      <c r="BE63" s="34">
        <f t="shared" si="26"/>
        <v>41932</v>
      </c>
      <c r="BF63" s="34">
        <f t="shared" si="19"/>
        <v>41933</v>
      </c>
      <c r="BG63" s="34">
        <f t="shared" si="19"/>
        <v>41934</v>
      </c>
      <c r="BH63" s="34">
        <f t="shared" si="19"/>
        <v>41935</v>
      </c>
      <c r="BI63" s="34">
        <f t="shared" si="19"/>
        <v>41936</v>
      </c>
      <c r="BJ63" s="34">
        <f t="shared" si="19"/>
        <v>41937</v>
      </c>
      <c r="BL63" s="82" t="str">
        <f t="array" ref="BL63">IFERROR(IF(MATCH(8,DAY(BD63:BJ63),0),BJ63,""),"")</f>
        <v/>
      </c>
      <c r="BM63" s="71">
        <f ca="1">IF(""=IFERROR(INDEX(INDIRECT("Data!C"&amp;$BD$4,FALSE),MATCH(BD63,Data!$A:$A,0)),$BM$6),$BM$8,IFERROR(INDEX(INDIRECT("Data!C"&amp;$BD$4,FALSE),MATCH(BD63,Data!$A:$A,0)),$BM$6))</f>
        <v>32</v>
      </c>
      <c r="BN63" s="71">
        <f ca="1">IF(""=IFERROR(INDEX(INDIRECT("Data!C"&amp;$BD$4,FALSE),MATCH(BE63,Data!$A:$A,0)),$BM$6),$BM$8,IFERROR(INDEX(INDIRECT("Data!C"&amp;$BD$4,FALSE),MATCH(BE63,Data!$A:$A,0)),$BM$6))</f>
        <v>305</v>
      </c>
      <c r="BO63" s="71">
        <f ca="1">IF(""=IFERROR(INDEX(INDIRECT("Data!C"&amp;$BD$4,FALSE),MATCH(BF63,Data!$A:$A,0)),$BM$6),$BM$8,IFERROR(INDEX(INDIRECT("Data!C"&amp;$BD$4,FALSE),MATCH(BF63,Data!$A:$A,0)),$BM$6))</f>
        <v>353</v>
      </c>
      <c r="BP63" s="71">
        <f ca="1">IF(""=IFERROR(INDEX(INDIRECT("Data!C"&amp;$BD$4,FALSE),MATCH(BG63,Data!$A:$A,0)),$BM$6),$BM$8,IFERROR(INDEX(INDIRECT("Data!C"&amp;$BD$4,FALSE),MATCH(BG63,Data!$A:$A,0)),$BM$6))</f>
        <v>256</v>
      </c>
      <c r="BQ63" s="71">
        <f ca="1">IF(""=IFERROR(INDEX(INDIRECT("Data!C"&amp;$BD$4,FALSE),MATCH(BH63,Data!$A:$A,0)),$BM$6),$BM$8,IFERROR(INDEX(INDIRECT("Data!C"&amp;$BD$4,FALSE),MATCH(BH63,Data!$A:$A,0)),$BM$6))</f>
        <v>281</v>
      </c>
      <c r="BR63" s="71">
        <f ca="1">IF(""=IFERROR(INDEX(INDIRECT("Data!C"&amp;$BD$4,FALSE),MATCH(BI63,Data!$A:$A,0)),$BM$6),$BM$8,IFERROR(INDEX(INDIRECT("Data!C"&amp;$BD$4,FALSE),MATCH(BI63,Data!$A:$A,0)),$BM$6))</f>
        <v>215</v>
      </c>
      <c r="BS63" s="71">
        <f ca="1">IF(""=IFERROR(INDEX(INDIRECT("Data!C"&amp;$BD$4,FALSE),MATCH(BJ63,Data!$A:$A,0)),$BM$6),$BM$8,IFERROR(INDEX(INDIRECT("Data!C"&amp;$BD$4,FALSE),MATCH(BJ63,Data!$A:$A,0)),$BM$6))</f>
        <v>59</v>
      </c>
      <c r="BT63" s="88">
        <f t="shared" ca="1" si="27"/>
        <v>214.42857142857142</v>
      </c>
    </row>
    <row r="64" spans="2:72" ht="12" customHeight="1" x14ac:dyDescent="0.2">
      <c r="B64" s="34">
        <f t="shared" si="28"/>
        <v>41938</v>
      </c>
      <c r="C64" s="34">
        <f t="shared" si="33"/>
        <v>41939</v>
      </c>
      <c r="D64" s="34">
        <f t="shared" si="33"/>
        <v>41940</v>
      </c>
      <c r="E64" s="34">
        <f t="shared" si="33"/>
        <v>41941</v>
      </c>
      <c r="F64" s="34">
        <f t="shared" si="33"/>
        <v>41942</v>
      </c>
      <c r="G64" s="34">
        <f t="shared" si="33"/>
        <v>41943</v>
      </c>
      <c r="H64" s="34">
        <f t="shared" si="33"/>
        <v>41944</v>
      </c>
      <c r="J64" s="82" t="str">
        <f t="array" ref="J64">IFERROR(IF(MATCH(8,DAY(B64:H64),0),H64,""),"")</f>
        <v/>
      </c>
      <c r="K64" s="71">
        <f ca="1">IF(""=IFERROR(INDEX(INDIRECT("Data!C"&amp;$B$4,FALSE),MATCH(B64,Data!$A:$A,0)),$K$6),$K$8,IFERROR(INDEX(INDIRECT("Data!C"&amp;$B$4,FALSE),MATCH(B64,Data!$A:$A,0)),$K$6))</f>
        <v>34</v>
      </c>
      <c r="L64" s="71">
        <f ca="1">IF(""=IFERROR(INDEX(INDIRECT("Data!C"&amp;$B$4,FALSE),MATCH(C64,Data!$A:$A,0)),$K$6),$K$8,IFERROR(INDEX(INDIRECT("Data!C"&amp;$B$4,FALSE),MATCH(C64,Data!$A:$A,0)),$K$6))</f>
        <v>335</v>
      </c>
      <c r="M64" s="71">
        <f ca="1">IF(""=IFERROR(INDEX(INDIRECT("Data!C"&amp;$B$4,FALSE),MATCH(D64,Data!$A:$A,0)),$K$6),$K$8,IFERROR(INDEX(INDIRECT("Data!C"&amp;$B$4,FALSE),MATCH(D64,Data!$A:$A,0)),$K$6))</f>
        <v>319</v>
      </c>
      <c r="N64" s="71">
        <f ca="1">IF(""=IFERROR(INDEX(INDIRECT("Data!C"&amp;$B$4,FALSE),MATCH(E64,Data!$A:$A,0)),$K$6),$K$8,IFERROR(INDEX(INDIRECT("Data!C"&amp;$B$4,FALSE),MATCH(E64,Data!$A:$A,0)),$K$6))</f>
        <v>237</v>
      </c>
      <c r="O64" s="71">
        <f ca="1">IF(""=IFERROR(INDEX(INDIRECT("Data!C"&amp;$B$4,FALSE),MATCH(F64,Data!$A:$A,0)),$K$6),$K$8,IFERROR(INDEX(INDIRECT("Data!C"&amp;$B$4,FALSE),MATCH(F64,Data!$A:$A,0)),$K$6))</f>
        <v>223</v>
      </c>
      <c r="P64" s="71">
        <f ca="1">IF(""=IFERROR(INDEX(INDIRECT("Data!C"&amp;$B$4,FALSE),MATCH(G64,Data!$A:$A,0)),$K$6),$K$8,IFERROR(INDEX(INDIRECT("Data!C"&amp;$B$4,FALSE),MATCH(G64,Data!$A:$A,0)),$K$6))</f>
        <v>190</v>
      </c>
      <c r="Q64" s="71">
        <f ca="1">IF(""=IFERROR(INDEX(INDIRECT("Data!C"&amp;$B$4,FALSE),MATCH(H64,Data!$A:$A,0)),$K$6),$K$8,IFERROR(INDEX(INDIRECT("Data!C"&amp;$B$4,FALSE),MATCH(H64,Data!$A:$A,0)),$K$6))</f>
        <v>54</v>
      </c>
      <c r="R64" s="88">
        <f t="shared" ca="1" si="21"/>
        <v>198.85714285714286</v>
      </c>
      <c r="T64" s="34">
        <f t="shared" si="29"/>
        <v>41938</v>
      </c>
      <c r="U64" s="34">
        <f t="shared" si="22"/>
        <v>41939</v>
      </c>
      <c r="V64" s="34">
        <f t="shared" si="17"/>
        <v>41940</v>
      </c>
      <c r="W64" s="34">
        <f t="shared" si="17"/>
        <v>41941</v>
      </c>
      <c r="X64" s="34">
        <f t="shared" si="17"/>
        <v>41942</v>
      </c>
      <c r="Y64" s="34">
        <f t="shared" si="17"/>
        <v>41943</v>
      </c>
      <c r="Z64" s="34">
        <f t="shared" si="17"/>
        <v>41944</v>
      </c>
      <c r="AB64" s="82" t="str">
        <f t="array" ref="AB64">IFERROR(IF(MATCH(8,DAY(T64:Z64),0),Z64,""),"")</f>
        <v/>
      </c>
      <c r="AC64" s="71">
        <f ca="1">IF(""=IFERROR(INDEX(INDIRECT("Data!C"&amp;$T$4,FALSE),MATCH(T64,Data!$A:$A,0)),$AC$6),$AC$8,IFERROR(INDEX(INDIRECT("Data!C"&amp;$T$4,FALSE),MATCH(T64,Data!$A:$A,0)),$AC$6))</f>
        <v>34</v>
      </c>
      <c r="AD64" s="71">
        <f ca="1">IF(""=IFERROR(INDEX(INDIRECT("Data!C"&amp;$T$4,FALSE),MATCH(U64,Data!$A:$A,0)),$AC$6),$AC$8,IFERROR(INDEX(INDIRECT("Data!C"&amp;$T$4,FALSE),MATCH(U64,Data!$A:$A,0)),$AC$6))</f>
        <v>335</v>
      </c>
      <c r="AE64" s="71">
        <f ca="1">IF(""=IFERROR(INDEX(INDIRECT("Data!C"&amp;$T$4,FALSE),MATCH(V64,Data!$A:$A,0)),$AC$6),$AC$8,IFERROR(INDEX(INDIRECT("Data!C"&amp;$T$4,FALSE),MATCH(V64,Data!$A:$A,0)),$AC$6))</f>
        <v>319</v>
      </c>
      <c r="AF64" s="71">
        <f ca="1">IF(""=IFERROR(INDEX(INDIRECT("Data!C"&amp;$T$4,FALSE),MATCH(W64,Data!$A:$A,0)),$AC$6),$AC$8,IFERROR(INDEX(INDIRECT("Data!C"&amp;$T$4,FALSE),MATCH(W64,Data!$A:$A,0)),$AC$6))</f>
        <v>237</v>
      </c>
      <c r="AG64" s="71">
        <f ca="1">IF(""=IFERROR(INDEX(INDIRECT("Data!C"&amp;$T$4,FALSE),MATCH(X64,Data!$A:$A,0)),$AC$6),$AC$8,IFERROR(INDEX(INDIRECT("Data!C"&amp;$T$4,FALSE),MATCH(X64,Data!$A:$A,0)),$AC$6))</f>
        <v>223</v>
      </c>
      <c r="AH64" s="71">
        <f ca="1">IF(""=IFERROR(INDEX(INDIRECT("Data!C"&amp;$T$4,FALSE),MATCH(Y64,Data!$A:$A,0)),$AC$6),$AC$8,IFERROR(INDEX(INDIRECT("Data!C"&amp;$T$4,FALSE),MATCH(Y64,Data!$A:$A,0)),$AC$6))</f>
        <v>190</v>
      </c>
      <c r="AI64" s="71">
        <f ca="1">IF(""=IFERROR(INDEX(INDIRECT("Data!C"&amp;$T$4,FALSE),MATCH(Z64,Data!$A:$A,0)),$AC$6),$AC$8,IFERROR(INDEX(INDIRECT("Data!C"&amp;$T$4,FALSE),MATCH(Z64,Data!$A:$A,0)),$AC$6))</f>
        <v>54</v>
      </c>
      <c r="AJ64" s="88">
        <f t="shared" ca="1" si="23"/>
        <v>198.85714285714286</v>
      </c>
      <c r="AL64" s="34">
        <f t="shared" si="30"/>
        <v>41938</v>
      </c>
      <c r="AM64" s="34">
        <f t="shared" si="24"/>
        <v>41939</v>
      </c>
      <c r="AN64" s="34">
        <f t="shared" si="18"/>
        <v>41940</v>
      </c>
      <c r="AO64" s="34">
        <f t="shared" si="18"/>
        <v>41941</v>
      </c>
      <c r="AP64" s="34">
        <f t="shared" si="18"/>
        <v>41942</v>
      </c>
      <c r="AQ64" s="34">
        <f t="shared" si="18"/>
        <v>41943</v>
      </c>
      <c r="AR64" s="34">
        <f t="shared" si="18"/>
        <v>41944</v>
      </c>
      <c r="AT64" s="82" t="str">
        <f t="array" ref="AT64">IFERROR(IF(MATCH(8,DAY(AL64:AR64),0),AR64,""),"")</f>
        <v/>
      </c>
      <c r="AU64" s="71">
        <f ca="1">IF(""=IFERROR(INDEX(INDIRECT("Data!C"&amp;$AL$4,FALSE),MATCH(AL64,Data!$A:$A,0)),$AU$6),$AU$8,IFERROR(INDEX(INDIRECT("Data!C"&amp;$AL$4,FALSE),MATCH(AL64,Data!$A:$A,0)),$AU$6))</f>
        <v>34</v>
      </c>
      <c r="AV64" s="71">
        <f ca="1">IF(""=IFERROR(INDEX(INDIRECT("Data!C"&amp;$AL$4,FALSE),MATCH(AM64,Data!$A:$A,0)),$AU$6),$AU$8,IFERROR(INDEX(INDIRECT("Data!C"&amp;$AL$4,FALSE),MATCH(AM64,Data!$A:$A,0)),$AU$6))</f>
        <v>335</v>
      </c>
      <c r="AW64" s="71">
        <f ca="1">IF(""=IFERROR(INDEX(INDIRECT("Data!C"&amp;$AL$4,FALSE),MATCH(AN64,Data!$A:$A,0)),$AU$6),$AU$8,IFERROR(INDEX(INDIRECT("Data!C"&amp;$AL$4,FALSE),MATCH(AN64,Data!$A:$A,0)),$AU$6))</f>
        <v>319</v>
      </c>
      <c r="AX64" s="71">
        <f ca="1">IF(""=IFERROR(INDEX(INDIRECT("Data!C"&amp;$AL$4,FALSE),MATCH(AO64,Data!$A:$A,0)),$AU$6),$AU$8,IFERROR(INDEX(INDIRECT("Data!C"&amp;$AL$4,FALSE),MATCH(AO64,Data!$A:$A,0)),$AU$6))</f>
        <v>237</v>
      </c>
      <c r="AY64" s="71">
        <f ca="1">IF(""=IFERROR(INDEX(INDIRECT("Data!C"&amp;$AL$4,FALSE),MATCH(AP64,Data!$A:$A,0)),$AU$6),$AU$8,IFERROR(INDEX(INDIRECT("Data!C"&amp;$AL$4,FALSE),MATCH(AP64,Data!$A:$A,0)),$AU$6))</f>
        <v>223</v>
      </c>
      <c r="AZ64" s="71">
        <f ca="1">IF(""=IFERROR(INDEX(INDIRECT("Data!C"&amp;$AL$4,FALSE),MATCH(AQ64,Data!$A:$A,0)),$AU$6),$AU$8,IFERROR(INDEX(INDIRECT("Data!C"&amp;$AL$4,FALSE),MATCH(AQ64,Data!$A:$A,0)),$AU$6))</f>
        <v>190</v>
      </c>
      <c r="BA64" s="71">
        <f ca="1">IF(""=IFERROR(INDEX(INDIRECT("Data!C"&amp;$AL$4,FALSE),MATCH(AR64,Data!$A:$A,0)),$AU$6),$AU$8,IFERROR(INDEX(INDIRECT("Data!C"&amp;$AL$4,FALSE),MATCH(AR64,Data!$A:$A,0)),$AU$6))</f>
        <v>54</v>
      </c>
      <c r="BB64" s="88">
        <f t="shared" ca="1" si="25"/>
        <v>198.85714285714286</v>
      </c>
      <c r="BD64" s="34">
        <f t="shared" si="31"/>
        <v>41938</v>
      </c>
      <c r="BE64" s="34">
        <f t="shared" si="26"/>
        <v>41939</v>
      </c>
      <c r="BF64" s="34">
        <f t="shared" si="19"/>
        <v>41940</v>
      </c>
      <c r="BG64" s="34">
        <f t="shared" si="19"/>
        <v>41941</v>
      </c>
      <c r="BH64" s="34">
        <f t="shared" si="19"/>
        <v>41942</v>
      </c>
      <c r="BI64" s="34">
        <f t="shared" si="19"/>
        <v>41943</v>
      </c>
      <c r="BJ64" s="34">
        <f t="shared" si="19"/>
        <v>41944</v>
      </c>
      <c r="BL64" s="82" t="str">
        <f t="array" ref="BL64">IFERROR(IF(MATCH(8,DAY(BD64:BJ64),0),BJ64,""),"")</f>
        <v/>
      </c>
      <c r="BM64" s="71">
        <f ca="1">IF(""=IFERROR(INDEX(INDIRECT("Data!C"&amp;$BD$4,FALSE),MATCH(BD64,Data!$A:$A,0)),$BM$6),$BM$8,IFERROR(INDEX(INDIRECT("Data!C"&amp;$BD$4,FALSE),MATCH(BD64,Data!$A:$A,0)),$BM$6))</f>
        <v>34</v>
      </c>
      <c r="BN64" s="71">
        <f ca="1">IF(""=IFERROR(INDEX(INDIRECT("Data!C"&amp;$BD$4,FALSE),MATCH(BE64,Data!$A:$A,0)),$BM$6),$BM$8,IFERROR(INDEX(INDIRECT("Data!C"&amp;$BD$4,FALSE),MATCH(BE64,Data!$A:$A,0)),$BM$6))</f>
        <v>335</v>
      </c>
      <c r="BO64" s="71">
        <f ca="1">IF(""=IFERROR(INDEX(INDIRECT("Data!C"&amp;$BD$4,FALSE),MATCH(BF64,Data!$A:$A,0)),$BM$6),$BM$8,IFERROR(INDEX(INDIRECT("Data!C"&amp;$BD$4,FALSE),MATCH(BF64,Data!$A:$A,0)),$BM$6))</f>
        <v>319</v>
      </c>
      <c r="BP64" s="71">
        <f ca="1">IF(""=IFERROR(INDEX(INDIRECT("Data!C"&amp;$BD$4,FALSE),MATCH(BG64,Data!$A:$A,0)),$BM$6),$BM$8,IFERROR(INDEX(INDIRECT("Data!C"&amp;$BD$4,FALSE),MATCH(BG64,Data!$A:$A,0)),$BM$6))</f>
        <v>237</v>
      </c>
      <c r="BQ64" s="71">
        <f ca="1">IF(""=IFERROR(INDEX(INDIRECT("Data!C"&amp;$BD$4,FALSE),MATCH(BH64,Data!$A:$A,0)),$BM$6),$BM$8,IFERROR(INDEX(INDIRECT("Data!C"&amp;$BD$4,FALSE),MATCH(BH64,Data!$A:$A,0)),$BM$6))</f>
        <v>223</v>
      </c>
      <c r="BR64" s="71">
        <f ca="1">IF(""=IFERROR(INDEX(INDIRECT("Data!C"&amp;$BD$4,FALSE),MATCH(BI64,Data!$A:$A,0)),$BM$6),$BM$8,IFERROR(INDEX(INDIRECT("Data!C"&amp;$BD$4,FALSE),MATCH(BI64,Data!$A:$A,0)),$BM$6))</f>
        <v>190</v>
      </c>
      <c r="BS64" s="71">
        <f ca="1">IF(""=IFERROR(INDEX(INDIRECT("Data!C"&amp;$BD$4,FALSE),MATCH(BJ64,Data!$A:$A,0)),$BM$6),$BM$8,IFERROR(INDEX(INDIRECT("Data!C"&amp;$BD$4,FALSE),MATCH(BJ64,Data!$A:$A,0)),$BM$6))</f>
        <v>54</v>
      </c>
      <c r="BT64" s="88">
        <f t="shared" ca="1" si="27"/>
        <v>198.85714285714286</v>
      </c>
    </row>
    <row r="65" spans="2:72" ht="12" customHeight="1" x14ac:dyDescent="0.2">
      <c r="B65" s="34">
        <f t="shared" si="28"/>
        <v>41945</v>
      </c>
      <c r="C65" s="34">
        <f t="shared" si="33"/>
        <v>41946</v>
      </c>
      <c r="D65" s="34">
        <f t="shared" si="33"/>
        <v>41947</v>
      </c>
      <c r="E65" s="34">
        <f t="shared" si="33"/>
        <v>41948</v>
      </c>
      <c r="F65" s="34">
        <f t="shared" si="33"/>
        <v>41949</v>
      </c>
      <c r="G65" s="34">
        <f t="shared" si="33"/>
        <v>41950</v>
      </c>
      <c r="H65" s="34">
        <f t="shared" si="33"/>
        <v>41951</v>
      </c>
      <c r="J65" s="82">
        <f t="array" ref="J65">IFERROR(IF(MATCH(8,DAY(B65:H65),0),H65,""),"")</f>
        <v>41951</v>
      </c>
      <c r="K65" s="71">
        <f ca="1">IF(""=IFERROR(INDEX(INDIRECT("Data!C"&amp;$B$4,FALSE),MATCH(B65,Data!$A:$A,0)),$K$6),$K$8,IFERROR(INDEX(INDIRECT("Data!C"&amp;$B$4,FALSE),MATCH(B65,Data!$A:$A,0)),$K$6))</f>
        <v>29</v>
      </c>
      <c r="L65" s="71">
        <f ca="1">IF(""=IFERROR(INDEX(INDIRECT("Data!C"&amp;$B$4,FALSE),MATCH(C65,Data!$A:$A,0)),$K$6),$K$8,IFERROR(INDEX(INDIRECT("Data!C"&amp;$B$4,FALSE),MATCH(C65,Data!$A:$A,0)),$K$6))</f>
        <v>374</v>
      </c>
      <c r="M65" s="71">
        <f ca="1">IF(""=IFERROR(INDEX(INDIRECT("Data!C"&amp;$B$4,FALSE),MATCH(D65,Data!$A:$A,0)),$K$6),$K$8,IFERROR(INDEX(INDIRECT("Data!C"&amp;$B$4,FALSE),MATCH(D65,Data!$A:$A,0)),$K$6))</f>
        <v>406</v>
      </c>
      <c r="N65" s="71">
        <f ca="1">IF(""=IFERROR(INDEX(INDIRECT("Data!C"&amp;$B$4,FALSE),MATCH(E65,Data!$A:$A,0)),$K$6),$K$8,IFERROR(INDEX(INDIRECT("Data!C"&amp;$B$4,FALSE),MATCH(E65,Data!$A:$A,0)),$K$6))</f>
        <v>330</v>
      </c>
      <c r="O65" s="71">
        <f ca="1">IF(""=IFERROR(INDEX(INDIRECT("Data!C"&amp;$B$4,FALSE),MATCH(F65,Data!$A:$A,0)),$K$6),$K$8,IFERROR(INDEX(INDIRECT("Data!C"&amp;$B$4,FALSE),MATCH(F65,Data!$A:$A,0)),$K$6))</f>
        <v>317</v>
      </c>
      <c r="P65" s="71">
        <f ca="1">IF(""=IFERROR(INDEX(INDIRECT("Data!C"&amp;$B$4,FALSE),MATCH(G65,Data!$A:$A,0)),$K$6),$K$8,IFERROR(INDEX(INDIRECT("Data!C"&amp;$B$4,FALSE),MATCH(G65,Data!$A:$A,0)),$K$6))</f>
        <v>238</v>
      </c>
      <c r="Q65" s="71">
        <f ca="1">IF(""=IFERROR(INDEX(INDIRECT("Data!C"&amp;$B$4,FALSE),MATCH(H65,Data!$A:$A,0)),$K$6),$K$8,IFERROR(INDEX(INDIRECT("Data!C"&amp;$B$4,FALSE),MATCH(H65,Data!$A:$A,0)),$K$6))</f>
        <v>87</v>
      </c>
      <c r="R65" s="88">
        <f t="shared" ca="1" si="21"/>
        <v>254.42857142857142</v>
      </c>
      <c r="T65" s="34">
        <f t="shared" si="29"/>
        <v>41945</v>
      </c>
      <c r="U65" s="34">
        <f t="shared" si="22"/>
        <v>41946</v>
      </c>
      <c r="V65" s="34">
        <f t="shared" si="17"/>
        <v>41947</v>
      </c>
      <c r="W65" s="34">
        <f t="shared" si="17"/>
        <v>41948</v>
      </c>
      <c r="X65" s="34">
        <f t="shared" si="17"/>
        <v>41949</v>
      </c>
      <c r="Y65" s="34">
        <f t="shared" si="17"/>
        <v>41950</v>
      </c>
      <c r="Z65" s="34">
        <f t="shared" si="17"/>
        <v>41951</v>
      </c>
      <c r="AB65" s="82">
        <f t="array" ref="AB65">IFERROR(IF(MATCH(8,DAY(T65:Z65),0),Z65,""),"")</f>
        <v>41951</v>
      </c>
      <c r="AC65" s="71">
        <f ca="1">IF(""=IFERROR(INDEX(INDIRECT("Data!C"&amp;$T$4,FALSE),MATCH(T65,Data!$A:$A,0)),$AC$6),$AC$8,IFERROR(INDEX(INDIRECT("Data!C"&amp;$T$4,FALSE),MATCH(T65,Data!$A:$A,0)),$AC$6))</f>
        <v>29</v>
      </c>
      <c r="AD65" s="71">
        <f ca="1">IF(""=IFERROR(INDEX(INDIRECT("Data!C"&amp;$T$4,FALSE),MATCH(U65,Data!$A:$A,0)),$AC$6),$AC$8,IFERROR(INDEX(INDIRECT("Data!C"&amp;$T$4,FALSE),MATCH(U65,Data!$A:$A,0)),$AC$6))</f>
        <v>374</v>
      </c>
      <c r="AE65" s="71">
        <f ca="1">IF(""=IFERROR(INDEX(INDIRECT("Data!C"&amp;$T$4,FALSE),MATCH(V65,Data!$A:$A,0)),$AC$6),$AC$8,IFERROR(INDEX(INDIRECT("Data!C"&amp;$T$4,FALSE),MATCH(V65,Data!$A:$A,0)),$AC$6))</f>
        <v>406</v>
      </c>
      <c r="AF65" s="71">
        <f ca="1">IF(""=IFERROR(INDEX(INDIRECT("Data!C"&amp;$T$4,FALSE),MATCH(W65,Data!$A:$A,0)),$AC$6),$AC$8,IFERROR(INDEX(INDIRECT("Data!C"&amp;$T$4,FALSE),MATCH(W65,Data!$A:$A,0)),$AC$6))</f>
        <v>330</v>
      </c>
      <c r="AG65" s="71">
        <f ca="1">IF(""=IFERROR(INDEX(INDIRECT("Data!C"&amp;$T$4,FALSE),MATCH(X65,Data!$A:$A,0)),$AC$6),$AC$8,IFERROR(INDEX(INDIRECT("Data!C"&amp;$T$4,FALSE),MATCH(X65,Data!$A:$A,0)),$AC$6))</f>
        <v>317</v>
      </c>
      <c r="AH65" s="71">
        <f ca="1">IF(""=IFERROR(INDEX(INDIRECT("Data!C"&amp;$T$4,FALSE),MATCH(Y65,Data!$A:$A,0)),$AC$6),$AC$8,IFERROR(INDEX(INDIRECT("Data!C"&amp;$T$4,FALSE),MATCH(Y65,Data!$A:$A,0)),$AC$6))</f>
        <v>238</v>
      </c>
      <c r="AI65" s="71">
        <f ca="1">IF(""=IFERROR(INDEX(INDIRECT("Data!C"&amp;$T$4,FALSE),MATCH(Z65,Data!$A:$A,0)),$AC$6),$AC$8,IFERROR(INDEX(INDIRECT("Data!C"&amp;$T$4,FALSE),MATCH(Z65,Data!$A:$A,0)),$AC$6))</f>
        <v>87</v>
      </c>
      <c r="AJ65" s="88">
        <f t="shared" ca="1" si="23"/>
        <v>254.42857142857142</v>
      </c>
      <c r="AL65" s="34">
        <f t="shared" si="30"/>
        <v>41945</v>
      </c>
      <c r="AM65" s="34">
        <f t="shared" si="24"/>
        <v>41946</v>
      </c>
      <c r="AN65" s="34">
        <f t="shared" si="18"/>
        <v>41947</v>
      </c>
      <c r="AO65" s="34">
        <f t="shared" si="18"/>
        <v>41948</v>
      </c>
      <c r="AP65" s="34">
        <f t="shared" si="18"/>
        <v>41949</v>
      </c>
      <c r="AQ65" s="34">
        <f t="shared" si="18"/>
        <v>41950</v>
      </c>
      <c r="AR65" s="34">
        <f t="shared" si="18"/>
        <v>41951</v>
      </c>
      <c r="AT65" s="82">
        <f t="array" ref="AT65">IFERROR(IF(MATCH(8,DAY(AL65:AR65),0),AR65,""),"")</f>
        <v>41951</v>
      </c>
      <c r="AU65" s="71">
        <f ca="1">IF(""=IFERROR(INDEX(INDIRECT("Data!C"&amp;$AL$4,FALSE),MATCH(AL65,Data!$A:$A,0)),$AU$6),$AU$8,IFERROR(INDEX(INDIRECT("Data!C"&amp;$AL$4,FALSE),MATCH(AL65,Data!$A:$A,0)),$AU$6))</f>
        <v>29</v>
      </c>
      <c r="AV65" s="71">
        <f ca="1">IF(""=IFERROR(INDEX(INDIRECT("Data!C"&amp;$AL$4,FALSE),MATCH(AM65,Data!$A:$A,0)),$AU$6),$AU$8,IFERROR(INDEX(INDIRECT("Data!C"&amp;$AL$4,FALSE),MATCH(AM65,Data!$A:$A,0)),$AU$6))</f>
        <v>374</v>
      </c>
      <c r="AW65" s="71">
        <f ca="1">IF(""=IFERROR(INDEX(INDIRECT("Data!C"&amp;$AL$4,FALSE),MATCH(AN65,Data!$A:$A,0)),$AU$6),$AU$8,IFERROR(INDEX(INDIRECT("Data!C"&amp;$AL$4,FALSE),MATCH(AN65,Data!$A:$A,0)),$AU$6))</f>
        <v>406</v>
      </c>
      <c r="AX65" s="71">
        <f ca="1">IF(""=IFERROR(INDEX(INDIRECT("Data!C"&amp;$AL$4,FALSE),MATCH(AO65,Data!$A:$A,0)),$AU$6),$AU$8,IFERROR(INDEX(INDIRECT("Data!C"&amp;$AL$4,FALSE),MATCH(AO65,Data!$A:$A,0)),$AU$6))</f>
        <v>330</v>
      </c>
      <c r="AY65" s="71">
        <f ca="1">IF(""=IFERROR(INDEX(INDIRECT("Data!C"&amp;$AL$4,FALSE),MATCH(AP65,Data!$A:$A,0)),$AU$6),$AU$8,IFERROR(INDEX(INDIRECT("Data!C"&amp;$AL$4,FALSE),MATCH(AP65,Data!$A:$A,0)),$AU$6))</f>
        <v>317</v>
      </c>
      <c r="AZ65" s="71">
        <f ca="1">IF(""=IFERROR(INDEX(INDIRECT("Data!C"&amp;$AL$4,FALSE),MATCH(AQ65,Data!$A:$A,0)),$AU$6),$AU$8,IFERROR(INDEX(INDIRECT("Data!C"&amp;$AL$4,FALSE),MATCH(AQ65,Data!$A:$A,0)),$AU$6))</f>
        <v>238</v>
      </c>
      <c r="BA65" s="71">
        <f ca="1">IF(""=IFERROR(INDEX(INDIRECT("Data!C"&amp;$AL$4,FALSE),MATCH(AR65,Data!$A:$A,0)),$AU$6),$AU$8,IFERROR(INDEX(INDIRECT("Data!C"&amp;$AL$4,FALSE),MATCH(AR65,Data!$A:$A,0)),$AU$6))</f>
        <v>87</v>
      </c>
      <c r="BB65" s="88">
        <f t="shared" ca="1" si="25"/>
        <v>254.42857142857142</v>
      </c>
      <c r="BD65" s="34">
        <f t="shared" si="31"/>
        <v>41945</v>
      </c>
      <c r="BE65" s="34">
        <f t="shared" si="26"/>
        <v>41946</v>
      </c>
      <c r="BF65" s="34">
        <f t="shared" si="19"/>
        <v>41947</v>
      </c>
      <c r="BG65" s="34">
        <f t="shared" si="19"/>
        <v>41948</v>
      </c>
      <c r="BH65" s="34">
        <f t="shared" si="19"/>
        <v>41949</v>
      </c>
      <c r="BI65" s="34">
        <f t="shared" si="19"/>
        <v>41950</v>
      </c>
      <c r="BJ65" s="34">
        <f t="shared" si="19"/>
        <v>41951</v>
      </c>
      <c r="BL65" s="82">
        <f t="array" ref="BL65">IFERROR(IF(MATCH(8,DAY(BD65:BJ65),0),BJ65,""),"")</f>
        <v>41951</v>
      </c>
      <c r="BM65" s="71">
        <f ca="1">IF(""=IFERROR(INDEX(INDIRECT("Data!C"&amp;$BD$4,FALSE),MATCH(BD65,Data!$A:$A,0)),$BM$6),$BM$8,IFERROR(INDEX(INDIRECT("Data!C"&amp;$BD$4,FALSE),MATCH(BD65,Data!$A:$A,0)),$BM$6))</f>
        <v>29</v>
      </c>
      <c r="BN65" s="71">
        <f ca="1">IF(""=IFERROR(INDEX(INDIRECT("Data!C"&amp;$BD$4,FALSE),MATCH(BE65,Data!$A:$A,0)),$BM$6),$BM$8,IFERROR(INDEX(INDIRECT("Data!C"&amp;$BD$4,FALSE),MATCH(BE65,Data!$A:$A,0)),$BM$6))</f>
        <v>374</v>
      </c>
      <c r="BO65" s="71">
        <f ca="1">IF(""=IFERROR(INDEX(INDIRECT("Data!C"&amp;$BD$4,FALSE),MATCH(BF65,Data!$A:$A,0)),$BM$6),$BM$8,IFERROR(INDEX(INDIRECT("Data!C"&amp;$BD$4,FALSE),MATCH(BF65,Data!$A:$A,0)),$BM$6))</f>
        <v>406</v>
      </c>
      <c r="BP65" s="71">
        <f ca="1">IF(""=IFERROR(INDEX(INDIRECT("Data!C"&amp;$BD$4,FALSE),MATCH(BG65,Data!$A:$A,0)),$BM$6),$BM$8,IFERROR(INDEX(INDIRECT("Data!C"&amp;$BD$4,FALSE),MATCH(BG65,Data!$A:$A,0)),$BM$6))</f>
        <v>330</v>
      </c>
      <c r="BQ65" s="71">
        <f ca="1">IF(""=IFERROR(INDEX(INDIRECT("Data!C"&amp;$BD$4,FALSE),MATCH(BH65,Data!$A:$A,0)),$BM$6),$BM$8,IFERROR(INDEX(INDIRECT("Data!C"&amp;$BD$4,FALSE),MATCH(BH65,Data!$A:$A,0)),$BM$6))</f>
        <v>317</v>
      </c>
      <c r="BR65" s="71">
        <f ca="1">IF(""=IFERROR(INDEX(INDIRECT("Data!C"&amp;$BD$4,FALSE),MATCH(BI65,Data!$A:$A,0)),$BM$6),$BM$8,IFERROR(INDEX(INDIRECT("Data!C"&amp;$BD$4,FALSE),MATCH(BI65,Data!$A:$A,0)),$BM$6))</f>
        <v>238</v>
      </c>
      <c r="BS65" s="71">
        <f ca="1">IF(""=IFERROR(INDEX(INDIRECT("Data!C"&amp;$BD$4,FALSE),MATCH(BJ65,Data!$A:$A,0)),$BM$6),$BM$8,IFERROR(INDEX(INDIRECT("Data!C"&amp;$BD$4,FALSE),MATCH(BJ65,Data!$A:$A,0)),$BM$6))</f>
        <v>87</v>
      </c>
      <c r="BT65" s="88">
        <f t="shared" ca="1" si="27"/>
        <v>254.42857142857142</v>
      </c>
    </row>
    <row r="66" spans="2:72" ht="12" customHeight="1" x14ac:dyDescent="0.2">
      <c r="B66" s="34">
        <f t="shared" si="28"/>
        <v>41952</v>
      </c>
      <c r="C66" s="34">
        <f t="shared" si="33"/>
        <v>41953</v>
      </c>
      <c r="D66" s="34">
        <f t="shared" si="33"/>
        <v>41954</v>
      </c>
      <c r="E66" s="34">
        <f t="shared" si="33"/>
        <v>41955</v>
      </c>
      <c r="F66" s="34">
        <f t="shared" si="33"/>
        <v>41956</v>
      </c>
      <c r="G66" s="34">
        <f t="shared" si="33"/>
        <v>41957</v>
      </c>
      <c r="H66" s="34">
        <f t="shared" si="33"/>
        <v>41958</v>
      </c>
      <c r="J66" s="82" t="str">
        <f t="array" ref="J66">IFERROR(IF(MATCH(8,DAY(B66:H66),0),H66,""),"")</f>
        <v/>
      </c>
      <c r="K66" s="71">
        <f ca="1">IF(""=IFERROR(INDEX(INDIRECT("Data!C"&amp;$B$4,FALSE),MATCH(B66,Data!$A:$A,0)),$K$6),$K$8,IFERROR(INDEX(INDIRECT("Data!C"&amp;$B$4,FALSE),MATCH(B66,Data!$A:$A,0)),$K$6))</f>
        <v>45</v>
      </c>
      <c r="L66" s="71">
        <f ca="1">IF(""=IFERROR(INDEX(INDIRECT("Data!C"&amp;$B$4,FALSE),MATCH(C66,Data!$A:$A,0)),$K$6),$K$8,IFERROR(INDEX(INDIRECT("Data!C"&amp;$B$4,FALSE),MATCH(C66,Data!$A:$A,0)),$K$6))</f>
        <v>301</v>
      </c>
      <c r="M66" s="71">
        <f ca="1">IF(""=IFERROR(INDEX(INDIRECT("Data!C"&amp;$B$4,FALSE),MATCH(D66,Data!$A:$A,0)),$K$6),$K$8,IFERROR(INDEX(INDIRECT("Data!C"&amp;$B$4,FALSE),MATCH(D66,Data!$A:$A,0)),$K$6))</f>
        <v>269</v>
      </c>
      <c r="N66" s="71">
        <f ca="1">IF(""=IFERROR(INDEX(INDIRECT("Data!C"&amp;$B$4,FALSE),MATCH(E66,Data!$A:$A,0)),$K$6),$K$8,IFERROR(INDEX(INDIRECT("Data!C"&amp;$B$4,FALSE),MATCH(E66,Data!$A:$A,0)),$K$6))</f>
        <v>242</v>
      </c>
      <c r="O66" s="71">
        <f ca="1">IF(""=IFERROR(INDEX(INDIRECT("Data!C"&amp;$B$4,FALSE),MATCH(F66,Data!$A:$A,0)),$K$6),$K$8,IFERROR(INDEX(INDIRECT("Data!C"&amp;$B$4,FALSE),MATCH(F66,Data!$A:$A,0)),$K$6))</f>
        <v>237</v>
      </c>
      <c r="P66" s="71">
        <f ca="1">IF(""=IFERROR(INDEX(INDIRECT("Data!C"&amp;$B$4,FALSE),MATCH(G66,Data!$A:$A,0)),$K$6),$K$8,IFERROR(INDEX(INDIRECT("Data!C"&amp;$B$4,FALSE),MATCH(G66,Data!$A:$A,0)),$K$6))</f>
        <v>188</v>
      </c>
      <c r="Q66" s="71">
        <f ca="1">IF(""=IFERROR(INDEX(INDIRECT("Data!C"&amp;$B$4,FALSE),MATCH(H66,Data!$A:$A,0)),$K$6),$K$8,IFERROR(INDEX(INDIRECT("Data!C"&amp;$B$4,FALSE),MATCH(H66,Data!$A:$A,0)),$K$6))</f>
        <v>62</v>
      </c>
      <c r="R66" s="88">
        <f t="shared" ca="1" si="21"/>
        <v>192</v>
      </c>
      <c r="T66" s="34">
        <f t="shared" si="29"/>
        <v>41952</v>
      </c>
      <c r="U66" s="34">
        <f t="shared" si="22"/>
        <v>41953</v>
      </c>
      <c r="V66" s="34">
        <f t="shared" si="17"/>
        <v>41954</v>
      </c>
      <c r="W66" s="34">
        <f t="shared" si="17"/>
        <v>41955</v>
      </c>
      <c r="X66" s="34">
        <f t="shared" si="17"/>
        <v>41956</v>
      </c>
      <c r="Y66" s="34">
        <f t="shared" si="17"/>
        <v>41957</v>
      </c>
      <c r="Z66" s="34">
        <f t="shared" si="17"/>
        <v>41958</v>
      </c>
      <c r="AB66" s="82" t="str">
        <f t="array" ref="AB66">IFERROR(IF(MATCH(8,DAY(T66:Z66),0),Z66,""),"")</f>
        <v/>
      </c>
      <c r="AC66" s="71">
        <f ca="1">IF(""=IFERROR(INDEX(INDIRECT("Data!C"&amp;$T$4,FALSE),MATCH(T66,Data!$A:$A,0)),$AC$6),$AC$8,IFERROR(INDEX(INDIRECT("Data!C"&amp;$T$4,FALSE),MATCH(T66,Data!$A:$A,0)),$AC$6))</f>
        <v>45</v>
      </c>
      <c r="AD66" s="71">
        <f ca="1">IF(""=IFERROR(INDEX(INDIRECT("Data!C"&amp;$T$4,FALSE),MATCH(U66,Data!$A:$A,0)),$AC$6),$AC$8,IFERROR(INDEX(INDIRECT("Data!C"&amp;$T$4,FALSE),MATCH(U66,Data!$A:$A,0)),$AC$6))</f>
        <v>301</v>
      </c>
      <c r="AE66" s="71">
        <f ca="1">IF(""=IFERROR(INDEX(INDIRECT("Data!C"&amp;$T$4,FALSE),MATCH(V66,Data!$A:$A,0)),$AC$6),$AC$8,IFERROR(INDEX(INDIRECT("Data!C"&amp;$T$4,FALSE),MATCH(V66,Data!$A:$A,0)),$AC$6))</f>
        <v>269</v>
      </c>
      <c r="AF66" s="71">
        <f ca="1">IF(""=IFERROR(INDEX(INDIRECT("Data!C"&amp;$T$4,FALSE),MATCH(W66,Data!$A:$A,0)),$AC$6),$AC$8,IFERROR(INDEX(INDIRECT("Data!C"&amp;$T$4,FALSE),MATCH(W66,Data!$A:$A,0)),$AC$6))</f>
        <v>242</v>
      </c>
      <c r="AG66" s="71">
        <f ca="1">IF(""=IFERROR(INDEX(INDIRECT("Data!C"&amp;$T$4,FALSE),MATCH(X66,Data!$A:$A,0)),$AC$6),$AC$8,IFERROR(INDEX(INDIRECT("Data!C"&amp;$T$4,FALSE),MATCH(X66,Data!$A:$A,0)),$AC$6))</f>
        <v>237</v>
      </c>
      <c r="AH66" s="71">
        <f ca="1">IF(""=IFERROR(INDEX(INDIRECT("Data!C"&amp;$T$4,FALSE),MATCH(Y66,Data!$A:$A,0)),$AC$6),$AC$8,IFERROR(INDEX(INDIRECT("Data!C"&amp;$T$4,FALSE),MATCH(Y66,Data!$A:$A,0)),$AC$6))</f>
        <v>188</v>
      </c>
      <c r="AI66" s="71">
        <f ca="1">IF(""=IFERROR(INDEX(INDIRECT("Data!C"&amp;$T$4,FALSE),MATCH(Z66,Data!$A:$A,0)),$AC$6),$AC$8,IFERROR(INDEX(INDIRECT("Data!C"&amp;$T$4,FALSE),MATCH(Z66,Data!$A:$A,0)),$AC$6))</f>
        <v>62</v>
      </c>
      <c r="AJ66" s="88">
        <f t="shared" ca="1" si="23"/>
        <v>192</v>
      </c>
      <c r="AL66" s="34">
        <f t="shared" si="30"/>
        <v>41952</v>
      </c>
      <c r="AM66" s="34">
        <f t="shared" si="24"/>
        <v>41953</v>
      </c>
      <c r="AN66" s="34">
        <f t="shared" si="18"/>
        <v>41954</v>
      </c>
      <c r="AO66" s="34">
        <f t="shared" si="18"/>
        <v>41955</v>
      </c>
      <c r="AP66" s="34">
        <f t="shared" si="18"/>
        <v>41956</v>
      </c>
      <c r="AQ66" s="34">
        <f t="shared" si="18"/>
        <v>41957</v>
      </c>
      <c r="AR66" s="34">
        <f t="shared" si="18"/>
        <v>41958</v>
      </c>
      <c r="AT66" s="82" t="str">
        <f t="array" ref="AT66">IFERROR(IF(MATCH(8,DAY(AL66:AR66),0),AR66,""),"")</f>
        <v/>
      </c>
      <c r="AU66" s="71">
        <f ca="1">IF(""=IFERROR(INDEX(INDIRECT("Data!C"&amp;$AL$4,FALSE),MATCH(AL66,Data!$A:$A,0)),$AU$6),$AU$8,IFERROR(INDEX(INDIRECT("Data!C"&amp;$AL$4,FALSE),MATCH(AL66,Data!$A:$A,0)),$AU$6))</f>
        <v>45</v>
      </c>
      <c r="AV66" s="71">
        <f ca="1">IF(""=IFERROR(INDEX(INDIRECT("Data!C"&amp;$AL$4,FALSE),MATCH(AM66,Data!$A:$A,0)),$AU$6),$AU$8,IFERROR(INDEX(INDIRECT("Data!C"&amp;$AL$4,FALSE),MATCH(AM66,Data!$A:$A,0)),$AU$6))</f>
        <v>301</v>
      </c>
      <c r="AW66" s="71">
        <f ca="1">IF(""=IFERROR(INDEX(INDIRECT("Data!C"&amp;$AL$4,FALSE),MATCH(AN66,Data!$A:$A,0)),$AU$6),$AU$8,IFERROR(INDEX(INDIRECT("Data!C"&amp;$AL$4,FALSE),MATCH(AN66,Data!$A:$A,0)),$AU$6))</f>
        <v>269</v>
      </c>
      <c r="AX66" s="71">
        <f ca="1">IF(""=IFERROR(INDEX(INDIRECT("Data!C"&amp;$AL$4,FALSE),MATCH(AO66,Data!$A:$A,0)),$AU$6),$AU$8,IFERROR(INDEX(INDIRECT("Data!C"&amp;$AL$4,FALSE),MATCH(AO66,Data!$A:$A,0)),$AU$6))</f>
        <v>242</v>
      </c>
      <c r="AY66" s="71">
        <f ca="1">IF(""=IFERROR(INDEX(INDIRECT("Data!C"&amp;$AL$4,FALSE),MATCH(AP66,Data!$A:$A,0)),$AU$6),$AU$8,IFERROR(INDEX(INDIRECT("Data!C"&amp;$AL$4,FALSE),MATCH(AP66,Data!$A:$A,0)),$AU$6))</f>
        <v>237</v>
      </c>
      <c r="AZ66" s="71">
        <f ca="1">IF(""=IFERROR(INDEX(INDIRECT("Data!C"&amp;$AL$4,FALSE),MATCH(AQ66,Data!$A:$A,0)),$AU$6),$AU$8,IFERROR(INDEX(INDIRECT("Data!C"&amp;$AL$4,FALSE),MATCH(AQ66,Data!$A:$A,0)),$AU$6))</f>
        <v>188</v>
      </c>
      <c r="BA66" s="71">
        <f ca="1">IF(""=IFERROR(INDEX(INDIRECT("Data!C"&amp;$AL$4,FALSE),MATCH(AR66,Data!$A:$A,0)),$AU$6),$AU$8,IFERROR(INDEX(INDIRECT("Data!C"&amp;$AL$4,FALSE),MATCH(AR66,Data!$A:$A,0)),$AU$6))</f>
        <v>62</v>
      </c>
      <c r="BB66" s="88">
        <f t="shared" ca="1" si="25"/>
        <v>192</v>
      </c>
      <c r="BD66" s="34">
        <f t="shared" si="31"/>
        <v>41952</v>
      </c>
      <c r="BE66" s="34">
        <f t="shared" si="26"/>
        <v>41953</v>
      </c>
      <c r="BF66" s="34">
        <f t="shared" si="19"/>
        <v>41954</v>
      </c>
      <c r="BG66" s="34">
        <f t="shared" si="19"/>
        <v>41955</v>
      </c>
      <c r="BH66" s="34">
        <f t="shared" si="19"/>
        <v>41956</v>
      </c>
      <c r="BI66" s="34">
        <f t="shared" si="19"/>
        <v>41957</v>
      </c>
      <c r="BJ66" s="34">
        <f t="shared" si="19"/>
        <v>41958</v>
      </c>
      <c r="BL66" s="82" t="str">
        <f t="array" ref="BL66">IFERROR(IF(MATCH(8,DAY(BD66:BJ66),0),BJ66,""),"")</f>
        <v/>
      </c>
      <c r="BM66" s="71">
        <f ca="1">IF(""=IFERROR(INDEX(INDIRECT("Data!C"&amp;$BD$4,FALSE),MATCH(BD66,Data!$A:$A,0)),$BM$6),$BM$8,IFERROR(INDEX(INDIRECT("Data!C"&amp;$BD$4,FALSE),MATCH(BD66,Data!$A:$A,0)),$BM$6))</f>
        <v>45</v>
      </c>
      <c r="BN66" s="71">
        <f ca="1">IF(""=IFERROR(INDEX(INDIRECT("Data!C"&amp;$BD$4,FALSE),MATCH(BE66,Data!$A:$A,0)),$BM$6),$BM$8,IFERROR(INDEX(INDIRECT("Data!C"&amp;$BD$4,FALSE),MATCH(BE66,Data!$A:$A,0)),$BM$6))</f>
        <v>301</v>
      </c>
      <c r="BO66" s="71">
        <f ca="1">IF(""=IFERROR(INDEX(INDIRECT("Data!C"&amp;$BD$4,FALSE),MATCH(BF66,Data!$A:$A,0)),$BM$6),$BM$8,IFERROR(INDEX(INDIRECT("Data!C"&amp;$BD$4,FALSE),MATCH(BF66,Data!$A:$A,0)),$BM$6))</f>
        <v>269</v>
      </c>
      <c r="BP66" s="71">
        <f ca="1">IF(""=IFERROR(INDEX(INDIRECT("Data!C"&amp;$BD$4,FALSE),MATCH(BG66,Data!$A:$A,0)),$BM$6),$BM$8,IFERROR(INDEX(INDIRECT("Data!C"&amp;$BD$4,FALSE),MATCH(BG66,Data!$A:$A,0)),$BM$6))</f>
        <v>242</v>
      </c>
      <c r="BQ66" s="71">
        <f ca="1">IF(""=IFERROR(INDEX(INDIRECT("Data!C"&amp;$BD$4,FALSE),MATCH(BH66,Data!$A:$A,0)),$BM$6),$BM$8,IFERROR(INDEX(INDIRECT("Data!C"&amp;$BD$4,FALSE),MATCH(BH66,Data!$A:$A,0)),$BM$6))</f>
        <v>237</v>
      </c>
      <c r="BR66" s="71">
        <f ca="1">IF(""=IFERROR(INDEX(INDIRECT("Data!C"&amp;$BD$4,FALSE),MATCH(BI66,Data!$A:$A,0)),$BM$6),$BM$8,IFERROR(INDEX(INDIRECT("Data!C"&amp;$BD$4,FALSE),MATCH(BI66,Data!$A:$A,0)),$BM$6))</f>
        <v>188</v>
      </c>
      <c r="BS66" s="71">
        <f ca="1">IF(""=IFERROR(INDEX(INDIRECT("Data!C"&amp;$BD$4,FALSE),MATCH(BJ66,Data!$A:$A,0)),$BM$6),$BM$8,IFERROR(INDEX(INDIRECT("Data!C"&amp;$BD$4,FALSE),MATCH(BJ66,Data!$A:$A,0)),$BM$6))</f>
        <v>62</v>
      </c>
      <c r="BT66" s="88">
        <f t="shared" ca="1" si="27"/>
        <v>192</v>
      </c>
    </row>
    <row r="67" spans="2:72" ht="12" customHeight="1" x14ac:dyDescent="0.2">
      <c r="B67" s="34">
        <f t="shared" si="28"/>
        <v>41959</v>
      </c>
      <c r="C67" s="34">
        <f t="shared" si="33"/>
        <v>41960</v>
      </c>
      <c r="D67" s="34">
        <f t="shared" si="33"/>
        <v>41961</v>
      </c>
      <c r="E67" s="34">
        <f t="shared" si="33"/>
        <v>41962</v>
      </c>
      <c r="F67" s="34">
        <f t="shared" si="33"/>
        <v>41963</v>
      </c>
      <c r="G67" s="34">
        <f t="shared" si="33"/>
        <v>41964</v>
      </c>
      <c r="H67" s="34">
        <f t="shared" si="33"/>
        <v>41965</v>
      </c>
      <c r="J67" s="82" t="str">
        <f t="array" ref="J67">IFERROR(IF(MATCH(8,DAY(B67:H67),0),H67,""),"")</f>
        <v/>
      </c>
      <c r="K67" s="71">
        <f ca="1">IF(""=IFERROR(INDEX(INDIRECT("Data!C"&amp;$B$4,FALSE),MATCH(B67,Data!$A:$A,0)),$K$6),$K$8,IFERROR(INDEX(INDIRECT("Data!C"&amp;$B$4,FALSE),MATCH(B67,Data!$A:$A,0)),$K$6))</f>
        <v>48</v>
      </c>
      <c r="L67" s="71">
        <f ca="1">IF(""=IFERROR(INDEX(INDIRECT("Data!C"&amp;$B$4,FALSE),MATCH(C67,Data!$A:$A,0)),$K$6),$K$8,IFERROR(INDEX(INDIRECT("Data!C"&amp;$B$4,FALSE),MATCH(C67,Data!$A:$A,0)),$K$6))</f>
        <v>351</v>
      </c>
      <c r="M67" s="71">
        <f ca="1">IF(""=IFERROR(INDEX(INDIRECT("Data!C"&amp;$B$4,FALSE),MATCH(D67,Data!$A:$A,0)),$K$6),$K$8,IFERROR(INDEX(INDIRECT("Data!C"&amp;$B$4,FALSE),MATCH(D67,Data!$A:$A,0)),$K$6))</f>
        <v>359</v>
      </c>
      <c r="N67" s="71">
        <f ca="1">IF(""=IFERROR(INDEX(INDIRECT("Data!C"&amp;$B$4,FALSE),MATCH(E67,Data!$A:$A,0)),$K$6),$K$8,IFERROR(INDEX(INDIRECT("Data!C"&amp;$B$4,FALSE),MATCH(E67,Data!$A:$A,0)),$K$6))</f>
        <v>316</v>
      </c>
      <c r="O67" s="71">
        <f ca="1">IF(""=IFERROR(INDEX(INDIRECT("Data!C"&amp;$B$4,FALSE),MATCH(F67,Data!$A:$A,0)),$K$6),$K$8,IFERROR(INDEX(INDIRECT("Data!C"&amp;$B$4,FALSE),MATCH(F67,Data!$A:$A,0)),$K$6))</f>
        <v>207</v>
      </c>
      <c r="P67" s="71">
        <f ca="1">IF(""=IFERROR(INDEX(INDIRECT("Data!C"&amp;$B$4,FALSE),MATCH(G67,Data!$A:$A,0)),$K$6),$K$8,IFERROR(INDEX(INDIRECT("Data!C"&amp;$B$4,FALSE),MATCH(G67,Data!$A:$A,0)),$K$6))</f>
        <v>261</v>
      </c>
      <c r="Q67" s="71">
        <f ca="1">IF(""=IFERROR(INDEX(INDIRECT("Data!C"&amp;$B$4,FALSE),MATCH(H67,Data!$A:$A,0)),$K$6),$K$8,IFERROR(INDEX(INDIRECT("Data!C"&amp;$B$4,FALSE),MATCH(H67,Data!$A:$A,0)),$K$6))</f>
        <v>68</v>
      </c>
      <c r="R67" s="88">
        <f t="shared" ca="1" si="21"/>
        <v>230</v>
      </c>
      <c r="T67" s="34">
        <f t="shared" si="29"/>
        <v>41959</v>
      </c>
      <c r="U67" s="34">
        <f t="shared" si="22"/>
        <v>41960</v>
      </c>
      <c r="V67" s="34">
        <f t="shared" si="17"/>
        <v>41961</v>
      </c>
      <c r="W67" s="34">
        <f t="shared" si="17"/>
        <v>41962</v>
      </c>
      <c r="X67" s="34">
        <f t="shared" si="17"/>
        <v>41963</v>
      </c>
      <c r="Y67" s="34">
        <f t="shared" si="17"/>
        <v>41964</v>
      </c>
      <c r="Z67" s="34">
        <f t="shared" si="17"/>
        <v>41965</v>
      </c>
      <c r="AB67" s="82" t="str">
        <f t="array" ref="AB67">IFERROR(IF(MATCH(8,DAY(T67:Z67),0),Z67,""),"")</f>
        <v/>
      </c>
      <c r="AC67" s="71">
        <f ca="1">IF(""=IFERROR(INDEX(INDIRECT("Data!C"&amp;$T$4,FALSE),MATCH(T67,Data!$A:$A,0)),$AC$6),$AC$8,IFERROR(INDEX(INDIRECT("Data!C"&amp;$T$4,FALSE),MATCH(T67,Data!$A:$A,0)),$AC$6))</f>
        <v>48</v>
      </c>
      <c r="AD67" s="71">
        <f ca="1">IF(""=IFERROR(INDEX(INDIRECT("Data!C"&amp;$T$4,FALSE),MATCH(U67,Data!$A:$A,0)),$AC$6),$AC$8,IFERROR(INDEX(INDIRECT("Data!C"&amp;$T$4,FALSE),MATCH(U67,Data!$A:$A,0)),$AC$6))</f>
        <v>351</v>
      </c>
      <c r="AE67" s="71">
        <f ca="1">IF(""=IFERROR(INDEX(INDIRECT("Data!C"&amp;$T$4,FALSE),MATCH(V67,Data!$A:$A,0)),$AC$6),$AC$8,IFERROR(INDEX(INDIRECT("Data!C"&amp;$T$4,FALSE),MATCH(V67,Data!$A:$A,0)),$AC$6))</f>
        <v>359</v>
      </c>
      <c r="AF67" s="71">
        <f ca="1">IF(""=IFERROR(INDEX(INDIRECT("Data!C"&amp;$T$4,FALSE),MATCH(W67,Data!$A:$A,0)),$AC$6),$AC$8,IFERROR(INDEX(INDIRECT("Data!C"&amp;$T$4,FALSE),MATCH(W67,Data!$A:$A,0)),$AC$6))</f>
        <v>316</v>
      </c>
      <c r="AG67" s="71">
        <f ca="1">IF(""=IFERROR(INDEX(INDIRECT("Data!C"&amp;$T$4,FALSE),MATCH(X67,Data!$A:$A,0)),$AC$6),$AC$8,IFERROR(INDEX(INDIRECT("Data!C"&amp;$T$4,FALSE),MATCH(X67,Data!$A:$A,0)),$AC$6))</f>
        <v>207</v>
      </c>
      <c r="AH67" s="71">
        <f ca="1">IF(""=IFERROR(INDEX(INDIRECT("Data!C"&amp;$T$4,FALSE),MATCH(Y67,Data!$A:$A,0)),$AC$6),$AC$8,IFERROR(INDEX(INDIRECT("Data!C"&amp;$T$4,FALSE),MATCH(Y67,Data!$A:$A,0)),$AC$6))</f>
        <v>261</v>
      </c>
      <c r="AI67" s="71">
        <f ca="1">IF(""=IFERROR(INDEX(INDIRECT("Data!C"&amp;$T$4,FALSE),MATCH(Z67,Data!$A:$A,0)),$AC$6),$AC$8,IFERROR(INDEX(INDIRECT("Data!C"&amp;$T$4,FALSE),MATCH(Z67,Data!$A:$A,0)),$AC$6))</f>
        <v>68</v>
      </c>
      <c r="AJ67" s="88">
        <f t="shared" ca="1" si="23"/>
        <v>230</v>
      </c>
      <c r="AL67" s="34">
        <f t="shared" si="30"/>
        <v>41959</v>
      </c>
      <c r="AM67" s="34">
        <f t="shared" si="24"/>
        <v>41960</v>
      </c>
      <c r="AN67" s="34">
        <f t="shared" si="18"/>
        <v>41961</v>
      </c>
      <c r="AO67" s="34">
        <f t="shared" si="18"/>
        <v>41962</v>
      </c>
      <c r="AP67" s="34">
        <f t="shared" si="18"/>
        <v>41963</v>
      </c>
      <c r="AQ67" s="34">
        <f t="shared" si="18"/>
        <v>41964</v>
      </c>
      <c r="AR67" s="34">
        <f t="shared" si="18"/>
        <v>41965</v>
      </c>
      <c r="AT67" s="82" t="str">
        <f t="array" ref="AT67">IFERROR(IF(MATCH(8,DAY(AL67:AR67),0),AR67,""),"")</f>
        <v/>
      </c>
      <c r="AU67" s="71">
        <f ca="1">IF(""=IFERROR(INDEX(INDIRECT("Data!C"&amp;$AL$4,FALSE),MATCH(AL67,Data!$A:$A,0)),$AU$6),$AU$8,IFERROR(INDEX(INDIRECT("Data!C"&amp;$AL$4,FALSE),MATCH(AL67,Data!$A:$A,0)),$AU$6))</f>
        <v>48</v>
      </c>
      <c r="AV67" s="71">
        <f ca="1">IF(""=IFERROR(INDEX(INDIRECT("Data!C"&amp;$AL$4,FALSE),MATCH(AM67,Data!$A:$A,0)),$AU$6),$AU$8,IFERROR(INDEX(INDIRECT("Data!C"&amp;$AL$4,FALSE),MATCH(AM67,Data!$A:$A,0)),$AU$6))</f>
        <v>351</v>
      </c>
      <c r="AW67" s="71">
        <f ca="1">IF(""=IFERROR(INDEX(INDIRECT("Data!C"&amp;$AL$4,FALSE),MATCH(AN67,Data!$A:$A,0)),$AU$6),$AU$8,IFERROR(INDEX(INDIRECT("Data!C"&amp;$AL$4,FALSE),MATCH(AN67,Data!$A:$A,0)),$AU$6))</f>
        <v>359</v>
      </c>
      <c r="AX67" s="71">
        <f ca="1">IF(""=IFERROR(INDEX(INDIRECT("Data!C"&amp;$AL$4,FALSE),MATCH(AO67,Data!$A:$A,0)),$AU$6),$AU$8,IFERROR(INDEX(INDIRECT("Data!C"&amp;$AL$4,FALSE),MATCH(AO67,Data!$A:$A,0)),$AU$6))</f>
        <v>316</v>
      </c>
      <c r="AY67" s="71">
        <f ca="1">IF(""=IFERROR(INDEX(INDIRECT("Data!C"&amp;$AL$4,FALSE),MATCH(AP67,Data!$A:$A,0)),$AU$6),$AU$8,IFERROR(INDEX(INDIRECT("Data!C"&amp;$AL$4,FALSE),MATCH(AP67,Data!$A:$A,0)),$AU$6))</f>
        <v>207</v>
      </c>
      <c r="AZ67" s="71">
        <f ca="1">IF(""=IFERROR(INDEX(INDIRECT("Data!C"&amp;$AL$4,FALSE),MATCH(AQ67,Data!$A:$A,0)),$AU$6),$AU$8,IFERROR(INDEX(INDIRECT("Data!C"&amp;$AL$4,FALSE),MATCH(AQ67,Data!$A:$A,0)),$AU$6))</f>
        <v>261</v>
      </c>
      <c r="BA67" s="71">
        <f ca="1">IF(""=IFERROR(INDEX(INDIRECT("Data!C"&amp;$AL$4,FALSE),MATCH(AR67,Data!$A:$A,0)),$AU$6),$AU$8,IFERROR(INDEX(INDIRECT("Data!C"&amp;$AL$4,FALSE),MATCH(AR67,Data!$A:$A,0)),$AU$6))</f>
        <v>68</v>
      </c>
      <c r="BB67" s="88">
        <f t="shared" ca="1" si="25"/>
        <v>230</v>
      </c>
      <c r="BD67" s="34">
        <f t="shared" si="31"/>
        <v>41959</v>
      </c>
      <c r="BE67" s="34">
        <f t="shared" si="26"/>
        <v>41960</v>
      </c>
      <c r="BF67" s="34">
        <f t="shared" si="19"/>
        <v>41961</v>
      </c>
      <c r="BG67" s="34">
        <f t="shared" si="19"/>
        <v>41962</v>
      </c>
      <c r="BH67" s="34">
        <f t="shared" si="19"/>
        <v>41963</v>
      </c>
      <c r="BI67" s="34">
        <f t="shared" si="19"/>
        <v>41964</v>
      </c>
      <c r="BJ67" s="34">
        <f t="shared" si="19"/>
        <v>41965</v>
      </c>
      <c r="BL67" s="82" t="str">
        <f t="array" ref="BL67">IFERROR(IF(MATCH(8,DAY(BD67:BJ67),0),BJ67,""),"")</f>
        <v/>
      </c>
      <c r="BM67" s="71">
        <f ca="1">IF(""=IFERROR(INDEX(INDIRECT("Data!C"&amp;$BD$4,FALSE),MATCH(BD67,Data!$A:$A,0)),$BM$6),$BM$8,IFERROR(INDEX(INDIRECT("Data!C"&amp;$BD$4,FALSE),MATCH(BD67,Data!$A:$A,0)),$BM$6))</f>
        <v>48</v>
      </c>
      <c r="BN67" s="71">
        <f ca="1">IF(""=IFERROR(INDEX(INDIRECT("Data!C"&amp;$BD$4,FALSE),MATCH(BE67,Data!$A:$A,0)),$BM$6),$BM$8,IFERROR(INDEX(INDIRECT("Data!C"&amp;$BD$4,FALSE),MATCH(BE67,Data!$A:$A,0)),$BM$6))</f>
        <v>351</v>
      </c>
      <c r="BO67" s="71">
        <f ca="1">IF(""=IFERROR(INDEX(INDIRECT("Data!C"&amp;$BD$4,FALSE),MATCH(BF67,Data!$A:$A,0)),$BM$6),$BM$8,IFERROR(INDEX(INDIRECT("Data!C"&amp;$BD$4,FALSE),MATCH(BF67,Data!$A:$A,0)),$BM$6))</f>
        <v>359</v>
      </c>
      <c r="BP67" s="71">
        <f ca="1">IF(""=IFERROR(INDEX(INDIRECT("Data!C"&amp;$BD$4,FALSE),MATCH(BG67,Data!$A:$A,0)),$BM$6),$BM$8,IFERROR(INDEX(INDIRECT("Data!C"&amp;$BD$4,FALSE),MATCH(BG67,Data!$A:$A,0)),$BM$6))</f>
        <v>316</v>
      </c>
      <c r="BQ67" s="71">
        <f ca="1">IF(""=IFERROR(INDEX(INDIRECT("Data!C"&amp;$BD$4,FALSE),MATCH(BH67,Data!$A:$A,0)),$BM$6),$BM$8,IFERROR(INDEX(INDIRECT("Data!C"&amp;$BD$4,FALSE),MATCH(BH67,Data!$A:$A,0)),$BM$6))</f>
        <v>207</v>
      </c>
      <c r="BR67" s="71">
        <f ca="1">IF(""=IFERROR(INDEX(INDIRECT("Data!C"&amp;$BD$4,FALSE),MATCH(BI67,Data!$A:$A,0)),$BM$6),$BM$8,IFERROR(INDEX(INDIRECT("Data!C"&amp;$BD$4,FALSE),MATCH(BI67,Data!$A:$A,0)),$BM$6))</f>
        <v>261</v>
      </c>
      <c r="BS67" s="71">
        <f ca="1">IF(""=IFERROR(INDEX(INDIRECT("Data!C"&amp;$BD$4,FALSE),MATCH(BJ67,Data!$A:$A,0)),$BM$6),$BM$8,IFERROR(INDEX(INDIRECT("Data!C"&amp;$BD$4,FALSE),MATCH(BJ67,Data!$A:$A,0)),$BM$6))</f>
        <v>68</v>
      </c>
      <c r="BT67" s="88">
        <f t="shared" ca="1" si="27"/>
        <v>230</v>
      </c>
    </row>
    <row r="68" spans="2:72" ht="12" customHeight="1" x14ac:dyDescent="0.2">
      <c r="B68" s="34">
        <f t="shared" si="28"/>
        <v>41966</v>
      </c>
      <c r="C68" s="34">
        <f t="shared" si="33"/>
        <v>41967</v>
      </c>
      <c r="D68" s="34">
        <f t="shared" si="33"/>
        <v>41968</v>
      </c>
      <c r="E68" s="34">
        <f t="shared" si="33"/>
        <v>41969</v>
      </c>
      <c r="F68" s="34">
        <f t="shared" si="33"/>
        <v>41970</v>
      </c>
      <c r="G68" s="34">
        <f t="shared" si="33"/>
        <v>41971</v>
      </c>
      <c r="H68" s="34">
        <f t="shared" si="33"/>
        <v>41972</v>
      </c>
      <c r="J68" s="82" t="str">
        <f t="array" ref="J68">IFERROR(IF(MATCH(8,DAY(B68:H68),0),H68,""),"")</f>
        <v/>
      </c>
      <c r="K68" s="71">
        <f ca="1">IF(""=IFERROR(INDEX(INDIRECT("Data!C"&amp;$B$4,FALSE),MATCH(B68,Data!$A:$A,0)),$K$6),$K$8,IFERROR(INDEX(INDIRECT("Data!C"&amp;$B$4,FALSE),MATCH(B68,Data!$A:$A,0)),$K$6))</f>
        <v>29</v>
      </c>
      <c r="L68" s="71">
        <f ca="1">IF(""=IFERROR(INDEX(INDIRECT("Data!C"&amp;$B$4,FALSE),MATCH(C68,Data!$A:$A,0)),$K$6),$K$8,IFERROR(INDEX(INDIRECT("Data!C"&amp;$B$4,FALSE),MATCH(C68,Data!$A:$A,0)),$K$6))</f>
        <v>367</v>
      </c>
      <c r="M68" s="71">
        <f ca="1">IF(""=IFERROR(INDEX(INDIRECT("Data!C"&amp;$B$4,FALSE),MATCH(D68,Data!$A:$A,0)),$K$6),$K$8,IFERROR(INDEX(INDIRECT("Data!C"&amp;$B$4,FALSE),MATCH(D68,Data!$A:$A,0)),$K$6))</f>
        <v>399</v>
      </c>
      <c r="N68" s="71">
        <f ca="1">IF(""=IFERROR(INDEX(INDIRECT("Data!C"&amp;$B$4,FALSE),MATCH(E68,Data!$A:$A,0)),$K$6),$K$8,IFERROR(INDEX(INDIRECT("Data!C"&amp;$B$4,FALSE),MATCH(E68,Data!$A:$A,0)),$K$6))</f>
        <v>347</v>
      </c>
      <c r="O68" s="71">
        <f ca="1">IF(""=IFERROR(INDEX(INDIRECT("Data!C"&amp;$B$4,FALSE),MATCH(F68,Data!$A:$A,0)),$K$6),$K$8,IFERROR(INDEX(INDIRECT("Data!C"&amp;$B$4,FALSE),MATCH(F68,Data!$A:$A,0)),$K$6))</f>
        <v>200</v>
      </c>
      <c r="P68" s="71">
        <f ca="1">IF(""=IFERROR(INDEX(INDIRECT("Data!C"&amp;$B$4,FALSE),MATCH(G68,Data!$A:$A,0)),$K$6),$K$8,IFERROR(INDEX(INDIRECT("Data!C"&amp;$B$4,FALSE),MATCH(G68,Data!$A:$A,0)),$K$6))</f>
        <v>248</v>
      </c>
      <c r="Q68" s="71">
        <f ca="1">IF(""=IFERROR(INDEX(INDIRECT("Data!C"&amp;$B$4,FALSE),MATCH(H68,Data!$A:$A,0)),$K$6),$K$8,IFERROR(INDEX(INDIRECT("Data!C"&amp;$B$4,FALSE),MATCH(H68,Data!$A:$A,0)),$K$6))</f>
        <v>79</v>
      </c>
      <c r="R68" s="88">
        <f t="shared" ca="1" si="21"/>
        <v>238.42857142857142</v>
      </c>
      <c r="T68" s="34">
        <f t="shared" si="29"/>
        <v>41966</v>
      </c>
      <c r="U68" s="34">
        <f t="shared" si="22"/>
        <v>41967</v>
      </c>
      <c r="V68" s="34">
        <f t="shared" si="17"/>
        <v>41968</v>
      </c>
      <c r="W68" s="34">
        <f t="shared" si="17"/>
        <v>41969</v>
      </c>
      <c r="X68" s="34">
        <f t="shared" si="17"/>
        <v>41970</v>
      </c>
      <c r="Y68" s="34">
        <f t="shared" si="17"/>
        <v>41971</v>
      </c>
      <c r="Z68" s="34">
        <f t="shared" si="17"/>
        <v>41972</v>
      </c>
      <c r="AB68" s="82" t="str">
        <f t="array" ref="AB68">IFERROR(IF(MATCH(8,DAY(T68:Z68),0),Z68,""),"")</f>
        <v/>
      </c>
      <c r="AC68" s="71">
        <f ca="1">IF(""=IFERROR(INDEX(INDIRECT("Data!C"&amp;$T$4,FALSE),MATCH(T68,Data!$A:$A,0)),$AC$6),$AC$8,IFERROR(INDEX(INDIRECT("Data!C"&amp;$T$4,FALSE),MATCH(T68,Data!$A:$A,0)),$AC$6))</f>
        <v>29</v>
      </c>
      <c r="AD68" s="71">
        <f ca="1">IF(""=IFERROR(INDEX(INDIRECT("Data!C"&amp;$T$4,FALSE),MATCH(U68,Data!$A:$A,0)),$AC$6),$AC$8,IFERROR(INDEX(INDIRECT("Data!C"&amp;$T$4,FALSE),MATCH(U68,Data!$A:$A,0)),$AC$6))</f>
        <v>367</v>
      </c>
      <c r="AE68" s="71">
        <f ca="1">IF(""=IFERROR(INDEX(INDIRECT("Data!C"&amp;$T$4,FALSE),MATCH(V68,Data!$A:$A,0)),$AC$6),$AC$8,IFERROR(INDEX(INDIRECT("Data!C"&amp;$T$4,FALSE),MATCH(V68,Data!$A:$A,0)),$AC$6))</f>
        <v>399</v>
      </c>
      <c r="AF68" s="71">
        <f ca="1">IF(""=IFERROR(INDEX(INDIRECT("Data!C"&amp;$T$4,FALSE),MATCH(W68,Data!$A:$A,0)),$AC$6),$AC$8,IFERROR(INDEX(INDIRECT("Data!C"&amp;$T$4,FALSE),MATCH(W68,Data!$A:$A,0)),$AC$6))</f>
        <v>347</v>
      </c>
      <c r="AG68" s="71">
        <f ca="1">IF(""=IFERROR(INDEX(INDIRECT("Data!C"&amp;$T$4,FALSE),MATCH(X68,Data!$A:$A,0)),$AC$6),$AC$8,IFERROR(INDEX(INDIRECT("Data!C"&amp;$T$4,FALSE),MATCH(X68,Data!$A:$A,0)),$AC$6))</f>
        <v>200</v>
      </c>
      <c r="AH68" s="71">
        <f ca="1">IF(""=IFERROR(INDEX(INDIRECT("Data!C"&amp;$T$4,FALSE),MATCH(Y68,Data!$A:$A,0)),$AC$6),$AC$8,IFERROR(INDEX(INDIRECT("Data!C"&amp;$T$4,FALSE),MATCH(Y68,Data!$A:$A,0)),$AC$6))</f>
        <v>248</v>
      </c>
      <c r="AI68" s="71">
        <f ca="1">IF(""=IFERROR(INDEX(INDIRECT("Data!C"&amp;$T$4,FALSE),MATCH(Z68,Data!$A:$A,0)),$AC$6),$AC$8,IFERROR(INDEX(INDIRECT("Data!C"&amp;$T$4,FALSE),MATCH(Z68,Data!$A:$A,0)),$AC$6))</f>
        <v>79</v>
      </c>
      <c r="AJ68" s="88">
        <f t="shared" ca="1" si="23"/>
        <v>238.42857142857142</v>
      </c>
      <c r="AL68" s="34">
        <f t="shared" si="30"/>
        <v>41966</v>
      </c>
      <c r="AM68" s="34">
        <f t="shared" si="24"/>
        <v>41967</v>
      </c>
      <c r="AN68" s="34">
        <f t="shared" si="18"/>
        <v>41968</v>
      </c>
      <c r="AO68" s="34">
        <f t="shared" si="18"/>
        <v>41969</v>
      </c>
      <c r="AP68" s="34">
        <f t="shared" si="18"/>
        <v>41970</v>
      </c>
      <c r="AQ68" s="34">
        <f t="shared" si="18"/>
        <v>41971</v>
      </c>
      <c r="AR68" s="34">
        <f t="shared" si="18"/>
        <v>41972</v>
      </c>
      <c r="AT68" s="82" t="str">
        <f t="array" ref="AT68">IFERROR(IF(MATCH(8,DAY(AL68:AR68),0),AR68,""),"")</f>
        <v/>
      </c>
      <c r="AU68" s="71">
        <f ca="1">IF(""=IFERROR(INDEX(INDIRECT("Data!C"&amp;$AL$4,FALSE),MATCH(AL68,Data!$A:$A,0)),$AU$6),$AU$8,IFERROR(INDEX(INDIRECT("Data!C"&amp;$AL$4,FALSE),MATCH(AL68,Data!$A:$A,0)),$AU$6))</f>
        <v>29</v>
      </c>
      <c r="AV68" s="71">
        <f ca="1">IF(""=IFERROR(INDEX(INDIRECT("Data!C"&amp;$AL$4,FALSE),MATCH(AM68,Data!$A:$A,0)),$AU$6),$AU$8,IFERROR(INDEX(INDIRECT("Data!C"&amp;$AL$4,FALSE),MATCH(AM68,Data!$A:$A,0)),$AU$6))</f>
        <v>367</v>
      </c>
      <c r="AW68" s="71">
        <f ca="1">IF(""=IFERROR(INDEX(INDIRECT("Data!C"&amp;$AL$4,FALSE),MATCH(AN68,Data!$A:$A,0)),$AU$6),$AU$8,IFERROR(INDEX(INDIRECT("Data!C"&amp;$AL$4,FALSE),MATCH(AN68,Data!$A:$A,0)),$AU$6))</f>
        <v>399</v>
      </c>
      <c r="AX68" s="71">
        <f ca="1">IF(""=IFERROR(INDEX(INDIRECT("Data!C"&amp;$AL$4,FALSE),MATCH(AO68,Data!$A:$A,0)),$AU$6),$AU$8,IFERROR(INDEX(INDIRECT("Data!C"&amp;$AL$4,FALSE),MATCH(AO68,Data!$A:$A,0)),$AU$6))</f>
        <v>347</v>
      </c>
      <c r="AY68" s="71">
        <f ca="1">IF(""=IFERROR(INDEX(INDIRECT("Data!C"&amp;$AL$4,FALSE),MATCH(AP68,Data!$A:$A,0)),$AU$6),$AU$8,IFERROR(INDEX(INDIRECT("Data!C"&amp;$AL$4,FALSE),MATCH(AP68,Data!$A:$A,0)),$AU$6))</f>
        <v>200</v>
      </c>
      <c r="AZ68" s="71">
        <f ca="1">IF(""=IFERROR(INDEX(INDIRECT("Data!C"&amp;$AL$4,FALSE),MATCH(AQ68,Data!$A:$A,0)),$AU$6),$AU$8,IFERROR(INDEX(INDIRECT("Data!C"&amp;$AL$4,FALSE),MATCH(AQ68,Data!$A:$A,0)),$AU$6))</f>
        <v>248</v>
      </c>
      <c r="BA68" s="71">
        <f ca="1">IF(""=IFERROR(INDEX(INDIRECT("Data!C"&amp;$AL$4,FALSE),MATCH(AR68,Data!$A:$A,0)),$AU$6),$AU$8,IFERROR(INDEX(INDIRECT("Data!C"&amp;$AL$4,FALSE),MATCH(AR68,Data!$A:$A,0)),$AU$6))</f>
        <v>79</v>
      </c>
      <c r="BB68" s="88">
        <f t="shared" ca="1" si="25"/>
        <v>238.42857142857142</v>
      </c>
      <c r="BD68" s="34">
        <f t="shared" si="31"/>
        <v>41966</v>
      </c>
      <c r="BE68" s="34">
        <f t="shared" si="26"/>
        <v>41967</v>
      </c>
      <c r="BF68" s="34">
        <f t="shared" si="19"/>
        <v>41968</v>
      </c>
      <c r="BG68" s="34">
        <f t="shared" si="19"/>
        <v>41969</v>
      </c>
      <c r="BH68" s="34">
        <f t="shared" si="19"/>
        <v>41970</v>
      </c>
      <c r="BI68" s="34">
        <f t="shared" si="19"/>
        <v>41971</v>
      </c>
      <c r="BJ68" s="34">
        <f t="shared" si="19"/>
        <v>41972</v>
      </c>
      <c r="BL68" s="82" t="str">
        <f t="array" ref="BL68">IFERROR(IF(MATCH(8,DAY(BD68:BJ68),0),BJ68,""),"")</f>
        <v/>
      </c>
      <c r="BM68" s="71">
        <f ca="1">IF(""=IFERROR(INDEX(INDIRECT("Data!C"&amp;$BD$4,FALSE),MATCH(BD68,Data!$A:$A,0)),$BM$6),$BM$8,IFERROR(INDEX(INDIRECT("Data!C"&amp;$BD$4,FALSE),MATCH(BD68,Data!$A:$A,0)),$BM$6))</f>
        <v>29</v>
      </c>
      <c r="BN68" s="71">
        <f ca="1">IF(""=IFERROR(INDEX(INDIRECT("Data!C"&amp;$BD$4,FALSE),MATCH(BE68,Data!$A:$A,0)),$BM$6),$BM$8,IFERROR(INDEX(INDIRECT("Data!C"&amp;$BD$4,FALSE),MATCH(BE68,Data!$A:$A,0)),$BM$6))</f>
        <v>367</v>
      </c>
      <c r="BO68" s="71">
        <f ca="1">IF(""=IFERROR(INDEX(INDIRECT("Data!C"&amp;$BD$4,FALSE),MATCH(BF68,Data!$A:$A,0)),$BM$6),$BM$8,IFERROR(INDEX(INDIRECT("Data!C"&amp;$BD$4,FALSE),MATCH(BF68,Data!$A:$A,0)),$BM$6))</f>
        <v>399</v>
      </c>
      <c r="BP68" s="71">
        <f ca="1">IF(""=IFERROR(INDEX(INDIRECT("Data!C"&amp;$BD$4,FALSE),MATCH(BG68,Data!$A:$A,0)),$BM$6),$BM$8,IFERROR(INDEX(INDIRECT("Data!C"&amp;$BD$4,FALSE),MATCH(BG68,Data!$A:$A,0)),$BM$6))</f>
        <v>347</v>
      </c>
      <c r="BQ68" s="71">
        <f ca="1">IF(""=IFERROR(INDEX(INDIRECT("Data!C"&amp;$BD$4,FALSE),MATCH(BH68,Data!$A:$A,0)),$BM$6),$BM$8,IFERROR(INDEX(INDIRECT("Data!C"&amp;$BD$4,FALSE),MATCH(BH68,Data!$A:$A,0)),$BM$6))</f>
        <v>200</v>
      </c>
      <c r="BR68" s="71">
        <f ca="1">IF(""=IFERROR(INDEX(INDIRECT("Data!C"&amp;$BD$4,FALSE),MATCH(BI68,Data!$A:$A,0)),$BM$6),$BM$8,IFERROR(INDEX(INDIRECT("Data!C"&amp;$BD$4,FALSE),MATCH(BI68,Data!$A:$A,0)),$BM$6))</f>
        <v>248</v>
      </c>
      <c r="BS68" s="71">
        <f ca="1">IF(""=IFERROR(INDEX(INDIRECT("Data!C"&amp;$BD$4,FALSE),MATCH(BJ68,Data!$A:$A,0)),$BM$6),$BM$8,IFERROR(INDEX(INDIRECT("Data!C"&amp;$BD$4,FALSE),MATCH(BJ68,Data!$A:$A,0)),$BM$6))</f>
        <v>79</v>
      </c>
      <c r="BT68" s="88">
        <f t="shared" ca="1" si="27"/>
        <v>238.42857142857142</v>
      </c>
    </row>
    <row r="69" spans="2:72" ht="12" customHeight="1" x14ac:dyDescent="0.2">
      <c r="B69" s="34">
        <f t="shared" si="28"/>
        <v>41973</v>
      </c>
      <c r="C69" s="34">
        <f t="shared" si="33"/>
        <v>41974</v>
      </c>
      <c r="D69" s="34">
        <f t="shared" si="33"/>
        <v>41975</v>
      </c>
      <c r="E69" s="34">
        <f t="shared" si="33"/>
        <v>41976</v>
      </c>
      <c r="F69" s="34">
        <f t="shared" si="33"/>
        <v>41977</v>
      </c>
      <c r="G69" s="34">
        <f t="shared" si="33"/>
        <v>41978</v>
      </c>
      <c r="H69" s="34">
        <f t="shared" si="33"/>
        <v>41979</v>
      </c>
      <c r="J69" s="82" t="str">
        <f t="array" ref="J69">IFERROR(IF(MATCH(8,DAY(B69:H69),0),H69,""),"")</f>
        <v/>
      </c>
      <c r="K69" s="71">
        <f ca="1">IF(""=IFERROR(INDEX(INDIRECT("Data!C"&amp;$B$4,FALSE),MATCH(B69,Data!$A:$A,0)),$K$6),$K$8,IFERROR(INDEX(INDIRECT("Data!C"&amp;$B$4,FALSE),MATCH(B69,Data!$A:$A,0)),$K$6))</f>
        <v>36</v>
      </c>
      <c r="L69" s="71">
        <f ca="1">IF(""=IFERROR(INDEX(INDIRECT("Data!C"&amp;$B$4,FALSE),MATCH(C69,Data!$A:$A,0)),$K$6),$K$8,IFERROR(INDEX(INDIRECT("Data!C"&amp;$B$4,FALSE),MATCH(C69,Data!$A:$A,0)),$K$6))</f>
        <v>283</v>
      </c>
      <c r="M69" s="71">
        <f ca="1">IF(""=IFERROR(INDEX(INDIRECT("Data!C"&amp;$B$4,FALSE),MATCH(D69,Data!$A:$A,0)),$K$6),$K$8,IFERROR(INDEX(INDIRECT("Data!C"&amp;$B$4,FALSE),MATCH(D69,Data!$A:$A,0)),$K$6))</f>
        <v>364</v>
      </c>
      <c r="N69" s="71">
        <f ca="1">IF(""=IFERROR(INDEX(INDIRECT("Data!C"&amp;$B$4,FALSE),MATCH(E69,Data!$A:$A,0)),$K$6),$K$8,IFERROR(INDEX(INDIRECT("Data!C"&amp;$B$4,FALSE),MATCH(E69,Data!$A:$A,0)),$K$6))</f>
        <v>336</v>
      </c>
      <c r="O69" s="71">
        <f ca="1">IF(""=IFERROR(INDEX(INDIRECT("Data!C"&amp;$B$4,FALSE),MATCH(F69,Data!$A:$A,0)),$K$6),$K$8,IFERROR(INDEX(INDIRECT("Data!C"&amp;$B$4,FALSE),MATCH(F69,Data!$A:$A,0)),$K$6))</f>
        <v>278</v>
      </c>
      <c r="P69" s="71">
        <f ca="1">IF(""=IFERROR(INDEX(INDIRECT("Data!C"&amp;$B$4,FALSE),MATCH(G69,Data!$A:$A,0)),$K$6),$K$8,IFERROR(INDEX(INDIRECT("Data!C"&amp;$B$4,FALSE),MATCH(G69,Data!$A:$A,0)),$K$6))</f>
        <v>176</v>
      </c>
      <c r="Q69" s="71">
        <f ca="1">IF(""=IFERROR(INDEX(INDIRECT("Data!C"&amp;$B$4,FALSE),MATCH(H69,Data!$A:$A,0)),$K$6),$K$8,IFERROR(INDEX(INDIRECT("Data!C"&amp;$B$4,FALSE),MATCH(H69,Data!$A:$A,0)),$K$6))</f>
        <v>66</v>
      </c>
      <c r="R69" s="88">
        <f t="shared" ca="1" si="21"/>
        <v>219.85714285714286</v>
      </c>
      <c r="T69" s="34">
        <f t="shared" si="29"/>
        <v>41973</v>
      </c>
      <c r="U69" s="34">
        <f t="shared" si="22"/>
        <v>41974</v>
      </c>
      <c r="V69" s="34">
        <f t="shared" si="17"/>
        <v>41975</v>
      </c>
      <c r="W69" s="34">
        <f t="shared" si="17"/>
        <v>41976</v>
      </c>
      <c r="X69" s="34">
        <f t="shared" si="17"/>
        <v>41977</v>
      </c>
      <c r="Y69" s="34">
        <f t="shared" si="17"/>
        <v>41978</v>
      </c>
      <c r="Z69" s="34">
        <f t="shared" si="17"/>
        <v>41979</v>
      </c>
      <c r="AB69" s="82" t="str">
        <f t="array" ref="AB69">IFERROR(IF(MATCH(8,DAY(T69:Z69),0),Z69,""),"")</f>
        <v/>
      </c>
      <c r="AC69" s="71">
        <f ca="1">IF(""=IFERROR(INDEX(INDIRECT("Data!C"&amp;$T$4,FALSE),MATCH(T69,Data!$A:$A,0)),$AC$6),$AC$8,IFERROR(INDEX(INDIRECT("Data!C"&amp;$T$4,FALSE),MATCH(T69,Data!$A:$A,0)),$AC$6))</f>
        <v>36</v>
      </c>
      <c r="AD69" s="71">
        <f ca="1">IF(""=IFERROR(INDEX(INDIRECT("Data!C"&amp;$T$4,FALSE),MATCH(U69,Data!$A:$A,0)),$AC$6),$AC$8,IFERROR(INDEX(INDIRECT("Data!C"&amp;$T$4,FALSE),MATCH(U69,Data!$A:$A,0)),$AC$6))</f>
        <v>283</v>
      </c>
      <c r="AE69" s="71">
        <f ca="1">IF(""=IFERROR(INDEX(INDIRECT("Data!C"&amp;$T$4,FALSE),MATCH(V69,Data!$A:$A,0)),$AC$6),$AC$8,IFERROR(INDEX(INDIRECT("Data!C"&amp;$T$4,FALSE),MATCH(V69,Data!$A:$A,0)),$AC$6))</f>
        <v>364</v>
      </c>
      <c r="AF69" s="71">
        <f ca="1">IF(""=IFERROR(INDEX(INDIRECT("Data!C"&amp;$T$4,FALSE),MATCH(W69,Data!$A:$A,0)),$AC$6),$AC$8,IFERROR(INDEX(INDIRECT("Data!C"&amp;$T$4,FALSE),MATCH(W69,Data!$A:$A,0)),$AC$6))</f>
        <v>336</v>
      </c>
      <c r="AG69" s="71">
        <f ca="1">IF(""=IFERROR(INDEX(INDIRECT("Data!C"&amp;$T$4,FALSE),MATCH(X69,Data!$A:$A,0)),$AC$6),$AC$8,IFERROR(INDEX(INDIRECT("Data!C"&amp;$T$4,FALSE),MATCH(X69,Data!$A:$A,0)),$AC$6))</f>
        <v>278</v>
      </c>
      <c r="AH69" s="71">
        <f ca="1">IF(""=IFERROR(INDEX(INDIRECT("Data!C"&amp;$T$4,FALSE),MATCH(Y69,Data!$A:$A,0)),$AC$6),$AC$8,IFERROR(INDEX(INDIRECT("Data!C"&amp;$T$4,FALSE),MATCH(Y69,Data!$A:$A,0)),$AC$6))</f>
        <v>176</v>
      </c>
      <c r="AI69" s="71">
        <f ca="1">IF(""=IFERROR(INDEX(INDIRECT("Data!C"&amp;$T$4,FALSE),MATCH(Z69,Data!$A:$A,0)),$AC$6),$AC$8,IFERROR(INDEX(INDIRECT("Data!C"&amp;$T$4,FALSE),MATCH(Z69,Data!$A:$A,0)),$AC$6))</f>
        <v>66</v>
      </c>
      <c r="AJ69" s="88">
        <f t="shared" ca="1" si="23"/>
        <v>219.85714285714286</v>
      </c>
      <c r="AL69" s="34">
        <f t="shared" si="30"/>
        <v>41973</v>
      </c>
      <c r="AM69" s="34">
        <f t="shared" si="24"/>
        <v>41974</v>
      </c>
      <c r="AN69" s="34">
        <f t="shared" si="18"/>
        <v>41975</v>
      </c>
      <c r="AO69" s="34">
        <f t="shared" si="18"/>
        <v>41976</v>
      </c>
      <c r="AP69" s="34">
        <f t="shared" si="18"/>
        <v>41977</v>
      </c>
      <c r="AQ69" s="34">
        <f t="shared" si="18"/>
        <v>41978</v>
      </c>
      <c r="AR69" s="34">
        <f t="shared" si="18"/>
        <v>41979</v>
      </c>
      <c r="AT69" s="82" t="str">
        <f t="array" ref="AT69">IFERROR(IF(MATCH(8,DAY(AL69:AR69),0),AR69,""),"")</f>
        <v/>
      </c>
      <c r="AU69" s="71">
        <f ca="1">IF(""=IFERROR(INDEX(INDIRECT("Data!C"&amp;$AL$4,FALSE),MATCH(AL69,Data!$A:$A,0)),$AU$6),$AU$8,IFERROR(INDEX(INDIRECT("Data!C"&amp;$AL$4,FALSE),MATCH(AL69,Data!$A:$A,0)),$AU$6))</f>
        <v>36</v>
      </c>
      <c r="AV69" s="71">
        <f ca="1">IF(""=IFERROR(INDEX(INDIRECT("Data!C"&amp;$AL$4,FALSE),MATCH(AM69,Data!$A:$A,0)),$AU$6),$AU$8,IFERROR(INDEX(INDIRECT("Data!C"&amp;$AL$4,FALSE),MATCH(AM69,Data!$A:$A,0)),$AU$6))</f>
        <v>283</v>
      </c>
      <c r="AW69" s="71">
        <f ca="1">IF(""=IFERROR(INDEX(INDIRECT("Data!C"&amp;$AL$4,FALSE),MATCH(AN69,Data!$A:$A,0)),$AU$6),$AU$8,IFERROR(INDEX(INDIRECT("Data!C"&amp;$AL$4,FALSE),MATCH(AN69,Data!$A:$A,0)),$AU$6))</f>
        <v>364</v>
      </c>
      <c r="AX69" s="71">
        <f ca="1">IF(""=IFERROR(INDEX(INDIRECT("Data!C"&amp;$AL$4,FALSE),MATCH(AO69,Data!$A:$A,0)),$AU$6),$AU$8,IFERROR(INDEX(INDIRECT("Data!C"&amp;$AL$4,FALSE),MATCH(AO69,Data!$A:$A,0)),$AU$6))</f>
        <v>336</v>
      </c>
      <c r="AY69" s="71">
        <f ca="1">IF(""=IFERROR(INDEX(INDIRECT("Data!C"&amp;$AL$4,FALSE),MATCH(AP69,Data!$A:$A,0)),$AU$6),$AU$8,IFERROR(INDEX(INDIRECT("Data!C"&amp;$AL$4,FALSE),MATCH(AP69,Data!$A:$A,0)),$AU$6))</f>
        <v>278</v>
      </c>
      <c r="AZ69" s="71">
        <f ca="1">IF(""=IFERROR(INDEX(INDIRECT("Data!C"&amp;$AL$4,FALSE),MATCH(AQ69,Data!$A:$A,0)),$AU$6),$AU$8,IFERROR(INDEX(INDIRECT("Data!C"&amp;$AL$4,FALSE),MATCH(AQ69,Data!$A:$A,0)),$AU$6))</f>
        <v>176</v>
      </c>
      <c r="BA69" s="71">
        <f ca="1">IF(""=IFERROR(INDEX(INDIRECT("Data!C"&amp;$AL$4,FALSE),MATCH(AR69,Data!$A:$A,0)),$AU$6),$AU$8,IFERROR(INDEX(INDIRECT("Data!C"&amp;$AL$4,FALSE),MATCH(AR69,Data!$A:$A,0)),$AU$6))</f>
        <v>66</v>
      </c>
      <c r="BB69" s="88">
        <f t="shared" ca="1" si="25"/>
        <v>219.85714285714286</v>
      </c>
      <c r="BD69" s="34">
        <f t="shared" si="31"/>
        <v>41973</v>
      </c>
      <c r="BE69" s="34">
        <f t="shared" si="26"/>
        <v>41974</v>
      </c>
      <c r="BF69" s="34">
        <f t="shared" si="19"/>
        <v>41975</v>
      </c>
      <c r="BG69" s="34">
        <f t="shared" si="19"/>
        <v>41976</v>
      </c>
      <c r="BH69" s="34">
        <f t="shared" si="19"/>
        <v>41977</v>
      </c>
      <c r="BI69" s="34">
        <f t="shared" si="19"/>
        <v>41978</v>
      </c>
      <c r="BJ69" s="34">
        <f t="shared" si="19"/>
        <v>41979</v>
      </c>
      <c r="BL69" s="82" t="str">
        <f t="array" ref="BL69">IFERROR(IF(MATCH(8,DAY(BD69:BJ69),0),BJ69,""),"")</f>
        <v/>
      </c>
      <c r="BM69" s="71">
        <f ca="1">IF(""=IFERROR(INDEX(INDIRECT("Data!C"&amp;$BD$4,FALSE),MATCH(BD69,Data!$A:$A,0)),$BM$6),$BM$8,IFERROR(INDEX(INDIRECT("Data!C"&amp;$BD$4,FALSE),MATCH(BD69,Data!$A:$A,0)),$BM$6))</f>
        <v>36</v>
      </c>
      <c r="BN69" s="71">
        <f ca="1">IF(""=IFERROR(INDEX(INDIRECT("Data!C"&amp;$BD$4,FALSE),MATCH(BE69,Data!$A:$A,0)),$BM$6),$BM$8,IFERROR(INDEX(INDIRECT("Data!C"&amp;$BD$4,FALSE),MATCH(BE69,Data!$A:$A,0)),$BM$6))</f>
        <v>283</v>
      </c>
      <c r="BO69" s="71">
        <f ca="1">IF(""=IFERROR(INDEX(INDIRECT("Data!C"&amp;$BD$4,FALSE),MATCH(BF69,Data!$A:$A,0)),$BM$6),$BM$8,IFERROR(INDEX(INDIRECT("Data!C"&amp;$BD$4,FALSE),MATCH(BF69,Data!$A:$A,0)),$BM$6))</f>
        <v>364</v>
      </c>
      <c r="BP69" s="71">
        <f ca="1">IF(""=IFERROR(INDEX(INDIRECT("Data!C"&amp;$BD$4,FALSE),MATCH(BG69,Data!$A:$A,0)),$BM$6),$BM$8,IFERROR(INDEX(INDIRECT("Data!C"&amp;$BD$4,FALSE),MATCH(BG69,Data!$A:$A,0)),$BM$6))</f>
        <v>336</v>
      </c>
      <c r="BQ69" s="71">
        <f ca="1">IF(""=IFERROR(INDEX(INDIRECT("Data!C"&amp;$BD$4,FALSE),MATCH(BH69,Data!$A:$A,0)),$BM$6),$BM$8,IFERROR(INDEX(INDIRECT("Data!C"&amp;$BD$4,FALSE),MATCH(BH69,Data!$A:$A,0)),$BM$6))</f>
        <v>278</v>
      </c>
      <c r="BR69" s="71">
        <f ca="1">IF(""=IFERROR(INDEX(INDIRECT("Data!C"&amp;$BD$4,FALSE),MATCH(BI69,Data!$A:$A,0)),$BM$6),$BM$8,IFERROR(INDEX(INDIRECT("Data!C"&amp;$BD$4,FALSE),MATCH(BI69,Data!$A:$A,0)),$BM$6))</f>
        <v>176</v>
      </c>
      <c r="BS69" s="71">
        <f ca="1">IF(""=IFERROR(INDEX(INDIRECT("Data!C"&amp;$BD$4,FALSE),MATCH(BJ69,Data!$A:$A,0)),$BM$6),$BM$8,IFERROR(INDEX(INDIRECT("Data!C"&amp;$BD$4,FALSE),MATCH(BJ69,Data!$A:$A,0)),$BM$6))</f>
        <v>66</v>
      </c>
      <c r="BT69" s="88">
        <f t="shared" ca="1" si="27"/>
        <v>219.85714285714286</v>
      </c>
    </row>
    <row r="70" spans="2:72" ht="12" customHeight="1" x14ac:dyDescent="0.2">
      <c r="B70" s="34">
        <f t="shared" si="28"/>
        <v>41980</v>
      </c>
      <c r="C70" s="34">
        <f t="shared" ref="C70:H73" si="34">B70+1</f>
        <v>41981</v>
      </c>
      <c r="D70" s="34">
        <f t="shared" si="34"/>
        <v>41982</v>
      </c>
      <c r="E70" s="34">
        <f t="shared" si="34"/>
        <v>41983</v>
      </c>
      <c r="F70" s="34">
        <f t="shared" si="34"/>
        <v>41984</v>
      </c>
      <c r="G70" s="34">
        <f t="shared" si="34"/>
        <v>41985</v>
      </c>
      <c r="H70" s="34">
        <f t="shared" si="34"/>
        <v>41986</v>
      </c>
      <c r="J70" s="82">
        <f t="array" ref="J70">IFERROR(IF(MATCH(8,DAY(B70:H70),0),H70,""),"")</f>
        <v>41986</v>
      </c>
      <c r="K70" s="71">
        <f ca="1">IF(""=IFERROR(INDEX(INDIRECT("Data!C"&amp;$B$4,FALSE),MATCH(B70,Data!$A:$A,0)),$K$6),$K$8,IFERROR(INDEX(INDIRECT("Data!C"&amp;$B$4,FALSE),MATCH(B70,Data!$A:$A,0)),$K$6))</f>
        <v>22</v>
      </c>
      <c r="L70" s="71">
        <f ca="1">IF(""=IFERROR(INDEX(INDIRECT("Data!C"&amp;$B$4,FALSE),MATCH(C70,Data!$A:$A,0)),$K$6),$K$8,IFERROR(INDEX(INDIRECT("Data!C"&amp;$B$4,FALSE),MATCH(C70,Data!$A:$A,0)),$K$6))</f>
        <v>328</v>
      </c>
      <c r="M70" s="71">
        <f ca="1">IF(""=IFERROR(INDEX(INDIRECT("Data!C"&amp;$B$4,FALSE),MATCH(D70,Data!$A:$A,0)),$K$6),$K$8,IFERROR(INDEX(INDIRECT("Data!C"&amp;$B$4,FALSE),MATCH(D70,Data!$A:$A,0)),$K$6))</f>
        <v>288</v>
      </c>
      <c r="N70" s="71">
        <f ca="1">IF(""=IFERROR(INDEX(INDIRECT("Data!C"&amp;$B$4,FALSE),MATCH(E70,Data!$A:$A,0)),$K$6),$K$8,IFERROR(INDEX(INDIRECT("Data!C"&amp;$B$4,FALSE),MATCH(E70,Data!$A:$A,0)),$K$6))</f>
        <v>169</v>
      </c>
      <c r="O70" s="71">
        <f ca="1">IF(""=IFERROR(INDEX(INDIRECT("Data!C"&amp;$B$4,FALSE),MATCH(F70,Data!$A:$A,0)),$K$6),$K$8,IFERROR(INDEX(INDIRECT("Data!C"&amp;$B$4,FALSE),MATCH(F70,Data!$A:$A,0)),$K$6))</f>
        <v>169</v>
      </c>
      <c r="P70" s="71">
        <f ca="1">IF(""=IFERROR(INDEX(INDIRECT("Data!C"&amp;$B$4,FALSE),MATCH(G70,Data!$A:$A,0)),$K$6),$K$8,IFERROR(INDEX(INDIRECT("Data!C"&amp;$B$4,FALSE),MATCH(G70,Data!$A:$A,0)),$K$6))</f>
        <v>101</v>
      </c>
      <c r="Q70" s="71">
        <f ca="1">IF(""=IFERROR(INDEX(INDIRECT("Data!C"&amp;$B$4,FALSE),MATCH(H70,Data!$A:$A,0)),$K$6),$K$8,IFERROR(INDEX(INDIRECT("Data!C"&amp;$B$4,FALSE),MATCH(H70,Data!$A:$A,0)),$K$6))</f>
        <v>65</v>
      </c>
      <c r="R70" s="88">
        <f t="shared" ca="1" si="21"/>
        <v>163.14285714285714</v>
      </c>
      <c r="T70" s="34">
        <f t="shared" si="29"/>
        <v>41980</v>
      </c>
      <c r="U70" s="34">
        <f t="shared" si="22"/>
        <v>41981</v>
      </c>
      <c r="V70" s="34">
        <f t="shared" si="17"/>
        <v>41982</v>
      </c>
      <c r="W70" s="34">
        <f t="shared" si="17"/>
        <v>41983</v>
      </c>
      <c r="X70" s="34">
        <f t="shared" si="17"/>
        <v>41984</v>
      </c>
      <c r="Y70" s="34">
        <f t="shared" si="17"/>
        <v>41985</v>
      </c>
      <c r="Z70" s="34">
        <f t="shared" si="17"/>
        <v>41986</v>
      </c>
      <c r="AB70" s="82">
        <f t="array" ref="AB70">IFERROR(IF(MATCH(8,DAY(T70:Z70),0),Z70,""),"")</f>
        <v>41986</v>
      </c>
      <c r="AC70" s="71">
        <f ca="1">IF(""=IFERROR(INDEX(INDIRECT("Data!C"&amp;$T$4,FALSE),MATCH(T70,Data!$A:$A,0)),$AC$6),$AC$8,IFERROR(INDEX(INDIRECT("Data!C"&amp;$T$4,FALSE),MATCH(T70,Data!$A:$A,0)),$AC$6))</f>
        <v>22</v>
      </c>
      <c r="AD70" s="71">
        <f ca="1">IF(""=IFERROR(INDEX(INDIRECT("Data!C"&amp;$T$4,FALSE),MATCH(U70,Data!$A:$A,0)),$AC$6),$AC$8,IFERROR(INDEX(INDIRECT("Data!C"&amp;$T$4,FALSE),MATCH(U70,Data!$A:$A,0)),$AC$6))</f>
        <v>328</v>
      </c>
      <c r="AE70" s="71">
        <f ca="1">IF(""=IFERROR(INDEX(INDIRECT("Data!C"&amp;$T$4,FALSE),MATCH(V70,Data!$A:$A,0)),$AC$6),$AC$8,IFERROR(INDEX(INDIRECT("Data!C"&amp;$T$4,FALSE),MATCH(V70,Data!$A:$A,0)),$AC$6))</f>
        <v>288</v>
      </c>
      <c r="AF70" s="71">
        <f ca="1">IF(""=IFERROR(INDEX(INDIRECT("Data!C"&amp;$T$4,FALSE),MATCH(W70,Data!$A:$A,0)),$AC$6),$AC$8,IFERROR(INDEX(INDIRECT("Data!C"&amp;$T$4,FALSE),MATCH(W70,Data!$A:$A,0)),$AC$6))</f>
        <v>169</v>
      </c>
      <c r="AG70" s="71">
        <f ca="1">IF(""=IFERROR(INDEX(INDIRECT("Data!C"&amp;$T$4,FALSE),MATCH(X70,Data!$A:$A,0)),$AC$6),$AC$8,IFERROR(INDEX(INDIRECT("Data!C"&amp;$T$4,FALSE),MATCH(X70,Data!$A:$A,0)),$AC$6))</f>
        <v>169</v>
      </c>
      <c r="AH70" s="71">
        <f ca="1">IF(""=IFERROR(INDEX(INDIRECT("Data!C"&amp;$T$4,FALSE),MATCH(Y70,Data!$A:$A,0)),$AC$6),$AC$8,IFERROR(INDEX(INDIRECT("Data!C"&amp;$T$4,FALSE),MATCH(Y70,Data!$A:$A,0)),$AC$6))</f>
        <v>101</v>
      </c>
      <c r="AI70" s="71">
        <f ca="1">IF(""=IFERROR(INDEX(INDIRECT("Data!C"&amp;$T$4,FALSE),MATCH(Z70,Data!$A:$A,0)),$AC$6),$AC$8,IFERROR(INDEX(INDIRECT("Data!C"&amp;$T$4,FALSE),MATCH(Z70,Data!$A:$A,0)),$AC$6))</f>
        <v>65</v>
      </c>
      <c r="AJ70" s="88">
        <f t="shared" ca="1" si="23"/>
        <v>163.14285714285714</v>
      </c>
      <c r="AL70" s="34">
        <f t="shared" si="30"/>
        <v>41980</v>
      </c>
      <c r="AM70" s="34">
        <f t="shared" si="24"/>
        <v>41981</v>
      </c>
      <c r="AN70" s="34">
        <f t="shared" si="18"/>
        <v>41982</v>
      </c>
      <c r="AO70" s="34">
        <f t="shared" si="18"/>
        <v>41983</v>
      </c>
      <c r="AP70" s="34">
        <f t="shared" si="18"/>
        <v>41984</v>
      </c>
      <c r="AQ70" s="34">
        <f t="shared" si="18"/>
        <v>41985</v>
      </c>
      <c r="AR70" s="34">
        <f t="shared" si="18"/>
        <v>41986</v>
      </c>
      <c r="AT70" s="82">
        <f t="array" ref="AT70">IFERROR(IF(MATCH(8,DAY(AL70:AR70),0),AR70,""),"")</f>
        <v>41986</v>
      </c>
      <c r="AU70" s="71">
        <f ca="1">IF(""=IFERROR(INDEX(INDIRECT("Data!C"&amp;$AL$4,FALSE),MATCH(AL70,Data!$A:$A,0)),$AU$6),$AU$8,IFERROR(INDEX(INDIRECT("Data!C"&amp;$AL$4,FALSE),MATCH(AL70,Data!$A:$A,0)),$AU$6))</f>
        <v>22</v>
      </c>
      <c r="AV70" s="71">
        <f ca="1">IF(""=IFERROR(INDEX(INDIRECT("Data!C"&amp;$AL$4,FALSE),MATCH(AM70,Data!$A:$A,0)),$AU$6),$AU$8,IFERROR(INDEX(INDIRECT("Data!C"&amp;$AL$4,FALSE),MATCH(AM70,Data!$A:$A,0)),$AU$6))</f>
        <v>328</v>
      </c>
      <c r="AW70" s="71">
        <f ca="1">IF(""=IFERROR(INDEX(INDIRECT("Data!C"&amp;$AL$4,FALSE),MATCH(AN70,Data!$A:$A,0)),$AU$6),$AU$8,IFERROR(INDEX(INDIRECT("Data!C"&amp;$AL$4,FALSE),MATCH(AN70,Data!$A:$A,0)),$AU$6))</f>
        <v>288</v>
      </c>
      <c r="AX70" s="71">
        <f ca="1">IF(""=IFERROR(INDEX(INDIRECT("Data!C"&amp;$AL$4,FALSE),MATCH(AO70,Data!$A:$A,0)),$AU$6),$AU$8,IFERROR(INDEX(INDIRECT("Data!C"&amp;$AL$4,FALSE),MATCH(AO70,Data!$A:$A,0)),$AU$6))</f>
        <v>169</v>
      </c>
      <c r="AY70" s="71">
        <f ca="1">IF(""=IFERROR(INDEX(INDIRECT("Data!C"&amp;$AL$4,FALSE),MATCH(AP70,Data!$A:$A,0)),$AU$6),$AU$8,IFERROR(INDEX(INDIRECT("Data!C"&amp;$AL$4,FALSE),MATCH(AP70,Data!$A:$A,0)),$AU$6))</f>
        <v>169</v>
      </c>
      <c r="AZ70" s="71">
        <f ca="1">IF(""=IFERROR(INDEX(INDIRECT("Data!C"&amp;$AL$4,FALSE),MATCH(AQ70,Data!$A:$A,0)),$AU$6),$AU$8,IFERROR(INDEX(INDIRECT("Data!C"&amp;$AL$4,FALSE),MATCH(AQ70,Data!$A:$A,0)),$AU$6))</f>
        <v>101</v>
      </c>
      <c r="BA70" s="71">
        <f ca="1">IF(""=IFERROR(INDEX(INDIRECT("Data!C"&amp;$AL$4,FALSE),MATCH(AR70,Data!$A:$A,0)),$AU$6),$AU$8,IFERROR(INDEX(INDIRECT("Data!C"&amp;$AL$4,FALSE),MATCH(AR70,Data!$A:$A,0)),$AU$6))</f>
        <v>65</v>
      </c>
      <c r="BB70" s="88">
        <f t="shared" ca="1" si="25"/>
        <v>163.14285714285714</v>
      </c>
      <c r="BD70" s="34">
        <f t="shared" si="31"/>
        <v>41980</v>
      </c>
      <c r="BE70" s="34">
        <f t="shared" si="26"/>
        <v>41981</v>
      </c>
      <c r="BF70" s="34">
        <f t="shared" si="19"/>
        <v>41982</v>
      </c>
      <c r="BG70" s="34">
        <f t="shared" si="19"/>
        <v>41983</v>
      </c>
      <c r="BH70" s="34">
        <f t="shared" si="19"/>
        <v>41984</v>
      </c>
      <c r="BI70" s="34">
        <f t="shared" si="19"/>
        <v>41985</v>
      </c>
      <c r="BJ70" s="34">
        <f t="shared" si="19"/>
        <v>41986</v>
      </c>
      <c r="BL70" s="82">
        <f t="array" ref="BL70">IFERROR(IF(MATCH(8,DAY(BD70:BJ70),0),BJ70,""),"")</f>
        <v>41986</v>
      </c>
      <c r="BM70" s="71">
        <f ca="1">IF(""=IFERROR(INDEX(INDIRECT("Data!C"&amp;$BD$4,FALSE),MATCH(BD70,Data!$A:$A,0)),$BM$6),$BM$8,IFERROR(INDEX(INDIRECT("Data!C"&amp;$BD$4,FALSE),MATCH(BD70,Data!$A:$A,0)),$BM$6))</f>
        <v>22</v>
      </c>
      <c r="BN70" s="71">
        <f ca="1">IF(""=IFERROR(INDEX(INDIRECT("Data!C"&amp;$BD$4,FALSE),MATCH(BE70,Data!$A:$A,0)),$BM$6),$BM$8,IFERROR(INDEX(INDIRECT("Data!C"&amp;$BD$4,FALSE),MATCH(BE70,Data!$A:$A,0)),$BM$6))</f>
        <v>328</v>
      </c>
      <c r="BO70" s="71">
        <f ca="1">IF(""=IFERROR(INDEX(INDIRECT("Data!C"&amp;$BD$4,FALSE),MATCH(BF70,Data!$A:$A,0)),$BM$6),$BM$8,IFERROR(INDEX(INDIRECT("Data!C"&amp;$BD$4,FALSE),MATCH(BF70,Data!$A:$A,0)),$BM$6))</f>
        <v>288</v>
      </c>
      <c r="BP70" s="71">
        <f ca="1">IF(""=IFERROR(INDEX(INDIRECT("Data!C"&amp;$BD$4,FALSE),MATCH(BG70,Data!$A:$A,0)),$BM$6),$BM$8,IFERROR(INDEX(INDIRECT("Data!C"&amp;$BD$4,FALSE),MATCH(BG70,Data!$A:$A,0)),$BM$6))</f>
        <v>169</v>
      </c>
      <c r="BQ70" s="71">
        <f ca="1">IF(""=IFERROR(INDEX(INDIRECT("Data!C"&amp;$BD$4,FALSE),MATCH(BH70,Data!$A:$A,0)),$BM$6),$BM$8,IFERROR(INDEX(INDIRECT("Data!C"&amp;$BD$4,FALSE),MATCH(BH70,Data!$A:$A,0)),$BM$6))</f>
        <v>169</v>
      </c>
      <c r="BR70" s="71">
        <f ca="1">IF(""=IFERROR(INDEX(INDIRECT("Data!C"&amp;$BD$4,FALSE),MATCH(BI70,Data!$A:$A,0)),$BM$6),$BM$8,IFERROR(INDEX(INDIRECT("Data!C"&amp;$BD$4,FALSE),MATCH(BI70,Data!$A:$A,0)),$BM$6))</f>
        <v>101</v>
      </c>
      <c r="BS70" s="71">
        <f ca="1">IF(""=IFERROR(INDEX(INDIRECT("Data!C"&amp;$BD$4,FALSE),MATCH(BJ70,Data!$A:$A,0)),$BM$6),$BM$8,IFERROR(INDEX(INDIRECT("Data!C"&amp;$BD$4,FALSE),MATCH(BJ70,Data!$A:$A,0)),$BM$6))</f>
        <v>65</v>
      </c>
      <c r="BT70" s="88">
        <f t="shared" ca="1" si="27"/>
        <v>163.14285714285714</v>
      </c>
    </row>
    <row r="71" spans="2:72" ht="12" customHeight="1" x14ac:dyDescent="0.2">
      <c r="B71" s="34">
        <f t="shared" si="28"/>
        <v>41987</v>
      </c>
      <c r="C71" s="34">
        <f t="shared" si="34"/>
        <v>41988</v>
      </c>
      <c r="D71" s="34">
        <f t="shared" si="34"/>
        <v>41989</v>
      </c>
      <c r="E71" s="34">
        <f t="shared" si="34"/>
        <v>41990</v>
      </c>
      <c r="F71" s="34">
        <f t="shared" si="34"/>
        <v>41991</v>
      </c>
      <c r="G71" s="34">
        <f t="shared" si="34"/>
        <v>41992</v>
      </c>
      <c r="H71" s="34">
        <f t="shared" si="34"/>
        <v>41993</v>
      </c>
      <c r="J71" s="82" t="str">
        <f t="array" ref="J71">IFERROR(IF(MATCH(8,DAY(B71:H71),0),H71,""),"")</f>
        <v/>
      </c>
      <c r="K71" s="71">
        <f ca="1">IF(""=IFERROR(INDEX(INDIRECT("Data!C"&amp;$B$4,FALSE),MATCH(B71,Data!$A:$A,0)),$K$6),$K$8,IFERROR(INDEX(INDIRECT("Data!C"&amp;$B$4,FALSE),MATCH(B71,Data!$A:$A,0)),$K$6))</f>
        <v>27</v>
      </c>
      <c r="L71" s="71">
        <f ca="1">IF(""=IFERROR(INDEX(INDIRECT("Data!C"&amp;$B$4,FALSE),MATCH(C71,Data!$A:$A,0)),$K$6),$K$8,IFERROR(INDEX(INDIRECT("Data!C"&amp;$B$4,FALSE),MATCH(C71,Data!$A:$A,0)),$K$6))</f>
        <v>164</v>
      </c>
      <c r="M71" s="71">
        <f ca="1">IF(""=IFERROR(INDEX(INDIRECT("Data!C"&amp;$B$4,FALSE),MATCH(D71,Data!$A:$A,0)),$K$6),$K$8,IFERROR(INDEX(INDIRECT("Data!C"&amp;$B$4,FALSE),MATCH(D71,Data!$A:$A,0)),$K$6))</f>
        <v>285</v>
      </c>
      <c r="N71" s="71">
        <f ca="1">IF(""=IFERROR(INDEX(INDIRECT("Data!C"&amp;$B$4,FALSE),MATCH(E71,Data!$A:$A,0)),$K$6),$K$8,IFERROR(INDEX(INDIRECT("Data!C"&amp;$B$4,FALSE),MATCH(E71,Data!$A:$A,0)),$K$6))</f>
        <v>121</v>
      </c>
      <c r="O71" s="71">
        <f ca="1">IF(""=IFERROR(INDEX(INDIRECT("Data!C"&amp;$B$4,FALSE),MATCH(F71,Data!$A:$A,0)),$K$6),$K$8,IFERROR(INDEX(INDIRECT("Data!C"&amp;$B$4,FALSE),MATCH(F71,Data!$A:$A,0)),$K$6))</f>
        <v>190</v>
      </c>
      <c r="P71" s="71">
        <f ca="1">IF(""=IFERROR(INDEX(INDIRECT("Data!C"&amp;$B$4,FALSE),MATCH(G71,Data!$A:$A,0)),$K$6),$K$8,IFERROR(INDEX(INDIRECT("Data!C"&amp;$B$4,FALSE),MATCH(G71,Data!$A:$A,0)),$K$6))</f>
        <v>131</v>
      </c>
      <c r="Q71" s="71">
        <f ca="1">IF(""=IFERROR(INDEX(INDIRECT("Data!C"&amp;$B$4,FALSE),MATCH(H71,Data!$A:$A,0)),$K$6),$K$8,IFERROR(INDEX(INDIRECT("Data!C"&amp;$B$4,FALSE),MATCH(H71,Data!$A:$A,0)),$K$6))</f>
        <v>55</v>
      </c>
      <c r="R71" s="88">
        <f t="shared" ca="1" si="21"/>
        <v>139</v>
      </c>
      <c r="T71" s="34">
        <f t="shared" si="29"/>
        <v>41987</v>
      </c>
      <c r="U71" s="34">
        <f t="shared" si="22"/>
        <v>41988</v>
      </c>
      <c r="V71" s="34">
        <f t="shared" si="17"/>
        <v>41989</v>
      </c>
      <c r="W71" s="34">
        <f t="shared" si="17"/>
        <v>41990</v>
      </c>
      <c r="X71" s="34">
        <f t="shared" si="17"/>
        <v>41991</v>
      </c>
      <c r="Y71" s="34">
        <f t="shared" si="17"/>
        <v>41992</v>
      </c>
      <c r="Z71" s="34">
        <f t="shared" si="17"/>
        <v>41993</v>
      </c>
      <c r="AB71" s="82" t="str">
        <f t="array" ref="AB71">IFERROR(IF(MATCH(8,DAY(T71:Z71),0),Z71,""),"")</f>
        <v/>
      </c>
      <c r="AC71" s="71">
        <f ca="1">IF(""=IFERROR(INDEX(INDIRECT("Data!C"&amp;$T$4,FALSE),MATCH(T71,Data!$A:$A,0)),$AC$6),$AC$8,IFERROR(INDEX(INDIRECT("Data!C"&amp;$T$4,FALSE),MATCH(T71,Data!$A:$A,0)),$AC$6))</f>
        <v>27</v>
      </c>
      <c r="AD71" s="71">
        <f ca="1">IF(""=IFERROR(INDEX(INDIRECT("Data!C"&amp;$T$4,FALSE),MATCH(U71,Data!$A:$A,0)),$AC$6),$AC$8,IFERROR(INDEX(INDIRECT("Data!C"&amp;$T$4,FALSE),MATCH(U71,Data!$A:$A,0)),$AC$6))</f>
        <v>164</v>
      </c>
      <c r="AE71" s="71">
        <f ca="1">IF(""=IFERROR(INDEX(INDIRECT("Data!C"&amp;$T$4,FALSE),MATCH(V71,Data!$A:$A,0)),$AC$6),$AC$8,IFERROR(INDEX(INDIRECT("Data!C"&amp;$T$4,FALSE),MATCH(V71,Data!$A:$A,0)),$AC$6))</f>
        <v>285</v>
      </c>
      <c r="AF71" s="71">
        <f ca="1">IF(""=IFERROR(INDEX(INDIRECT("Data!C"&amp;$T$4,FALSE),MATCH(W71,Data!$A:$A,0)),$AC$6),$AC$8,IFERROR(INDEX(INDIRECT("Data!C"&amp;$T$4,FALSE),MATCH(W71,Data!$A:$A,0)),$AC$6))</f>
        <v>121</v>
      </c>
      <c r="AG71" s="71">
        <f ca="1">IF(""=IFERROR(INDEX(INDIRECT("Data!C"&amp;$T$4,FALSE),MATCH(X71,Data!$A:$A,0)),$AC$6),$AC$8,IFERROR(INDEX(INDIRECT("Data!C"&amp;$T$4,FALSE),MATCH(X71,Data!$A:$A,0)),$AC$6))</f>
        <v>190</v>
      </c>
      <c r="AH71" s="71">
        <f ca="1">IF(""=IFERROR(INDEX(INDIRECT("Data!C"&amp;$T$4,FALSE),MATCH(Y71,Data!$A:$A,0)),$AC$6),$AC$8,IFERROR(INDEX(INDIRECT("Data!C"&amp;$T$4,FALSE),MATCH(Y71,Data!$A:$A,0)),$AC$6))</f>
        <v>131</v>
      </c>
      <c r="AI71" s="71">
        <f ca="1">IF(""=IFERROR(INDEX(INDIRECT("Data!C"&amp;$T$4,FALSE),MATCH(Z71,Data!$A:$A,0)),$AC$6),$AC$8,IFERROR(INDEX(INDIRECT("Data!C"&amp;$T$4,FALSE),MATCH(Z71,Data!$A:$A,0)),$AC$6))</f>
        <v>55</v>
      </c>
      <c r="AJ71" s="88">
        <f t="shared" ca="1" si="23"/>
        <v>139</v>
      </c>
      <c r="AL71" s="34">
        <f t="shared" si="30"/>
        <v>41987</v>
      </c>
      <c r="AM71" s="34">
        <f t="shared" si="24"/>
        <v>41988</v>
      </c>
      <c r="AN71" s="34">
        <f t="shared" si="18"/>
        <v>41989</v>
      </c>
      <c r="AO71" s="34">
        <f t="shared" si="18"/>
        <v>41990</v>
      </c>
      <c r="AP71" s="34">
        <f t="shared" si="18"/>
        <v>41991</v>
      </c>
      <c r="AQ71" s="34">
        <f t="shared" si="18"/>
        <v>41992</v>
      </c>
      <c r="AR71" s="34">
        <f t="shared" si="18"/>
        <v>41993</v>
      </c>
      <c r="AT71" s="82" t="str">
        <f t="array" ref="AT71">IFERROR(IF(MATCH(8,DAY(AL71:AR71),0),AR71,""),"")</f>
        <v/>
      </c>
      <c r="AU71" s="71">
        <f ca="1">IF(""=IFERROR(INDEX(INDIRECT("Data!C"&amp;$AL$4,FALSE),MATCH(AL71,Data!$A:$A,0)),$AU$6),$AU$8,IFERROR(INDEX(INDIRECT("Data!C"&amp;$AL$4,FALSE),MATCH(AL71,Data!$A:$A,0)),$AU$6))</f>
        <v>27</v>
      </c>
      <c r="AV71" s="71">
        <f ca="1">IF(""=IFERROR(INDEX(INDIRECT("Data!C"&amp;$AL$4,FALSE),MATCH(AM71,Data!$A:$A,0)),$AU$6),$AU$8,IFERROR(INDEX(INDIRECT("Data!C"&amp;$AL$4,FALSE),MATCH(AM71,Data!$A:$A,0)),$AU$6))</f>
        <v>164</v>
      </c>
      <c r="AW71" s="71">
        <f ca="1">IF(""=IFERROR(INDEX(INDIRECT("Data!C"&amp;$AL$4,FALSE),MATCH(AN71,Data!$A:$A,0)),$AU$6),$AU$8,IFERROR(INDEX(INDIRECT("Data!C"&amp;$AL$4,FALSE),MATCH(AN71,Data!$A:$A,0)),$AU$6))</f>
        <v>285</v>
      </c>
      <c r="AX71" s="71">
        <f ca="1">IF(""=IFERROR(INDEX(INDIRECT("Data!C"&amp;$AL$4,FALSE),MATCH(AO71,Data!$A:$A,0)),$AU$6),$AU$8,IFERROR(INDEX(INDIRECT("Data!C"&amp;$AL$4,FALSE),MATCH(AO71,Data!$A:$A,0)),$AU$6))</f>
        <v>121</v>
      </c>
      <c r="AY71" s="71">
        <f ca="1">IF(""=IFERROR(INDEX(INDIRECT("Data!C"&amp;$AL$4,FALSE),MATCH(AP71,Data!$A:$A,0)),$AU$6),$AU$8,IFERROR(INDEX(INDIRECT("Data!C"&amp;$AL$4,FALSE),MATCH(AP71,Data!$A:$A,0)),$AU$6))</f>
        <v>190</v>
      </c>
      <c r="AZ71" s="71">
        <f ca="1">IF(""=IFERROR(INDEX(INDIRECT("Data!C"&amp;$AL$4,FALSE),MATCH(AQ71,Data!$A:$A,0)),$AU$6),$AU$8,IFERROR(INDEX(INDIRECT("Data!C"&amp;$AL$4,FALSE),MATCH(AQ71,Data!$A:$A,0)),$AU$6))</f>
        <v>131</v>
      </c>
      <c r="BA71" s="71">
        <f ca="1">IF(""=IFERROR(INDEX(INDIRECT("Data!C"&amp;$AL$4,FALSE),MATCH(AR71,Data!$A:$A,0)),$AU$6),$AU$8,IFERROR(INDEX(INDIRECT("Data!C"&amp;$AL$4,FALSE),MATCH(AR71,Data!$A:$A,0)),$AU$6))</f>
        <v>55</v>
      </c>
      <c r="BB71" s="88">
        <f t="shared" ca="1" si="25"/>
        <v>139</v>
      </c>
      <c r="BD71" s="34">
        <f t="shared" si="31"/>
        <v>41987</v>
      </c>
      <c r="BE71" s="34">
        <f t="shared" si="26"/>
        <v>41988</v>
      </c>
      <c r="BF71" s="34">
        <f t="shared" si="19"/>
        <v>41989</v>
      </c>
      <c r="BG71" s="34">
        <f t="shared" si="19"/>
        <v>41990</v>
      </c>
      <c r="BH71" s="34">
        <f t="shared" si="19"/>
        <v>41991</v>
      </c>
      <c r="BI71" s="34">
        <f t="shared" si="19"/>
        <v>41992</v>
      </c>
      <c r="BJ71" s="34">
        <f t="shared" si="19"/>
        <v>41993</v>
      </c>
      <c r="BL71" s="82" t="str">
        <f t="array" ref="BL71">IFERROR(IF(MATCH(8,DAY(BD71:BJ71),0),BJ71,""),"")</f>
        <v/>
      </c>
      <c r="BM71" s="71">
        <f ca="1">IF(""=IFERROR(INDEX(INDIRECT("Data!C"&amp;$BD$4,FALSE),MATCH(BD71,Data!$A:$A,0)),$BM$6),$BM$8,IFERROR(INDEX(INDIRECT("Data!C"&amp;$BD$4,FALSE),MATCH(BD71,Data!$A:$A,0)),$BM$6))</f>
        <v>27</v>
      </c>
      <c r="BN71" s="71">
        <f ca="1">IF(""=IFERROR(INDEX(INDIRECT("Data!C"&amp;$BD$4,FALSE),MATCH(BE71,Data!$A:$A,0)),$BM$6),$BM$8,IFERROR(INDEX(INDIRECT("Data!C"&amp;$BD$4,FALSE),MATCH(BE71,Data!$A:$A,0)),$BM$6))</f>
        <v>164</v>
      </c>
      <c r="BO71" s="71">
        <f ca="1">IF(""=IFERROR(INDEX(INDIRECT("Data!C"&amp;$BD$4,FALSE),MATCH(BF71,Data!$A:$A,0)),$BM$6),$BM$8,IFERROR(INDEX(INDIRECT("Data!C"&amp;$BD$4,FALSE),MATCH(BF71,Data!$A:$A,0)),$BM$6))</f>
        <v>285</v>
      </c>
      <c r="BP71" s="71">
        <f ca="1">IF(""=IFERROR(INDEX(INDIRECT("Data!C"&amp;$BD$4,FALSE),MATCH(BG71,Data!$A:$A,0)),$BM$6),$BM$8,IFERROR(INDEX(INDIRECT("Data!C"&amp;$BD$4,FALSE),MATCH(BG71,Data!$A:$A,0)),$BM$6))</f>
        <v>121</v>
      </c>
      <c r="BQ71" s="71">
        <f ca="1">IF(""=IFERROR(INDEX(INDIRECT("Data!C"&amp;$BD$4,FALSE),MATCH(BH71,Data!$A:$A,0)),$BM$6),$BM$8,IFERROR(INDEX(INDIRECT("Data!C"&amp;$BD$4,FALSE),MATCH(BH71,Data!$A:$A,0)),$BM$6))</f>
        <v>190</v>
      </c>
      <c r="BR71" s="71">
        <f ca="1">IF(""=IFERROR(INDEX(INDIRECT("Data!C"&amp;$BD$4,FALSE),MATCH(BI71,Data!$A:$A,0)),$BM$6),$BM$8,IFERROR(INDEX(INDIRECT("Data!C"&amp;$BD$4,FALSE),MATCH(BI71,Data!$A:$A,0)),$BM$6))</f>
        <v>131</v>
      </c>
      <c r="BS71" s="71">
        <f ca="1">IF(""=IFERROR(INDEX(INDIRECT("Data!C"&amp;$BD$4,FALSE),MATCH(BJ71,Data!$A:$A,0)),$BM$6),$BM$8,IFERROR(INDEX(INDIRECT("Data!C"&amp;$BD$4,FALSE),MATCH(BJ71,Data!$A:$A,0)),$BM$6))</f>
        <v>55</v>
      </c>
      <c r="BT71" s="88">
        <f t="shared" ca="1" si="27"/>
        <v>139</v>
      </c>
    </row>
    <row r="72" spans="2:72" ht="12" customHeight="1" x14ac:dyDescent="0.2">
      <c r="B72" s="34">
        <f t="shared" si="28"/>
        <v>41994</v>
      </c>
      <c r="C72" s="34">
        <f t="shared" si="34"/>
        <v>41995</v>
      </c>
      <c r="D72" s="34">
        <f t="shared" si="34"/>
        <v>41996</v>
      </c>
      <c r="E72" s="34">
        <f t="shared" si="34"/>
        <v>41997</v>
      </c>
      <c r="F72" s="34">
        <f t="shared" si="34"/>
        <v>41998</v>
      </c>
      <c r="G72" s="34">
        <f t="shared" si="34"/>
        <v>41999</v>
      </c>
      <c r="H72" s="34">
        <f t="shared" si="34"/>
        <v>42000</v>
      </c>
      <c r="J72" s="82" t="str">
        <f t="array" ref="J72">IFERROR(IF(MATCH(8,DAY(B72:H72),0),H72,""),"")</f>
        <v/>
      </c>
      <c r="K72" s="71">
        <f ca="1">IF(""=IFERROR(INDEX(INDIRECT("Data!C"&amp;$B$4,FALSE),MATCH(B72,Data!$A:$A,0)),$K$6),$K$8,IFERROR(INDEX(INDIRECT("Data!C"&amp;$B$4,FALSE),MATCH(B72,Data!$A:$A,0)),$K$6))</f>
        <v>25</v>
      </c>
      <c r="L72" s="71">
        <f ca="1">IF(""=IFERROR(INDEX(INDIRECT("Data!C"&amp;$B$4,FALSE),MATCH(C72,Data!$A:$A,0)),$K$6),$K$8,IFERROR(INDEX(INDIRECT("Data!C"&amp;$B$4,FALSE),MATCH(C72,Data!$A:$A,0)),$K$6))</f>
        <v>214</v>
      </c>
      <c r="M72" s="71">
        <f ca="1">IF(""=IFERROR(INDEX(INDIRECT("Data!C"&amp;$B$4,FALSE),MATCH(D72,Data!$A:$A,0)),$K$6),$K$8,IFERROR(INDEX(INDIRECT("Data!C"&amp;$B$4,FALSE),MATCH(D72,Data!$A:$A,0)),$K$6))</f>
        <v>134</v>
      </c>
      <c r="N72" s="71">
        <f ca="1">IF(""=IFERROR(INDEX(INDIRECT("Data!C"&amp;$B$4,FALSE),MATCH(E72,Data!$A:$A,0)),$K$6),$K$8,IFERROR(INDEX(INDIRECT("Data!C"&amp;$B$4,FALSE),MATCH(E72,Data!$A:$A,0)),$K$6))</f>
        <v>197</v>
      </c>
      <c r="O72" s="71">
        <f ca="1">IF(""=IFERROR(INDEX(INDIRECT("Data!C"&amp;$B$4,FALSE),MATCH(F72,Data!$A:$A,0)),$K$6),$K$8,IFERROR(INDEX(INDIRECT("Data!C"&amp;$B$4,FALSE),MATCH(F72,Data!$A:$A,0)),$K$6))</f>
        <v>92</v>
      </c>
      <c r="P72" s="71">
        <f ca="1">IF(""=IFERROR(INDEX(INDIRECT("Data!C"&amp;$B$4,FALSE),MATCH(G72,Data!$A:$A,0)),$K$6),$K$8,IFERROR(INDEX(INDIRECT("Data!C"&amp;$B$4,FALSE),MATCH(G72,Data!$A:$A,0)),$K$6))</f>
        <v>144</v>
      </c>
      <c r="Q72" s="71">
        <f ca="1">IF(""=IFERROR(INDEX(INDIRECT("Data!C"&amp;$B$4,FALSE),MATCH(H72,Data!$A:$A,0)),$K$6),$K$8,IFERROR(INDEX(INDIRECT("Data!C"&amp;$B$4,FALSE),MATCH(H72,Data!$A:$A,0)),$K$6))</f>
        <v>23</v>
      </c>
      <c r="R72" s="88">
        <f t="shared" ca="1" si="21"/>
        <v>118.42857142857143</v>
      </c>
      <c r="T72" s="34">
        <f t="shared" si="29"/>
        <v>41994</v>
      </c>
      <c r="U72" s="34">
        <f t="shared" si="22"/>
        <v>41995</v>
      </c>
      <c r="V72" s="34">
        <f t="shared" si="22"/>
        <v>41996</v>
      </c>
      <c r="W72" s="34">
        <f t="shared" si="22"/>
        <v>41997</v>
      </c>
      <c r="X72" s="34">
        <f t="shared" si="22"/>
        <v>41998</v>
      </c>
      <c r="Y72" s="34">
        <f t="shared" si="22"/>
        <v>41999</v>
      </c>
      <c r="Z72" s="34">
        <f t="shared" si="22"/>
        <v>42000</v>
      </c>
      <c r="AB72" s="82" t="str">
        <f t="array" ref="AB72">IFERROR(IF(MATCH(8,DAY(T72:Z72),0),Z72,""),"")</f>
        <v/>
      </c>
      <c r="AC72" s="71">
        <f ca="1">IF(""=IFERROR(INDEX(INDIRECT("Data!C"&amp;$T$4,FALSE),MATCH(T72,Data!$A:$A,0)),$AC$6),$AC$8,IFERROR(INDEX(INDIRECT("Data!C"&amp;$T$4,FALSE),MATCH(T72,Data!$A:$A,0)),$AC$6))</f>
        <v>25</v>
      </c>
      <c r="AD72" s="71">
        <f ca="1">IF(""=IFERROR(INDEX(INDIRECT("Data!C"&amp;$T$4,FALSE),MATCH(U72,Data!$A:$A,0)),$AC$6),$AC$8,IFERROR(INDEX(INDIRECT("Data!C"&amp;$T$4,FALSE),MATCH(U72,Data!$A:$A,0)),$AC$6))</f>
        <v>214</v>
      </c>
      <c r="AE72" s="71">
        <f ca="1">IF(""=IFERROR(INDEX(INDIRECT("Data!C"&amp;$T$4,FALSE),MATCH(V72,Data!$A:$A,0)),$AC$6),$AC$8,IFERROR(INDEX(INDIRECT("Data!C"&amp;$T$4,FALSE),MATCH(V72,Data!$A:$A,0)),$AC$6))</f>
        <v>134</v>
      </c>
      <c r="AF72" s="71">
        <f ca="1">IF(""=IFERROR(INDEX(INDIRECT("Data!C"&amp;$T$4,FALSE),MATCH(W72,Data!$A:$A,0)),$AC$6),$AC$8,IFERROR(INDEX(INDIRECT("Data!C"&amp;$T$4,FALSE),MATCH(W72,Data!$A:$A,0)),$AC$6))</f>
        <v>197</v>
      </c>
      <c r="AG72" s="71">
        <f ca="1">IF(""=IFERROR(INDEX(INDIRECT("Data!C"&amp;$T$4,FALSE),MATCH(X72,Data!$A:$A,0)),$AC$6),$AC$8,IFERROR(INDEX(INDIRECT("Data!C"&amp;$T$4,FALSE),MATCH(X72,Data!$A:$A,0)),$AC$6))</f>
        <v>92</v>
      </c>
      <c r="AH72" s="71">
        <f ca="1">IF(""=IFERROR(INDEX(INDIRECT("Data!C"&amp;$T$4,FALSE),MATCH(Y72,Data!$A:$A,0)),$AC$6),$AC$8,IFERROR(INDEX(INDIRECT("Data!C"&amp;$T$4,FALSE),MATCH(Y72,Data!$A:$A,0)),$AC$6))</f>
        <v>144</v>
      </c>
      <c r="AI72" s="71">
        <f ca="1">IF(""=IFERROR(INDEX(INDIRECT("Data!C"&amp;$T$4,FALSE),MATCH(Z72,Data!$A:$A,0)),$AC$6),$AC$8,IFERROR(INDEX(INDIRECT("Data!C"&amp;$T$4,FALSE),MATCH(Z72,Data!$A:$A,0)),$AC$6))</f>
        <v>23</v>
      </c>
      <c r="AJ72" s="88">
        <f t="shared" ca="1" si="23"/>
        <v>118.42857142857143</v>
      </c>
      <c r="AL72" s="34">
        <f t="shared" si="30"/>
        <v>41994</v>
      </c>
      <c r="AM72" s="34">
        <f t="shared" si="24"/>
        <v>41995</v>
      </c>
      <c r="AN72" s="34">
        <f t="shared" si="24"/>
        <v>41996</v>
      </c>
      <c r="AO72" s="34">
        <f t="shared" si="24"/>
        <v>41997</v>
      </c>
      <c r="AP72" s="34">
        <f t="shared" si="24"/>
        <v>41998</v>
      </c>
      <c r="AQ72" s="34">
        <f t="shared" si="24"/>
        <v>41999</v>
      </c>
      <c r="AR72" s="34">
        <f t="shared" si="24"/>
        <v>42000</v>
      </c>
      <c r="AT72" s="82" t="str">
        <f t="array" ref="AT72">IFERROR(IF(MATCH(8,DAY(AL72:AR72),0),AR72,""),"")</f>
        <v/>
      </c>
      <c r="AU72" s="71">
        <f ca="1">IF(""=IFERROR(INDEX(INDIRECT("Data!C"&amp;$AL$4,FALSE),MATCH(AL72,Data!$A:$A,0)),$AU$6),$AU$8,IFERROR(INDEX(INDIRECT("Data!C"&amp;$AL$4,FALSE),MATCH(AL72,Data!$A:$A,0)),$AU$6))</f>
        <v>25</v>
      </c>
      <c r="AV72" s="71">
        <f ca="1">IF(""=IFERROR(INDEX(INDIRECT("Data!C"&amp;$AL$4,FALSE),MATCH(AM72,Data!$A:$A,0)),$AU$6),$AU$8,IFERROR(INDEX(INDIRECT("Data!C"&amp;$AL$4,FALSE),MATCH(AM72,Data!$A:$A,0)),$AU$6))</f>
        <v>214</v>
      </c>
      <c r="AW72" s="71">
        <f ca="1">IF(""=IFERROR(INDEX(INDIRECT("Data!C"&amp;$AL$4,FALSE),MATCH(AN72,Data!$A:$A,0)),$AU$6),$AU$8,IFERROR(INDEX(INDIRECT("Data!C"&amp;$AL$4,FALSE),MATCH(AN72,Data!$A:$A,0)),$AU$6))</f>
        <v>134</v>
      </c>
      <c r="AX72" s="71">
        <f ca="1">IF(""=IFERROR(INDEX(INDIRECT("Data!C"&amp;$AL$4,FALSE),MATCH(AO72,Data!$A:$A,0)),$AU$6),$AU$8,IFERROR(INDEX(INDIRECT("Data!C"&amp;$AL$4,FALSE),MATCH(AO72,Data!$A:$A,0)),$AU$6))</f>
        <v>197</v>
      </c>
      <c r="AY72" s="71">
        <f ca="1">IF(""=IFERROR(INDEX(INDIRECT("Data!C"&amp;$AL$4,FALSE),MATCH(AP72,Data!$A:$A,0)),$AU$6),$AU$8,IFERROR(INDEX(INDIRECT("Data!C"&amp;$AL$4,FALSE),MATCH(AP72,Data!$A:$A,0)),$AU$6))</f>
        <v>92</v>
      </c>
      <c r="AZ72" s="71">
        <f ca="1">IF(""=IFERROR(INDEX(INDIRECT("Data!C"&amp;$AL$4,FALSE),MATCH(AQ72,Data!$A:$A,0)),$AU$6),$AU$8,IFERROR(INDEX(INDIRECT("Data!C"&amp;$AL$4,FALSE),MATCH(AQ72,Data!$A:$A,0)),$AU$6))</f>
        <v>144</v>
      </c>
      <c r="BA72" s="71">
        <f ca="1">IF(""=IFERROR(INDEX(INDIRECT("Data!C"&amp;$AL$4,FALSE),MATCH(AR72,Data!$A:$A,0)),$AU$6),$AU$8,IFERROR(INDEX(INDIRECT("Data!C"&amp;$AL$4,FALSE),MATCH(AR72,Data!$A:$A,0)),$AU$6))</f>
        <v>23</v>
      </c>
      <c r="BB72" s="88">
        <f t="shared" ca="1" si="25"/>
        <v>118.42857142857143</v>
      </c>
      <c r="BD72" s="34">
        <f t="shared" si="31"/>
        <v>41994</v>
      </c>
      <c r="BE72" s="34">
        <f t="shared" si="26"/>
        <v>41995</v>
      </c>
      <c r="BF72" s="34">
        <f t="shared" si="26"/>
        <v>41996</v>
      </c>
      <c r="BG72" s="34">
        <f t="shared" si="26"/>
        <v>41997</v>
      </c>
      <c r="BH72" s="34">
        <f t="shared" si="26"/>
        <v>41998</v>
      </c>
      <c r="BI72" s="34">
        <f t="shared" si="26"/>
        <v>41999</v>
      </c>
      <c r="BJ72" s="34">
        <f t="shared" si="26"/>
        <v>42000</v>
      </c>
      <c r="BL72" s="82" t="str">
        <f t="array" ref="BL72">IFERROR(IF(MATCH(8,DAY(BD72:BJ72),0),BJ72,""),"")</f>
        <v/>
      </c>
      <c r="BM72" s="71">
        <f ca="1">IF(""=IFERROR(INDEX(INDIRECT("Data!C"&amp;$BD$4,FALSE),MATCH(BD72,Data!$A:$A,0)),$BM$6),$BM$8,IFERROR(INDEX(INDIRECT("Data!C"&amp;$BD$4,FALSE),MATCH(BD72,Data!$A:$A,0)),$BM$6))</f>
        <v>25</v>
      </c>
      <c r="BN72" s="71">
        <f ca="1">IF(""=IFERROR(INDEX(INDIRECT("Data!C"&amp;$BD$4,FALSE),MATCH(BE72,Data!$A:$A,0)),$BM$6),$BM$8,IFERROR(INDEX(INDIRECT("Data!C"&amp;$BD$4,FALSE),MATCH(BE72,Data!$A:$A,0)),$BM$6))</f>
        <v>214</v>
      </c>
      <c r="BO72" s="71">
        <f ca="1">IF(""=IFERROR(INDEX(INDIRECT("Data!C"&amp;$BD$4,FALSE),MATCH(BF72,Data!$A:$A,0)),$BM$6),$BM$8,IFERROR(INDEX(INDIRECT("Data!C"&amp;$BD$4,FALSE),MATCH(BF72,Data!$A:$A,0)),$BM$6))</f>
        <v>134</v>
      </c>
      <c r="BP72" s="71">
        <f ca="1">IF(""=IFERROR(INDEX(INDIRECT("Data!C"&amp;$BD$4,FALSE),MATCH(BG72,Data!$A:$A,0)),$BM$6),$BM$8,IFERROR(INDEX(INDIRECT("Data!C"&amp;$BD$4,FALSE),MATCH(BG72,Data!$A:$A,0)),$BM$6))</f>
        <v>197</v>
      </c>
      <c r="BQ72" s="71">
        <f ca="1">IF(""=IFERROR(INDEX(INDIRECT("Data!C"&amp;$BD$4,FALSE),MATCH(BH72,Data!$A:$A,0)),$BM$6),$BM$8,IFERROR(INDEX(INDIRECT("Data!C"&amp;$BD$4,FALSE),MATCH(BH72,Data!$A:$A,0)),$BM$6))</f>
        <v>92</v>
      </c>
      <c r="BR72" s="71">
        <f ca="1">IF(""=IFERROR(INDEX(INDIRECT("Data!C"&amp;$BD$4,FALSE),MATCH(BI72,Data!$A:$A,0)),$BM$6),$BM$8,IFERROR(INDEX(INDIRECT("Data!C"&amp;$BD$4,FALSE),MATCH(BI72,Data!$A:$A,0)),$BM$6))</f>
        <v>144</v>
      </c>
      <c r="BS72" s="71">
        <f ca="1">IF(""=IFERROR(INDEX(INDIRECT("Data!C"&amp;$BD$4,FALSE),MATCH(BJ72,Data!$A:$A,0)),$BM$6),$BM$8,IFERROR(INDEX(INDIRECT("Data!C"&amp;$BD$4,FALSE),MATCH(BJ72,Data!$A:$A,0)),$BM$6))</f>
        <v>23</v>
      </c>
      <c r="BT72" s="88">
        <f t="shared" ca="1" si="27"/>
        <v>118.42857142857143</v>
      </c>
    </row>
    <row r="73" spans="2:72" ht="12" customHeight="1" x14ac:dyDescent="0.2">
      <c r="B73" s="34">
        <f t="shared" si="28"/>
        <v>42001</v>
      </c>
      <c r="C73" s="34">
        <f t="shared" si="34"/>
        <v>42002</v>
      </c>
      <c r="D73" s="34">
        <f t="shared" si="34"/>
        <v>42003</v>
      </c>
      <c r="E73" s="34">
        <f t="shared" si="34"/>
        <v>42004</v>
      </c>
      <c r="F73" s="34">
        <f t="shared" si="34"/>
        <v>42005</v>
      </c>
      <c r="G73" s="34">
        <f t="shared" si="34"/>
        <v>42006</v>
      </c>
      <c r="H73" s="34">
        <f t="shared" si="34"/>
        <v>42007</v>
      </c>
      <c r="J73" s="82" t="str">
        <f t="array" ref="J73">IFERROR(IF(MATCH(8,DAY(B73:H73),0),H73,""),"")</f>
        <v/>
      </c>
      <c r="K73" s="71">
        <f ca="1">IF(""=IFERROR(INDEX(INDIRECT("Data!C"&amp;$B$4,FALSE),MATCH(B73,Data!$A:$A,0)),$K$6),$K$8,IFERROR(INDEX(INDIRECT("Data!C"&amp;$B$4,FALSE),MATCH(B73,Data!$A:$A,0)),$K$6))</f>
        <v>28</v>
      </c>
      <c r="L73" s="71">
        <f ca="1">IF(""=IFERROR(INDEX(INDIRECT("Data!C"&amp;$B$4,FALSE),MATCH(C73,Data!$A:$A,0)),$K$6),$K$8,IFERROR(INDEX(INDIRECT("Data!C"&amp;$B$4,FALSE),MATCH(C73,Data!$A:$A,0)),$K$6))</f>
        <v>122</v>
      </c>
      <c r="M73" s="71">
        <f ca="1">IF(""=IFERROR(INDEX(INDIRECT("Data!C"&amp;$B$4,FALSE),MATCH(D73,Data!$A:$A,0)),$K$6),$K$8,IFERROR(INDEX(INDIRECT("Data!C"&amp;$B$4,FALSE),MATCH(D73,Data!$A:$A,0)),$K$6))</f>
        <v>160</v>
      </c>
      <c r="N73" s="71">
        <f ca="1">IF(""=IFERROR(INDEX(INDIRECT("Data!C"&amp;$B$4,FALSE),MATCH(E73,Data!$A:$A,0)),$K$6),$K$8,IFERROR(INDEX(INDIRECT("Data!C"&amp;$B$4,FALSE),MATCH(E73,Data!$A:$A,0)),$K$6))</f>
        <v>122</v>
      </c>
      <c r="O73" s="71">
        <f ca="1">IF(""=IFERROR(INDEX(INDIRECT("Data!C"&amp;$B$4,FALSE),MATCH(F73,Data!$A:$A,0)),$K$6),$K$8,IFERROR(INDEX(INDIRECT("Data!C"&amp;$B$4,FALSE),MATCH(F73,Data!$A:$A,0)),$K$6))</f>
        <v>187</v>
      </c>
      <c r="P73" s="71">
        <f ca="1">IF(""=IFERROR(INDEX(INDIRECT("Data!C"&amp;$B$4,FALSE),MATCH(G73,Data!$A:$A,0)),$K$6),$K$8,IFERROR(INDEX(INDIRECT("Data!C"&amp;$B$4,FALSE),MATCH(G73,Data!$A:$A,0)),$K$6))</f>
        <v>147</v>
      </c>
      <c r="Q73" s="71">
        <f ca="1">IF(""=IFERROR(INDEX(INDIRECT("Data!C"&amp;$B$4,FALSE),MATCH(H73,Data!$A:$A,0)),$K$6),$K$8,IFERROR(INDEX(INDIRECT("Data!C"&amp;$B$4,FALSE),MATCH(H73,Data!$A:$A,0)),$K$6))</f>
        <v>60</v>
      </c>
      <c r="R73" s="88">
        <f t="shared" ca="1" si="21"/>
        <v>118</v>
      </c>
      <c r="T73" s="34">
        <f t="shared" si="29"/>
        <v>42001</v>
      </c>
      <c r="U73" s="34">
        <f t="shared" si="22"/>
        <v>42002</v>
      </c>
      <c r="V73" s="34">
        <f t="shared" si="22"/>
        <v>42003</v>
      </c>
      <c r="W73" s="34">
        <f t="shared" si="22"/>
        <v>42004</v>
      </c>
      <c r="X73" s="34">
        <f t="shared" si="22"/>
        <v>42005</v>
      </c>
      <c r="Y73" s="34">
        <f t="shared" si="22"/>
        <v>42006</v>
      </c>
      <c r="Z73" s="34">
        <f t="shared" si="22"/>
        <v>42007</v>
      </c>
      <c r="AB73" s="82" t="str">
        <f t="array" ref="AB73">IFERROR(IF(MATCH(8,DAY(T73:Z73),0),Z73,""),"")</f>
        <v/>
      </c>
      <c r="AC73" s="71">
        <f ca="1">IF(""=IFERROR(INDEX(INDIRECT("Data!C"&amp;$T$4,FALSE),MATCH(T73,Data!$A:$A,0)),$AC$6),$AC$8,IFERROR(INDEX(INDIRECT("Data!C"&amp;$T$4,FALSE),MATCH(T73,Data!$A:$A,0)),$AC$6))</f>
        <v>28</v>
      </c>
      <c r="AD73" s="71">
        <f ca="1">IF(""=IFERROR(INDEX(INDIRECT("Data!C"&amp;$T$4,FALSE),MATCH(U73,Data!$A:$A,0)),$AC$6),$AC$8,IFERROR(INDEX(INDIRECT("Data!C"&amp;$T$4,FALSE),MATCH(U73,Data!$A:$A,0)),$AC$6))</f>
        <v>122</v>
      </c>
      <c r="AE73" s="71">
        <f ca="1">IF(""=IFERROR(INDEX(INDIRECT("Data!C"&amp;$T$4,FALSE),MATCH(V73,Data!$A:$A,0)),$AC$6),$AC$8,IFERROR(INDEX(INDIRECT("Data!C"&amp;$T$4,FALSE),MATCH(V73,Data!$A:$A,0)),$AC$6))</f>
        <v>160</v>
      </c>
      <c r="AF73" s="71">
        <f ca="1">IF(""=IFERROR(INDEX(INDIRECT("Data!C"&amp;$T$4,FALSE),MATCH(W73,Data!$A:$A,0)),$AC$6),$AC$8,IFERROR(INDEX(INDIRECT("Data!C"&amp;$T$4,FALSE),MATCH(W73,Data!$A:$A,0)),$AC$6))</f>
        <v>122</v>
      </c>
      <c r="AG73" s="71">
        <f ca="1">IF(""=IFERROR(INDEX(INDIRECT("Data!C"&amp;$T$4,FALSE),MATCH(X73,Data!$A:$A,0)),$AC$6),$AC$8,IFERROR(INDEX(INDIRECT("Data!C"&amp;$T$4,FALSE),MATCH(X73,Data!$A:$A,0)),$AC$6))</f>
        <v>187</v>
      </c>
      <c r="AH73" s="71">
        <f ca="1">IF(""=IFERROR(INDEX(INDIRECT("Data!C"&amp;$T$4,FALSE),MATCH(Y73,Data!$A:$A,0)),$AC$6),$AC$8,IFERROR(INDEX(INDIRECT("Data!C"&amp;$T$4,FALSE),MATCH(Y73,Data!$A:$A,0)),$AC$6))</f>
        <v>147</v>
      </c>
      <c r="AI73" s="71">
        <f ca="1">IF(""=IFERROR(INDEX(INDIRECT("Data!C"&amp;$T$4,FALSE),MATCH(Z73,Data!$A:$A,0)),$AC$6),$AC$8,IFERROR(INDEX(INDIRECT("Data!C"&amp;$T$4,FALSE),MATCH(Z73,Data!$A:$A,0)),$AC$6))</f>
        <v>60</v>
      </c>
      <c r="AJ73" s="88">
        <f t="shared" ca="1" si="23"/>
        <v>118</v>
      </c>
      <c r="AL73" s="34">
        <f t="shared" si="30"/>
        <v>42001</v>
      </c>
      <c r="AM73" s="34">
        <f t="shared" si="24"/>
        <v>42002</v>
      </c>
      <c r="AN73" s="34">
        <f t="shared" si="24"/>
        <v>42003</v>
      </c>
      <c r="AO73" s="34">
        <f t="shared" si="24"/>
        <v>42004</v>
      </c>
      <c r="AP73" s="34">
        <f t="shared" si="24"/>
        <v>42005</v>
      </c>
      <c r="AQ73" s="34">
        <f t="shared" si="24"/>
        <v>42006</v>
      </c>
      <c r="AR73" s="34">
        <f t="shared" si="24"/>
        <v>42007</v>
      </c>
      <c r="AT73" s="82" t="str">
        <f t="array" ref="AT73">IFERROR(IF(MATCH(8,DAY(AL73:AR73),0),AR73,""),"")</f>
        <v/>
      </c>
      <c r="AU73" s="71">
        <f ca="1">IF(""=IFERROR(INDEX(INDIRECT("Data!C"&amp;$AL$4,FALSE),MATCH(AL73,Data!$A:$A,0)),$AU$6),$AU$8,IFERROR(INDEX(INDIRECT("Data!C"&amp;$AL$4,FALSE),MATCH(AL73,Data!$A:$A,0)),$AU$6))</f>
        <v>28</v>
      </c>
      <c r="AV73" s="71">
        <f ca="1">IF(""=IFERROR(INDEX(INDIRECT("Data!C"&amp;$AL$4,FALSE),MATCH(AM73,Data!$A:$A,0)),$AU$6),$AU$8,IFERROR(INDEX(INDIRECT("Data!C"&amp;$AL$4,FALSE),MATCH(AM73,Data!$A:$A,0)),$AU$6))</f>
        <v>122</v>
      </c>
      <c r="AW73" s="71">
        <f ca="1">IF(""=IFERROR(INDEX(INDIRECT("Data!C"&amp;$AL$4,FALSE),MATCH(AN73,Data!$A:$A,0)),$AU$6),$AU$8,IFERROR(INDEX(INDIRECT("Data!C"&amp;$AL$4,FALSE),MATCH(AN73,Data!$A:$A,0)),$AU$6))</f>
        <v>160</v>
      </c>
      <c r="AX73" s="71">
        <f ca="1">IF(""=IFERROR(INDEX(INDIRECT("Data!C"&amp;$AL$4,FALSE),MATCH(AO73,Data!$A:$A,0)),$AU$6),$AU$8,IFERROR(INDEX(INDIRECT("Data!C"&amp;$AL$4,FALSE),MATCH(AO73,Data!$A:$A,0)),$AU$6))</f>
        <v>122</v>
      </c>
      <c r="AY73" s="71">
        <f ca="1">IF(""=IFERROR(INDEX(INDIRECT("Data!C"&amp;$AL$4,FALSE),MATCH(AP73,Data!$A:$A,0)),$AU$6),$AU$8,IFERROR(INDEX(INDIRECT("Data!C"&amp;$AL$4,FALSE),MATCH(AP73,Data!$A:$A,0)),$AU$6))</f>
        <v>187</v>
      </c>
      <c r="AZ73" s="71">
        <f ca="1">IF(""=IFERROR(INDEX(INDIRECT("Data!C"&amp;$AL$4,FALSE),MATCH(AQ73,Data!$A:$A,0)),$AU$6),$AU$8,IFERROR(INDEX(INDIRECT("Data!C"&amp;$AL$4,FALSE),MATCH(AQ73,Data!$A:$A,0)),$AU$6))</f>
        <v>147</v>
      </c>
      <c r="BA73" s="71">
        <f ca="1">IF(""=IFERROR(INDEX(INDIRECT("Data!C"&amp;$AL$4,FALSE),MATCH(AR73,Data!$A:$A,0)),$AU$6),$AU$8,IFERROR(INDEX(INDIRECT("Data!C"&amp;$AL$4,FALSE),MATCH(AR73,Data!$A:$A,0)),$AU$6))</f>
        <v>60</v>
      </c>
      <c r="BB73" s="88">
        <f t="shared" ca="1" si="25"/>
        <v>118</v>
      </c>
      <c r="BD73" s="34">
        <f t="shared" si="31"/>
        <v>42001</v>
      </c>
      <c r="BE73" s="34">
        <f t="shared" si="26"/>
        <v>42002</v>
      </c>
      <c r="BF73" s="34">
        <f t="shared" si="26"/>
        <v>42003</v>
      </c>
      <c r="BG73" s="34">
        <f t="shared" si="26"/>
        <v>42004</v>
      </c>
      <c r="BH73" s="34">
        <f t="shared" si="26"/>
        <v>42005</v>
      </c>
      <c r="BI73" s="34">
        <f t="shared" si="26"/>
        <v>42006</v>
      </c>
      <c r="BJ73" s="34">
        <f t="shared" si="26"/>
        <v>42007</v>
      </c>
      <c r="BL73" s="82" t="str">
        <f t="array" ref="BL73">IFERROR(IF(MATCH(8,DAY(BD73:BJ73),0),BJ73,""),"")</f>
        <v/>
      </c>
      <c r="BM73" s="71">
        <f ca="1">IF(""=IFERROR(INDEX(INDIRECT("Data!C"&amp;$BD$4,FALSE),MATCH(BD73,Data!$A:$A,0)),$BM$6),$BM$8,IFERROR(INDEX(INDIRECT("Data!C"&amp;$BD$4,FALSE),MATCH(BD73,Data!$A:$A,0)),$BM$6))</f>
        <v>28</v>
      </c>
      <c r="BN73" s="71">
        <f ca="1">IF(""=IFERROR(INDEX(INDIRECT("Data!C"&amp;$BD$4,FALSE),MATCH(BE73,Data!$A:$A,0)),$BM$6),$BM$8,IFERROR(INDEX(INDIRECT("Data!C"&amp;$BD$4,FALSE),MATCH(BE73,Data!$A:$A,0)),$BM$6))</f>
        <v>122</v>
      </c>
      <c r="BO73" s="71">
        <f ca="1">IF(""=IFERROR(INDEX(INDIRECT("Data!C"&amp;$BD$4,FALSE),MATCH(BF73,Data!$A:$A,0)),$BM$6),$BM$8,IFERROR(INDEX(INDIRECT("Data!C"&amp;$BD$4,FALSE),MATCH(BF73,Data!$A:$A,0)),$BM$6))</f>
        <v>160</v>
      </c>
      <c r="BP73" s="71">
        <f ca="1">IF(""=IFERROR(INDEX(INDIRECT("Data!C"&amp;$BD$4,FALSE),MATCH(BG73,Data!$A:$A,0)),$BM$6),$BM$8,IFERROR(INDEX(INDIRECT("Data!C"&amp;$BD$4,FALSE),MATCH(BG73,Data!$A:$A,0)),$BM$6))</f>
        <v>122</v>
      </c>
      <c r="BQ73" s="71">
        <f ca="1">IF(""=IFERROR(INDEX(INDIRECT("Data!C"&amp;$BD$4,FALSE),MATCH(BH73,Data!$A:$A,0)),$BM$6),$BM$8,IFERROR(INDEX(INDIRECT("Data!C"&amp;$BD$4,FALSE),MATCH(BH73,Data!$A:$A,0)),$BM$6))</f>
        <v>187</v>
      </c>
      <c r="BR73" s="71">
        <f ca="1">IF(""=IFERROR(INDEX(INDIRECT("Data!C"&amp;$BD$4,FALSE),MATCH(BI73,Data!$A:$A,0)),$BM$6),$BM$8,IFERROR(INDEX(INDIRECT("Data!C"&amp;$BD$4,FALSE),MATCH(BI73,Data!$A:$A,0)),$BM$6))</f>
        <v>147</v>
      </c>
      <c r="BS73" s="71">
        <f ca="1">IF(""=IFERROR(INDEX(INDIRECT("Data!C"&amp;$BD$4,FALSE),MATCH(BJ73,Data!$A:$A,0)),$BM$6),$BM$8,IFERROR(INDEX(INDIRECT("Data!C"&amp;$BD$4,FALSE),MATCH(BJ73,Data!$A:$A,0)),$BM$6))</f>
        <v>60</v>
      </c>
      <c r="BT73" s="88">
        <f t="shared" ca="1" si="27"/>
        <v>118</v>
      </c>
    </row>
  </sheetData>
  <mergeCells count="61">
    <mergeCell ref="BV17:BW17"/>
    <mergeCell ref="BM5:BS5"/>
    <mergeCell ref="BM6:BS6"/>
    <mergeCell ref="BM7:BS7"/>
    <mergeCell ref="BM8:BS8"/>
    <mergeCell ref="BN12:BR12"/>
    <mergeCell ref="BN13:BR13"/>
    <mergeCell ref="BN15:BR15"/>
    <mergeCell ref="K5:Q5"/>
    <mergeCell ref="AC5:AI5"/>
    <mergeCell ref="AC7:AI7"/>
    <mergeCell ref="AC8:AI8"/>
    <mergeCell ref="AU5:BA5"/>
    <mergeCell ref="AU6:BA6"/>
    <mergeCell ref="AU7:BA7"/>
    <mergeCell ref="AU8:BA8"/>
    <mergeCell ref="K6:Q6"/>
    <mergeCell ref="K8:Q8"/>
    <mergeCell ref="K7:Q7"/>
    <mergeCell ref="L10:P10"/>
    <mergeCell ref="L12:P12"/>
    <mergeCell ref="L13:P13"/>
    <mergeCell ref="L11:P11"/>
    <mergeCell ref="AD11:AH11"/>
    <mergeCell ref="L15:P15"/>
    <mergeCell ref="AU4:BA4"/>
    <mergeCell ref="BM2:BS2"/>
    <mergeCell ref="BM3:BS3"/>
    <mergeCell ref="BM4:BS4"/>
    <mergeCell ref="K2:Q2"/>
    <mergeCell ref="K3:Q3"/>
    <mergeCell ref="K4:Q4"/>
    <mergeCell ref="AD15:AH15"/>
    <mergeCell ref="AV10:AZ10"/>
    <mergeCell ref="AV12:AZ12"/>
    <mergeCell ref="AV13:AZ13"/>
    <mergeCell ref="AV15:AZ15"/>
    <mergeCell ref="L14:P14"/>
    <mergeCell ref="AD14:AH14"/>
    <mergeCell ref="AV14:AZ14"/>
    <mergeCell ref="BD19:BJ19"/>
    <mergeCell ref="BM19:BS19"/>
    <mergeCell ref="AC2:AI2"/>
    <mergeCell ref="AC3:AI3"/>
    <mergeCell ref="AC4:AI4"/>
    <mergeCell ref="AC6:AI6"/>
    <mergeCell ref="AU2:BA2"/>
    <mergeCell ref="AU3:BA3"/>
    <mergeCell ref="AU19:BA19"/>
    <mergeCell ref="AD10:AH10"/>
    <mergeCell ref="AD12:AH12"/>
    <mergeCell ref="AD13:AH13"/>
    <mergeCell ref="AV11:AZ11"/>
    <mergeCell ref="BN11:BR11"/>
    <mergeCell ref="BN10:BR10"/>
    <mergeCell ref="BN14:BR14"/>
    <mergeCell ref="B19:H19"/>
    <mergeCell ref="K19:Q19"/>
    <mergeCell ref="T19:Z19"/>
    <mergeCell ref="AC19:AI19"/>
    <mergeCell ref="AL19:AR19"/>
  </mergeCells>
  <conditionalFormatting sqref="K21:Q73">
    <cfRule type="expression" dxfId="24" priority="41">
      <formula>OR(ISBLANK(OFFSET(B21,0,1,1,1)),MONTH(B21)&lt;&gt;MONTH(OFFSET(B21,0,1,1,1)))</formula>
    </cfRule>
    <cfRule type="expression" dxfId="23" priority="42">
      <formula>OR(ISBLANK(OFFSET(B21,1,0,1,1)),MONTH(B21)&lt;&gt;MONTH(OFFSET(B21,1,0,1,1)))</formula>
    </cfRule>
    <cfRule type="expression" dxfId="22" priority="43">
      <formula>OR(ISBLANK(OFFSET(B21,0,-1,1,1)),MONTH(B21)&lt;&gt;MONTH(OFFSET(B21,0,-1,1,1)))</formula>
    </cfRule>
  </conditionalFormatting>
  <conditionalFormatting sqref="B21:H73">
    <cfRule type="expression" dxfId="21" priority="44">
      <formula>OR(ISBLANK(OFFSET(B21,0,1,1,1)),MONTH(B21)&lt;&gt;MONTH(OFFSET(B21,0,1,1,1)))</formula>
    </cfRule>
    <cfRule type="expression" dxfId="20" priority="45">
      <formula>OR(ISBLANK(OFFSET(B21,1,0,1,1)),MONTH(B21)&lt;&gt;MONTH(OFFSET(B21,1,0,1,1)))</formula>
    </cfRule>
    <cfRule type="expression" dxfId="19" priority="46">
      <formula>OR(ISBLANK(OFFSET(B21,0,-1,1,1)),MONTH(B21)&lt;&gt;MONTH(OFFSET(B21,0,-1,1,1)))</formula>
    </cfRule>
  </conditionalFormatting>
  <conditionalFormatting sqref="AC21:AI73">
    <cfRule type="expression" dxfId="18" priority="34">
      <formula>OR(ISBLANK(OFFSET(T21,0,1,1,1)),MONTH(T21)&lt;&gt;MONTH(OFFSET(T21,0,1,1,1)))</formula>
    </cfRule>
    <cfRule type="expression" dxfId="17" priority="35">
      <formula>OR(ISBLANK(OFFSET(T21,1,0,1,1)),MONTH(T21)&lt;&gt;MONTH(OFFSET(T21,1,0,1,1)))</formula>
    </cfRule>
    <cfRule type="expression" dxfId="16" priority="36">
      <formula>OR(ISBLANK(OFFSET(T21,0,-1,1,1)),MONTH(T21)&lt;&gt;MONTH(OFFSET(T21,0,-1,1,1)))</formula>
    </cfRule>
  </conditionalFormatting>
  <conditionalFormatting sqref="T21:Z73">
    <cfRule type="expression" dxfId="15" priority="37">
      <formula>OR(ISBLANK(OFFSET(T21,0,1,1,1)),MONTH(T21)&lt;&gt;MONTH(OFFSET(T21,0,1,1,1)))</formula>
    </cfRule>
    <cfRule type="expression" dxfId="14" priority="38">
      <formula>OR(ISBLANK(OFFSET(T21,1,0,1,1)),MONTH(T21)&lt;&gt;MONTH(OFFSET(T21,1,0,1,1)))</formula>
    </cfRule>
    <cfRule type="expression" dxfId="13" priority="39">
      <formula>OR(ISBLANK(OFFSET(T21,0,-1,1,1)),MONTH(T21)&lt;&gt;MONTH(OFFSET(T21,0,-1,1,1)))</formula>
    </cfRule>
  </conditionalFormatting>
  <conditionalFormatting sqref="AU21:BA73">
    <cfRule type="expression" dxfId="12" priority="28">
      <formula>OR(ISBLANK(OFFSET(AL21,0,1,1,1)),MONTH(AL21)&lt;&gt;MONTH(OFFSET(AL21,0,1,1,1)))</formula>
    </cfRule>
    <cfRule type="expression" dxfId="11" priority="29">
      <formula>OR(ISBLANK(OFFSET(AL21,1,0,1,1)),MONTH(AL21)&lt;&gt;MONTH(OFFSET(AL21,1,0,1,1)))</formula>
    </cfRule>
    <cfRule type="expression" dxfId="10" priority="30">
      <formula>OR(ISBLANK(OFFSET(AL21,0,-1,1,1)),MONTH(AL21)&lt;&gt;MONTH(OFFSET(AL21,0,-1,1,1)))</formula>
    </cfRule>
  </conditionalFormatting>
  <conditionalFormatting sqref="AL21:AR73">
    <cfRule type="expression" dxfId="9" priority="31">
      <formula>OR(ISBLANK(OFFSET(AL21,0,1,1,1)),MONTH(AL21)&lt;&gt;MONTH(OFFSET(AL21,0,1,1,1)))</formula>
    </cfRule>
    <cfRule type="expression" dxfId="8" priority="32">
      <formula>OR(ISBLANK(OFFSET(AL21,1,0,1,1)),MONTH(AL21)&lt;&gt;MONTH(OFFSET(AL21,1,0,1,1)))</formula>
    </cfRule>
    <cfRule type="expression" dxfId="7" priority="33">
      <formula>OR(ISBLANK(OFFSET(AL21,0,-1,1,1)),MONTH(AL21)&lt;&gt;MONTH(OFFSET(AL21,0,-1,1,1)))</formula>
    </cfRule>
  </conditionalFormatting>
  <conditionalFormatting sqref="BM21:BS73">
    <cfRule type="expression" dxfId="6" priority="22">
      <formula>OR(ISBLANK(OFFSET(BD21,0,1,1,1)),MONTH(BD21)&lt;&gt;MONTH(OFFSET(BD21,0,1,1,1)))</formula>
    </cfRule>
    <cfRule type="expression" dxfId="5" priority="23">
      <formula>OR(ISBLANK(OFFSET(BD21,1,0,1,1)),MONTH(BD21)&lt;&gt;MONTH(OFFSET(BD21,1,0,1,1)))</formula>
    </cfRule>
    <cfRule type="expression" dxfId="4" priority="24">
      <formula>OR(ISBLANK(OFFSET(BD21,0,-1,1,1)),MONTH(BD21)&lt;&gt;MONTH(OFFSET(BD21,0,-1,1,1)))</formula>
    </cfRule>
  </conditionalFormatting>
  <conditionalFormatting sqref="BD21:BJ73">
    <cfRule type="expression" dxfId="3" priority="25">
      <formula>OR(ISBLANK(OFFSET(BD21,0,1,1,1)),MONTH(BD21)&lt;&gt;MONTH(OFFSET(BD21,0,1,1,1)))</formula>
    </cfRule>
    <cfRule type="expression" dxfId="2" priority="26">
      <formula>OR(ISBLANK(OFFSET(BD21,1,0,1,1)),MONTH(BD21)&lt;&gt;MONTH(OFFSET(BD21,1,0,1,1)))</formula>
    </cfRule>
    <cfRule type="expression" dxfId="1" priority="27">
      <formula>OR(ISBLANK(OFFSET(BD21,0,-1,1,1)),MONTH(BD21)&lt;&gt;MONTH(OFFSET(BD21,0,-1,1,1)))</formula>
    </cfRule>
  </conditionalFormatting>
  <conditionalFormatting sqref="R21:R73">
    <cfRule type="dataBar" priority="10">
      <dataBar showValue="0"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{71CEA556-207F-47A5-8CDA-807535BCEBDD}</x14:id>
        </ext>
      </extLst>
    </cfRule>
  </conditionalFormatting>
  <conditionalFormatting sqref="K21:Q73 K10:K15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:AI73 AC10:AC15">
    <cfRule type="colorScale" priority="6">
      <colorScale>
        <cfvo type="num" val="0"/>
        <cfvo type="percentile" val="90"/>
        <color theme="0"/>
        <color theme="4"/>
      </colorScale>
    </cfRule>
  </conditionalFormatting>
  <conditionalFormatting sqref="AJ21:AJ73">
    <cfRule type="dataBar" priority="5">
      <dataBar showValue="0"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{6842E3DA-B15D-40AE-9036-31E1941B842B}</x14:id>
        </ext>
      </extLst>
    </cfRule>
  </conditionalFormatting>
  <conditionalFormatting sqref="BB21:BB73">
    <cfRule type="dataBar" priority="4">
      <dataBar showValue="0"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{140EA6B2-CD88-4D0F-B9C5-266FA965855D}</x14:id>
        </ext>
      </extLst>
    </cfRule>
  </conditionalFormatting>
  <conditionalFormatting sqref="BT21:BT73">
    <cfRule type="dataBar" priority="3">
      <dataBar showValue="0"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{293BEDB5-38E9-473C-8EC2-9714E3F4EE3C}</x14:id>
        </ext>
      </extLst>
    </cfRule>
  </conditionalFormatting>
  <conditionalFormatting sqref="AU21:BA73 AU10:AU15">
    <cfRule type="colorScale" priority="2">
      <colorScale>
        <cfvo type="min"/>
        <cfvo type="percentile" val="90"/>
        <color rgb="FFFCFCFF"/>
        <color theme="5"/>
      </colorScale>
    </cfRule>
  </conditionalFormatting>
  <conditionalFormatting sqref="K21:Q73 AC21:AI73 AU21:BA73 BM21:BS73">
    <cfRule type="expression" dxfId="0" priority="55">
      <formula>AND($BW$22="yes",MATCH(B21,holidays,0))</formula>
    </cfRule>
  </conditionalFormatting>
  <conditionalFormatting sqref="BM21:BS73 BM10:BM15">
    <cfRule type="colorScale" priority="1">
      <colorScale>
        <cfvo type="min"/>
        <cfvo type="percentile" val="90"/>
        <color rgb="FFFCFCFF"/>
        <color rgb="FF63BE7B"/>
      </colorScale>
    </cfRule>
  </conditionalFormatting>
  <dataValidations count="4">
    <dataValidation type="list" allowBlank="1" sqref="BW22">
      <formula1>"yes,no"</formula1>
    </dataValidation>
    <dataValidation type="list" allowBlank="1" showInputMessage="1" showErrorMessage="1" sqref="K3 AC3 AU3 BM3">
      <formula1>data_labels</formula1>
    </dataValidation>
    <dataValidation type="list" allowBlank="1" showInputMessage="1" showErrorMessage="1" sqref="BW20">
      <formula1>"Sunday,Monday,Tuesday,Wednesday,Thursday,Friday,Saturday"</formula1>
    </dataValidation>
    <dataValidation type="list" allowBlank="1" sqref="K8 K6 AC8 AC6 AU8 AU6 BM8 BM6">
      <formula1>"-,0"</formula1>
    </dataValidation>
  </dataValidations>
  <printOptions horizontalCentered="1"/>
  <pageMargins left="0.3" right="0.3" top="0.3" bottom="0.35" header="0.25" footer="0.25"/>
  <pageSetup scale="85" orientation="portrait" r:id="rId1"/>
  <headerFooter>
    <oddFooter>&amp;L&amp;8&amp;K01+049https://www.vertex42.com/ExcelTemplates/calendar-chart.html&amp;R&amp;8&amp;K01+049Calendar Chart Template © 2016 by Vertex42.com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CEA556-207F-47A5-8CDA-807535BCEB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R21:R73</xm:sqref>
        </x14:conditionalFormatting>
        <x14:conditionalFormatting xmlns:xm="http://schemas.microsoft.com/office/excel/2006/main">
          <x14:cfRule type="dataBar" id="{6842E3DA-B15D-40AE-9036-31E1941B84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AJ21:AJ73</xm:sqref>
        </x14:conditionalFormatting>
        <x14:conditionalFormatting xmlns:xm="http://schemas.microsoft.com/office/excel/2006/main">
          <x14:cfRule type="dataBar" id="{140EA6B2-CD88-4D0F-B9C5-266FA96585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BB21:BB73</xm:sqref>
        </x14:conditionalFormatting>
        <x14:conditionalFormatting xmlns:xm="http://schemas.microsoft.com/office/excel/2006/main">
          <x14:cfRule type="dataBar" id="{293BEDB5-38E9-473C-8EC2-9714E3F4EE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BT21:BT73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2"/>
  <sheetViews>
    <sheetView topLeftCell="A158" workbookViewId="0"/>
  </sheetViews>
  <sheetFormatPr defaultRowHeight="12.75" x14ac:dyDescent="0.2"/>
  <cols>
    <col min="1" max="1" width="11.7109375" customWidth="1"/>
    <col min="2" max="2" width="13.42578125" style="19" customWidth="1"/>
    <col min="3" max="6" width="13.42578125" style="11" customWidth="1"/>
    <col min="7" max="7" width="2.7109375" style="4" customWidth="1"/>
  </cols>
  <sheetData>
    <row r="1" spans="1:8" ht="14.25" x14ac:dyDescent="0.2">
      <c r="A1" s="67" t="s">
        <v>0</v>
      </c>
      <c r="B1" s="20" t="s">
        <v>53</v>
      </c>
      <c r="C1" s="10" t="s">
        <v>54</v>
      </c>
      <c r="D1" s="10" t="s">
        <v>66</v>
      </c>
      <c r="E1" s="10" t="s">
        <v>60</v>
      </c>
      <c r="F1" s="10" t="s">
        <v>2</v>
      </c>
      <c r="G1" s="14"/>
      <c r="H1" s="60"/>
    </row>
    <row r="2" spans="1:8" x14ac:dyDescent="0.2">
      <c r="A2" s="9">
        <v>40909</v>
      </c>
      <c r="B2" s="19">
        <v>19</v>
      </c>
      <c r="G2" s="61" t="s">
        <v>35</v>
      </c>
    </row>
    <row r="3" spans="1:8" x14ac:dyDescent="0.2">
      <c r="A3" s="9">
        <v>40910</v>
      </c>
      <c r="B3" s="19">
        <v>298</v>
      </c>
      <c r="G3" s="61"/>
      <c r="H3" s="3"/>
    </row>
    <row r="4" spans="1:8" x14ac:dyDescent="0.2">
      <c r="A4" s="9">
        <v>40911</v>
      </c>
      <c r="B4" s="19">
        <v>176</v>
      </c>
      <c r="H4" s="3"/>
    </row>
    <row r="5" spans="1:8" x14ac:dyDescent="0.2">
      <c r="A5" s="9">
        <v>40912</v>
      </c>
      <c r="B5" s="19">
        <v>113</v>
      </c>
      <c r="H5" s="3"/>
    </row>
    <row r="6" spans="1:8" x14ac:dyDescent="0.2">
      <c r="A6" s="9">
        <v>40913</v>
      </c>
      <c r="B6" s="19">
        <v>217</v>
      </c>
      <c r="H6" s="3"/>
    </row>
    <row r="7" spans="1:8" x14ac:dyDescent="0.2">
      <c r="A7" s="9">
        <v>40914</v>
      </c>
      <c r="B7" s="19">
        <v>185</v>
      </c>
      <c r="F7" s="11">
        <v>1</v>
      </c>
      <c r="H7" s="3"/>
    </row>
    <row r="8" spans="1:8" x14ac:dyDescent="0.2">
      <c r="A8" s="9">
        <v>40915</v>
      </c>
      <c r="B8" s="19">
        <v>47</v>
      </c>
      <c r="H8" s="3"/>
    </row>
    <row r="9" spans="1:8" x14ac:dyDescent="0.2">
      <c r="A9" s="9">
        <v>40916</v>
      </c>
      <c r="B9" s="19">
        <v>29</v>
      </c>
    </row>
    <row r="10" spans="1:8" x14ac:dyDescent="0.2">
      <c r="A10" s="9">
        <v>40917</v>
      </c>
      <c r="B10" s="19">
        <v>225</v>
      </c>
      <c r="F10" s="11">
        <v>47.5</v>
      </c>
    </row>
    <row r="11" spans="1:8" x14ac:dyDescent="0.2">
      <c r="A11" s="9">
        <v>40918</v>
      </c>
      <c r="B11" s="19">
        <v>220</v>
      </c>
    </row>
    <row r="12" spans="1:8" x14ac:dyDescent="0.2">
      <c r="A12" s="9">
        <v>40919</v>
      </c>
      <c r="B12" s="19">
        <v>199</v>
      </c>
    </row>
    <row r="13" spans="1:8" x14ac:dyDescent="0.2">
      <c r="A13" s="9">
        <v>40920</v>
      </c>
      <c r="B13" s="19">
        <v>102</v>
      </c>
    </row>
    <row r="14" spans="1:8" x14ac:dyDescent="0.2">
      <c r="A14" s="9">
        <v>40921</v>
      </c>
      <c r="B14" s="19">
        <v>164</v>
      </c>
    </row>
    <row r="15" spans="1:8" x14ac:dyDescent="0.2">
      <c r="A15" s="9">
        <v>40922</v>
      </c>
      <c r="B15" s="19">
        <v>34</v>
      </c>
    </row>
    <row r="16" spans="1:8" x14ac:dyDescent="0.2">
      <c r="A16" s="9">
        <v>40923</v>
      </c>
      <c r="B16" s="19">
        <v>14</v>
      </c>
      <c r="F16" s="11">
        <v>48</v>
      </c>
    </row>
    <row r="17" spans="1:6" x14ac:dyDescent="0.2">
      <c r="A17" s="9">
        <v>40924</v>
      </c>
      <c r="B17" s="19">
        <v>128</v>
      </c>
      <c r="F17" s="11">
        <v>21</v>
      </c>
    </row>
    <row r="18" spans="1:6" x14ac:dyDescent="0.2">
      <c r="A18" s="9">
        <v>40925</v>
      </c>
      <c r="B18" s="19">
        <v>104</v>
      </c>
      <c r="F18" s="11">
        <v>3.6</v>
      </c>
    </row>
    <row r="19" spans="1:6" x14ac:dyDescent="0.2">
      <c r="A19" s="9">
        <v>40926</v>
      </c>
      <c r="B19" s="19">
        <v>111</v>
      </c>
    </row>
    <row r="20" spans="1:6" x14ac:dyDescent="0.2">
      <c r="A20" s="9">
        <v>40927</v>
      </c>
      <c r="B20" s="19">
        <v>114</v>
      </c>
    </row>
    <row r="21" spans="1:6" x14ac:dyDescent="0.2">
      <c r="A21" s="9">
        <v>40928</v>
      </c>
      <c r="B21" s="19">
        <v>174</v>
      </c>
    </row>
    <row r="22" spans="1:6" x14ac:dyDescent="0.2">
      <c r="A22" s="9">
        <v>40929</v>
      </c>
      <c r="B22" s="19">
        <v>54</v>
      </c>
    </row>
    <row r="23" spans="1:6" x14ac:dyDescent="0.2">
      <c r="A23" s="9">
        <v>40930</v>
      </c>
      <c r="B23" s="19">
        <v>30</v>
      </c>
      <c r="F23" s="11">
        <v>19.399999999999999</v>
      </c>
    </row>
    <row r="24" spans="1:6" x14ac:dyDescent="0.2">
      <c r="A24" s="9">
        <v>40931</v>
      </c>
      <c r="B24" s="19">
        <v>264</v>
      </c>
      <c r="F24" s="11">
        <v>1.2</v>
      </c>
    </row>
    <row r="25" spans="1:6" x14ac:dyDescent="0.2">
      <c r="A25" s="9">
        <v>40932</v>
      </c>
      <c r="B25" s="19">
        <v>131</v>
      </c>
    </row>
    <row r="26" spans="1:6" x14ac:dyDescent="0.2">
      <c r="A26" s="9">
        <v>40933</v>
      </c>
      <c r="B26" s="19">
        <v>163</v>
      </c>
      <c r="F26" s="11">
        <v>6.8</v>
      </c>
    </row>
    <row r="27" spans="1:6" x14ac:dyDescent="0.2">
      <c r="A27" s="9">
        <v>40934</v>
      </c>
      <c r="B27" s="19">
        <v>101</v>
      </c>
      <c r="F27" s="11">
        <v>42</v>
      </c>
    </row>
    <row r="28" spans="1:6" x14ac:dyDescent="0.2">
      <c r="A28" s="9">
        <v>40935</v>
      </c>
      <c r="B28" s="19">
        <v>130</v>
      </c>
      <c r="F28" s="11">
        <v>1.2</v>
      </c>
    </row>
    <row r="29" spans="1:6" x14ac:dyDescent="0.2">
      <c r="A29" s="9">
        <v>40936</v>
      </c>
      <c r="B29" s="19">
        <v>43</v>
      </c>
      <c r="F29" s="11">
        <v>1.2</v>
      </c>
    </row>
    <row r="30" spans="1:6" x14ac:dyDescent="0.2">
      <c r="A30" s="9">
        <v>40937</v>
      </c>
      <c r="B30" s="19">
        <v>25</v>
      </c>
    </row>
    <row r="31" spans="1:6" x14ac:dyDescent="0.2">
      <c r="A31" s="9">
        <v>40938</v>
      </c>
      <c r="B31" s="19">
        <v>324</v>
      </c>
      <c r="F31" s="11">
        <v>2.2999999999999998</v>
      </c>
    </row>
    <row r="32" spans="1:6" x14ac:dyDescent="0.2">
      <c r="A32" s="9">
        <v>40939</v>
      </c>
      <c r="B32" s="19">
        <v>168</v>
      </c>
    </row>
    <row r="33" spans="1:6" x14ac:dyDescent="0.2">
      <c r="A33" s="9">
        <v>40940</v>
      </c>
      <c r="B33" s="19">
        <v>232</v>
      </c>
      <c r="F33" s="11">
        <v>1</v>
      </c>
    </row>
    <row r="34" spans="1:6" x14ac:dyDescent="0.2">
      <c r="A34" s="9">
        <v>40941</v>
      </c>
      <c r="B34" s="19">
        <v>147</v>
      </c>
      <c r="F34" s="11">
        <v>3.5</v>
      </c>
    </row>
    <row r="35" spans="1:6" x14ac:dyDescent="0.2">
      <c r="A35" s="9">
        <v>40942</v>
      </c>
      <c r="B35" s="19">
        <v>128</v>
      </c>
      <c r="F35" s="11">
        <v>5.6</v>
      </c>
    </row>
    <row r="36" spans="1:6" x14ac:dyDescent="0.2">
      <c r="A36" s="9">
        <v>40943</v>
      </c>
      <c r="B36" s="19">
        <v>43</v>
      </c>
      <c r="F36" s="11">
        <v>5.5</v>
      </c>
    </row>
    <row r="37" spans="1:6" x14ac:dyDescent="0.2">
      <c r="A37" s="9">
        <v>40944</v>
      </c>
      <c r="B37" s="19">
        <v>29</v>
      </c>
    </row>
    <row r="38" spans="1:6" x14ac:dyDescent="0.2">
      <c r="A38" s="9">
        <v>40945</v>
      </c>
      <c r="B38" s="19">
        <v>311</v>
      </c>
    </row>
    <row r="39" spans="1:6" x14ac:dyDescent="0.2">
      <c r="A39" s="9">
        <v>40946</v>
      </c>
      <c r="B39" s="19">
        <v>260</v>
      </c>
      <c r="F39" s="11">
        <v>2.4</v>
      </c>
    </row>
    <row r="40" spans="1:6" x14ac:dyDescent="0.2">
      <c r="A40" s="9">
        <v>40947</v>
      </c>
      <c r="B40" s="19">
        <v>226</v>
      </c>
      <c r="F40" s="11">
        <v>1.4</v>
      </c>
    </row>
    <row r="41" spans="1:6" x14ac:dyDescent="0.2">
      <c r="A41" s="9">
        <v>40948</v>
      </c>
      <c r="B41" s="19">
        <v>223</v>
      </c>
      <c r="F41" s="11">
        <v>0.6</v>
      </c>
    </row>
    <row r="42" spans="1:6" x14ac:dyDescent="0.2">
      <c r="A42" s="9">
        <v>40949</v>
      </c>
      <c r="B42" s="19">
        <v>219</v>
      </c>
      <c r="F42" s="11">
        <v>2.6</v>
      </c>
    </row>
    <row r="43" spans="1:6" x14ac:dyDescent="0.2">
      <c r="A43" s="9">
        <v>40950</v>
      </c>
      <c r="B43" s="19">
        <v>51</v>
      </c>
      <c r="F43" s="11">
        <v>1.2</v>
      </c>
    </row>
    <row r="44" spans="1:6" x14ac:dyDescent="0.2">
      <c r="A44" s="9">
        <v>40951</v>
      </c>
      <c r="B44" s="19">
        <v>43</v>
      </c>
      <c r="F44" s="11">
        <v>4.8</v>
      </c>
    </row>
    <row r="45" spans="1:6" x14ac:dyDescent="0.2">
      <c r="A45" s="9">
        <v>40952</v>
      </c>
      <c r="B45" s="19">
        <v>263</v>
      </c>
      <c r="F45" s="11">
        <v>2</v>
      </c>
    </row>
    <row r="46" spans="1:6" x14ac:dyDescent="0.2">
      <c r="A46" s="9">
        <v>40953</v>
      </c>
      <c r="B46" s="19">
        <v>233</v>
      </c>
    </row>
    <row r="47" spans="1:6" x14ac:dyDescent="0.2">
      <c r="A47" s="9">
        <v>40954</v>
      </c>
      <c r="B47" s="19">
        <v>331</v>
      </c>
      <c r="F47" s="11">
        <v>0.4</v>
      </c>
    </row>
    <row r="48" spans="1:6" x14ac:dyDescent="0.2">
      <c r="A48" s="9">
        <v>40955</v>
      </c>
      <c r="B48" s="19">
        <v>295</v>
      </c>
    </row>
    <row r="49" spans="1:6" x14ac:dyDescent="0.2">
      <c r="A49" s="9">
        <v>40956</v>
      </c>
      <c r="B49" s="19">
        <v>172</v>
      </c>
    </row>
    <row r="50" spans="1:6" x14ac:dyDescent="0.2">
      <c r="A50" s="9">
        <v>40957</v>
      </c>
      <c r="B50" s="19">
        <v>68</v>
      </c>
      <c r="F50" s="11">
        <v>1.1000000000000001</v>
      </c>
    </row>
    <row r="51" spans="1:6" x14ac:dyDescent="0.2">
      <c r="A51" s="9">
        <v>40958</v>
      </c>
      <c r="B51" s="19">
        <v>39</v>
      </c>
    </row>
    <row r="52" spans="1:6" x14ac:dyDescent="0.2">
      <c r="A52" s="9">
        <v>40959</v>
      </c>
      <c r="B52" s="19">
        <v>385</v>
      </c>
      <c r="F52" s="11">
        <v>26</v>
      </c>
    </row>
    <row r="53" spans="1:6" x14ac:dyDescent="0.2">
      <c r="A53" s="9">
        <v>40960</v>
      </c>
      <c r="B53" s="19">
        <v>425</v>
      </c>
      <c r="F53" s="11">
        <v>5.8</v>
      </c>
    </row>
    <row r="54" spans="1:6" x14ac:dyDescent="0.2">
      <c r="A54" s="9">
        <v>40961</v>
      </c>
      <c r="B54" s="19">
        <v>364</v>
      </c>
    </row>
    <row r="55" spans="1:6" x14ac:dyDescent="0.2">
      <c r="A55" s="9">
        <v>40962</v>
      </c>
      <c r="B55" s="19">
        <v>226</v>
      </c>
    </row>
    <row r="56" spans="1:6" x14ac:dyDescent="0.2">
      <c r="A56" s="9">
        <v>40963</v>
      </c>
      <c r="B56" s="19">
        <v>264</v>
      </c>
    </row>
    <row r="57" spans="1:6" x14ac:dyDescent="0.2">
      <c r="A57" s="9">
        <v>40964</v>
      </c>
      <c r="B57" s="19">
        <v>74</v>
      </c>
    </row>
    <row r="58" spans="1:6" x14ac:dyDescent="0.2">
      <c r="A58" s="9">
        <v>40965</v>
      </c>
      <c r="B58" s="19">
        <v>48</v>
      </c>
      <c r="F58" s="11">
        <v>0.2</v>
      </c>
    </row>
    <row r="59" spans="1:6" x14ac:dyDescent="0.2">
      <c r="A59" s="9">
        <v>40966</v>
      </c>
      <c r="B59" s="19">
        <v>364</v>
      </c>
      <c r="F59" s="11">
        <v>0.1</v>
      </c>
    </row>
    <row r="60" spans="1:6" x14ac:dyDescent="0.2">
      <c r="A60" s="9">
        <v>40967</v>
      </c>
      <c r="B60" s="19">
        <v>438</v>
      </c>
      <c r="F60" s="11">
        <v>3.6</v>
      </c>
    </row>
    <row r="61" spans="1:6" x14ac:dyDescent="0.2">
      <c r="A61" s="9">
        <v>40968</v>
      </c>
      <c r="B61" s="19">
        <v>300</v>
      </c>
    </row>
    <row r="62" spans="1:6" x14ac:dyDescent="0.2">
      <c r="A62" s="9">
        <v>40969</v>
      </c>
      <c r="B62" s="19">
        <v>281</v>
      </c>
      <c r="F62" s="11">
        <v>26.5</v>
      </c>
    </row>
    <row r="63" spans="1:6" x14ac:dyDescent="0.2">
      <c r="A63" s="9">
        <v>40970</v>
      </c>
      <c r="B63" s="19">
        <v>297</v>
      </c>
      <c r="F63" s="11">
        <v>16.3</v>
      </c>
    </row>
    <row r="64" spans="1:6" x14ac:dyDescent="0.2">
      <c r="A64" s="9">
        <v>40971</v>
      </c>
      <c r="B64" s="19">
        <v>83</v>
      </c>
      <c r="F64" s="11">
        <v>15.4</v>
      </c>
    </row>
    <row r="65" spans="1:6" x14ac:dyDescent="0.2">
      <c r="A65" s="9">
        <v>40972</v>
      </c>
      <c r="B65" s="19">
        <v>48</v>
      </c>
      <c r="F65" s="11">
        <v>4</v>
      </c>
    </row>
    <row r="66" spans="1:6" x14ac:dyDescent="0.2">
      <c r="A66" s="9">
        <v>40973</v>
      </c>
      <c r="B66" s="19">
        <v>475</v>
      </c>
      <c r="F66" s="11">
        <v>14.4</v>
      </c>
    </row>
    <row r="67" spans="1:6" x14ac:dyDescent="0.2">
      <c r="A67" s="9">
        <v>40974</v>
      </c>
      <c r="B67" s="19">
        <v>333</v>
      </c>
      <c r="F67" s="11">
        <v>0.4</v>
      </c>
    </row>
    <row r="68" spans="1:6" x14ac:dyDescent="0.2">
      <c r="A68" s="9">
        <v>40975</v>
      </c>
      <c r="B68" s="19">
        <v>322</v>
      </c>
    </row>
    <row r="69" spans="1:6" x14ac:dyDescent="0.2">
      <c r="A69" s="9">
        <v>40976</v>
      </c>
      <c r="B69" s="19">
        <v>201</v>
      </c>
      <c r="F69" s="11">
        <v>11.5</v>
      </c>
    </row>
    <row r="70" spans="1:6" x14ac:dyDescent="0.2">
      <c r="A70" s="9">
        <v>40977</v>
      </c>
      <c r="B70" s="19">
        <v>264</v>
      </c>
      <c r="F70" s="11">
        <v>16.899999999999999</v>
      </c>
    </row>
    <row r="71" spans="1:6" x14ac:dyDescent="0.2">
      <c r="A71" s="9">
        <v>40978</v>
      </c>
      <c r="B71" s="19">
        <v>68</v>
      </c>
    </row>
    <row r="72" spans="1:6" x14ac:dyDescent="0.2">
      <c r="A72" s="9">
        <v>40979</v>
      </c>
      <c r="B72" s="19">
        <v>32</v>
      </c>
    </row>
    <row r="73" spans="1:6" x14ac:dyDescent="0.2">
      <c r="A73" s="9">
        <v>40980</v>
      </c>
      <c r="B73" s="19">
        <v>292</v>
      </c>
    </row>
    <row r="74" spans="1:6" x14ac:dyDescent="0.2">
      <c r="A74" s="9">
        <v>40981</v>
      </c>
      <c r="B74" s="19">
        <v>369</v>
      </c>
    </row>
    <row r="75" spans="1:6" x14ac:dyDescent="0.2">
      <c r="A75" s="9">
        <v>40982</v>
      </c>
      <c r="B75" s="19">
        <v>276</v>
      </c>
    </row>
    <row r="76" spans="1:6" x14ac:dyDescent="0.2">
      <c r="A76" s="9">
        <v>40983</v>
      </c>
      <c r="B76" s="19">
        <v>285</v>
      </c>
    </row>
    <row r="77" spans="1:6" x14ac:dyDescent="0.2">
      <c r="A77" s="9">
        <v>40984</v>
      </c>
      <c r="B77" s="19">
        <v>194</v>
      </c>
    </row>
    <row r="78" spans="1:6" x14ac:dyDescent="0.2">
      <c r="A78" s="9">
        <v>40985</v>
      </c>
      <c r="B78" s="19">
        <v>65</v>
      </c>
      <c r="F78" s="11">
        <v>43</v>
      </c>
    </row>
    <row r="79" spans="1:6" x14ac:dyDescent="0.2">
      <c r="A79" s="9">
        <v>40986</v>
      </c>
      <c r="B79" s="19">
        <v>23</v>
      </c>
      <c r="F79" s="11">
        <v>0.8</v>
      </c>
    </row>
    <row r="80" spans="1:6" x14ac:dyDescent="0.2">
      <c r="A80" s="9">
        <v>40987</v>
      </c>
      <c r="B80" s="19">
        <v>369</v>
      </c>
      <c r="F80" s="11">
        <v>6.7</v>
      </c>
    </row>
    <row r="81" spans="1:6" x14ac:dyDescent="0.2">
      <c r="A81" s="9">
        <v>40988</v>
      </c>
      <c r="B81" s="19">
        <v>215</v>
      </c>
      <c r="F81" s="11">
        <v>1.6</v>
      </c>
    </row>
    <row r="82" spans="1:6" x14ac:dyDescent="0.2">
      <c r="A82" s="9">
        <v>40989</v>
      </c>
      <c r="B82" s="19">
        <v>306</v>
      </c>
      <c r="F82" s="11">
        <v>0.1</v>
      </c>
    </row>
    <row r="83" spans="1:6" x14ac:dyDescent="0.2">
      <c r="A83" s="9">
        <v>40990</v>
      </c>
      <c r="B83" s="19">
        <v>273</v>
      </c>
      <c r="F83" s="11">
        <v>0.6</v>
      </c>
    </row>
    <row r="84" spans="1:6" x14ac:dyDescent="0.2">
      <c r="A84" s="9">
        <v>40991</v>
      </c>
      <c r="B84" s="19">
        <v>136</v>
      </c>
      <c r="F84" s="11">
        <v>0.6</v>
      </c>
    </row>
    <row r="85" spans="1:6" x14ac:dyDescent="0.2">
      <c r="A85" s="9">
        <v>40992</v>
      </c>
      <c r="B85" s="19">
        <v>66</v>
      </c>
    </row>
    <row r="86" spans="1:6" x14ac:dyDescent="0.2">
      <c r="A86" s="9">
        <v>40993</v>
      </c>
      <c r="B86" s="19">
        <v>17</v>
      </c>
      <c r="F86" s="11">
        <v>0.2</v>
      </c>
    </row>
    <row r="87" spans="1:6" x14ac:dyDescent="0.2">
      <c r="A87" s="9">
        <v>40994</v>
      </c>
      <c r="B87" s="19">
        <v>341</v>
      </c>
      <c r="F87" s="11">
        <v>2.4</v>
      </c>
    </row>
    <row r="88" spans="1:6" x14ac:dyDescent="0.2">
      <c r="A88" s="9">
        <v>40995</v>
      </c>
      <c r="B88" s="19">
        <v>322</v>
      </c>
      <c r="F88" s="11">
        <v>0.4</v>
      </c>
    </row>
    <row r="89" spans="1:6" x14ac:dyDescent="0.2">
      <c r="A89" s="9">
        <v>40996</v>
      </c>
      <c r="B89" s="19">
        <v>227</v>
      </c>
    </row>
    <row r="90" spans="1:6" x14ac:dyDescent="0.2">
      <c r="A90" s="9">
        <v>40997</v>
      </c>
      <c r="B90" s="19">
        <v>221</v>
      </c>
      <c r="F90" s="11">
        <v>1.6</v>
      </c>
    </row>
    <row r="91" spans="1:6" x14ac:dyDescent="0.2">
      <c r="A91" s="9">
        <v>40998</v>
      </c>
      <c r="B91" s="19">
        <v>100</v>
      </c>
      <c r="F91" s="11">
        <v>0.1</v>
      </c>
    </row>
    <row r="92" spans="1:6" x14ac:dyDescent="0.2">
      <c r="A92" s="9">
        <v>40999</v>
      </c>
      <c r="B92" s="19">
        <v>66</v>
      </c>
    </row>
    <row r="93" spans="1:6" x14ac:dyDescent="0.2">
      <c r="A93" s="9">
        <v>41000</v>
      </c>
      <c r="B93" s="19">
        <v>13</v>
      </c>
    </row>
    <row r="94" spans="1:6" x14ac:dyDescent="0.2">
      <c r="A94" s="9">
        <v>41001</v>
      </c>
      <c r="B94" s="19">
        <v>181</v>
      </c>
      <c r="F94" s="11">
        <v>1</v>
      </c>
    </row>
    <row r="95" spans="1:6" x14ac:dyDescent="0.2">
      <c r="A95" s="9">
        <v>41002</v>
      </c>
      <c r="B95" s="19">
        <v>111</v>
      </c>
    </row>
    <row r="96" spans="1:6" x14ac:dyDescent="0.2">
      <c r="A96" s="9">
        <v>41003</v>
      </c>
      <c r="B96" s="19">
        <v>164</v>
      </c>
    </row>
    <row r="97" spans="1:6" x14ac:dyDescent="0.2">
      <c r="A97" s="9">
        <v>41004</v>
      </c>
      <c r="B97" s="19">
        <v>140</v>
      </c>
    </row>
    <row r="98" spans="1:6" x14ac:dyDescent="0.2">
      <c r="A98" s="9">
        <v>41005</v>
      </c>
      <c r="B98" s="19">
        <v>109</v>
      </c>
    </row>
    <row r="99" spans="1:6" x14ac:dyDescent="0.2">
      <c r="A99" s="9">
        <v>41006</v>
      </c>
      <c r="B99" s="19">
        <v>59</v>
      </c>
    </row>
    <row r="100" spans="1:6" x14ac:dyDescent="0.2">
      <c r="A100" s="9">
        <v>41007</v>
      </c>
      <c r="B100" s="19">
        <v>15</v>
      </c>
    </row>
    <row r="101" spans="1:6" x14ac:dyDescent="0.2">
      <c r="A101" s="9">
        <v>41008</v>
      </c>
      <c r="B101" s="19">
        <v>149</v>
      </c>
      <c r="F101" s="11">
        <v>8.6</v>
      </c>
    </row>
    <row r="102" spans="1:6" x14ac:dyDescent="0.2">
      <c r="A102" s="9">
        <v>41009</v>
      </c>
      <c r="B102" s="19">
        <v>227</v>
      </c>
    </row>
    <row r="103" spans="1:6" x14ac:dyDescent="0.2">
      <c r="A103" s="9">
        <v>41010</v>
      </c>
      <c r="B103" s="19">
        <v>218</v>
      </c>
    </row>
    <row r="104" spans="1:6" x14ac:dyDescent="0.2">
      <c r="A104" s="9">
        <v>41011</v>
      </c>
      <c r="B104" s="19">
        <v>189</v>
      </c>
      <c r="F104" s="11">
        <v>7.4</v>
      </c>
    </row>
    <row r="105" spans="1:6" x14ac:dyDescent="0.2">
      <c r="A105" s="9">
        <v>41012</v>
      </c>
      <c r="B105" s="19">
        <v>166</v>
      </c>
      <c r="F105" s="11">
        <v>0.1</v>
      </c>
    </row>
    <row r="106" spans="1:6" x14ac:dyDescent="0.2">
      <c r="A106" s="9">
        <v>41013</v>
      </c>
      <c r="B106" s="19">
        <v>55</v>
      </c>
    </row>
    <row r="107" spans="1:6" x14ac:dyDescent="0.2">
      <c r="A107" s="9">
        <v>41014</v>
      </c>
      <c r="B107" s="19">
        <v>16</v>
      </c>
    </row>
    <row r="108" spans="1:6" x14ac:dyDescent="0.2">
      <c r="A108" s="9">
        <v>41015</v>
      </c>
      <c r="B108" s="19">
        <v>109</v>
      </c>
    </row>
    <row r="109" spans="1:6" x14ac:dyDescent="0.2">
      <c r="A109" s="9">
        <v>41016</v>
      </c>
      <c r="B109" s="19">
        <v>228</v>
      </c>
      <c r="F109" s="11">
        <v>21</v>
      </c>
    </row>
    <row r="110" spans="1:6" x14ac:dyDescent="0.2">
      <c r="A110" s="9">
        <v>41017</v>
      </c>
      <c r="B110" s="19">
        <v>158</v>
      </c>
      <c r="F110" s="11">
        <v>56.6</v>
      </c>
    </row>
    <row r="111" spans="1:6" x14ac:dyDescent="0.2">
      <c r="A111" s="9">
        <v>41018</v>
      </c>
      <c r="B111" s="19">
        <v>139</v>
      </c>
      <c r="F111" s="11">
        <v>76.2</v>
      </c>
    </row>
    <row r="112" spans="1:6" x14ac:dyDescent="0.2">
      <c r="A112" s="9">
        <v>41019</v>
      </c>
      <c r="B112" s="19">
        <v>68</v>
      </c>
      <c r="F112" s="11">
        <v>7</v>
      </c>
    </row>
    <row r="113" spans="1:6" x14ac:dyDescent="0.2">
      <c r="A113" s="9">
        <v>41020</v>
      </c>
      <c r="B113" s="19">
        <v>51</v>
      </c>
      <c r="F113" s="11">
        <v>0.5</v>
      </c>
    </row>
    <row r="114" spans="1:6" x14ac:dyDescent="0.2">
      <c r="A114" s="9">
        <v>41021</v>
      </c>
      <c r="B114" s="19">
        <v>26</v>
      </c>
    </row>
    <row r="115" spans="1:6" x14ac:dyDescent="0.2">
      <c r="A115" s="9">
        <v>41022</v>
      </c>
      <c r="B115" s="19">
        <v>300</v>
      </c>
      <c r="F115" s="11">
        <v>1</v>
      </c>
    </row>
    <row r="116" spans="1:6" x14ac:dyDescent="0.2">
      <c r="A116" s="9">
        <v>41023</v>
      </c>
      <c r="B116" s="19">
        <v>123</v>
      </c>
      <c r="F116" s="11">
        <v>3</v>
      </c>
    </row>
    <row r="117" spans="1:6" x14ac:dyDescent="0.2">
      <c r="A117" s="9">
        <v>41024</v>
      </c>
      <c r="B117" s="19">
        <v>194</v>
      </c>
      <c r="F117" s="11">
        <v>6.8</v>
      </c>
    </row>
    <row r="118" spans="1:6" x14ac:dyDescent="0.2">
      <c r="A118" s="9">
        <v>41025</v>
      </c>
      <c r="B118" s="19">
        <v>196</v>
      </c>
    </row>
    <row r="119" spans="1:6" x14ac:dyDescent="0.2">
      <c r="A119" s="9">
        <v>41026</v>
      </c>
      <c r="B119" s="19">
        <v>118</v>
      </c>
    </row>
    <row r="120" spans="1:6" x14ac:dyDescent="0.2">
      <c r="A120" s="9">
        <v>41027</v>
      </c>
      <c r="B120" s="19">
        <v>68</v>
      </c>
    </row>
    <row r="121" spans="1:6" x14ac:dyDescent="0.2">
      <c r="A121" s="9">
        <v>41028</v>
      </c>
      <c r="B121" s="19">
        <v>30</v>
      </c>
    </row>
    <row r="122" spans="1:6" x14ac:dyDescent="0.2">
      <c r="A122" s="9">
        <v>41029</v>
      </c>
      <c r="B122" s="19">
        <v>264</v>
      </c>
    </row>
    <row r="123" spans="1:6" x14ac:dyDescent="0.2">
      <c r="A123" s="9">
        <v>41030</v>
      </c>
      <c r="B123" s="19">
        <v>283</v>
      </c>
    </row>
    <row r="124" spans="1:6" x14ac:dyDescent="0.2">
      <c r="A124" s="9">
        <v>41031</v>
      </c>
      <c r="B124" s="19">
        <v>258</v>
      </c>
    </row>
    <row r="125" spans="1:6" x14ac:dyDescent="0.2">
      <c r="A125" s="9">
        <v>41032</v>
      </c>
      <c r="B125" s="19">
        <v>240</v>
      </c>
      <c r="F125" s="11">
        <v>0.2</v>
      </c>
    </row>
    <row r="126" spans="1:6" x14ac:dyDescent="0.2">
      <c r="A126" s="9">
        <v>41033</v>
      </c>
      <c r="B126" s="19">
        <v>227</v>
      </c>
    </row>
    <row r="127" spans="1:6" x14ac:dyDescent="0.2">
      <c r="A127" s="9">
        <v>41034</v>
      </c>
      <c r="B127" s="19">
        <v>71</v>
      </c>
    </row>
    <row r="128" spans="1:6" x14ac:dyDescent="0.2">
      <c r="A128" s="9">
        <v>41035</v>
      </c>
      <c r="B128" s="19">
        <v>25</v>
      </c>
    </row>
    <row r="129" spans="1:6" x14ac:dyDescent="0.2">
      <c r="A129" s="9">
        <v>41036</v>
      </c>
      <c r="B129" s="19">
        <v>406</v>
      </c>
    </row>
    <row r="130" spans="1:6" x14ac:dyDescent="0.2">
      <c r="A130" s="9">
        <v>41037</v>
      </c>
      <c r="B130" s="19">
        <v>356</v>
      </c>
    </row>
    <row r="131" spans="1:6" x14ac:dyDescent="0.2">
      <c r="A131" s="9">
        <v>41038</v>
      </c>
      <c r="B131" s="19">
        <v>302</v>
      </c>
    </row>
    <row r="132" spans="1:6" x14ac:dyDescent="0.2">
      <c r="A132" s="9">
        <v>41039</v>
      </c>
      <c r="B132" s="19">
        <v>180</v>
      </c>
    </row>
    <row r="133" spans="1:6" x14ac:dyDescent="0.2">
      <c r="A133" s="9">
        <v>41040</v>
      </c>
      <c r="B133" s="19">
        <v>239</v>
      </c>
    </row>
    <row r="134" spans="1:6" x14ac:dyDescent="0.2">
      <c r="A134" s="9">
        <v>41041</v>
      </c>
      <c r="B134" s="19">
        <v>80</v>
      </c>
    </row>
    <row r="135" spans="1:6" x14ac:dyDescent="0.2">
      <c r="A135" s="9">
        <v>41042</v>
      </c>
      <c r="B135" s="19">
        <v>44</v>
      </c>
    </row>
    <row r="136" spans="1:6" x14ac:dyDescent="0.2">
      <c r="A136" s="9">
        <v>41043</v>
      </c>
      <c r="B136" s="19">
        <v>289</v>
      </c>
    </row>
    <row r="137" spans="1:6" x14ac:dyDescent="0.2">
      <c r="A137" s="9">
        <v>41044</v>
      </c>
      <c r="B137" s="19">
        <v>346</v>
      </c>
    </row>
    <row r="138" spans="1:6" x14ac:dyDescent="0.2">
      <c r="A138" s="9">
        <v>41045</v>
      </c>
      <c r="B138" s="19">
        <v>225</v>
      </c>
    </row>
    <row r="139" spans="1:6" x14ac:dyDescent="0.2">
      <c r="A139" s="9">
        <v>41046</v>
      </c>
      <c r="B139" s="19">
        <v>199</v>
      </c>
    </row>
    <row r="140" spans="1:6" x14ac:dyDescent="0.2">
      <c r="A140" s="9">
        <v>41047</v>
      </c>
      <c r="B140" s="19">
        <v>282</v>
      </c>
    </row>
    <row r="141" spans="1:6" x14ac:dyDescent="0.2">
      <c r="A141" s="9">
        <v>41048</v>
      </c>
      <c r="B141" s="19">
        <v>64</v>
      </c>
      <c r="F141" s="11">
        <v>2</v>
      </c>
    </row>
    <row r="142" spans="1:6" x14ac:dyDescent="0.2">
      <c r="A142" s="9">
        <v>41049</v>
      </c>
      <c r="B142" s="19">
        <v>33</v>
      </c>
    </row>
    <row r="143" spans="1:6" x14ac:dyDescent="0.2">
      <c r="A143" s="9">
        <v>41050</v>
      </c>
      <c r="B143" s="19">
        <v>366</v>
      </c>
      <c r="F143" s="11">
        <v>1.8</v>
      </c>
    </row>
    <row r="144" spans="1:6" x14ac:dyDescent="0.2">
      <c r="A144" s="9">
        <v>41051</v>
      </c>
      <c r="B144" s="19">
        <v>390</v>
      </c>
    </row>
    <row r="145" spans="1:6" x14ac:dyDescent="0.2">
      <c r="A145" s="9">
        <v>41052</v>
      </c>
      <c r="B145" s="19">
        <v>274</v>
      </c>
    </row>
    <row r="146" spans="1:6" x14ac:dyDescent="0.2">
      <c r="A146" s="9">
        <v>41053</v>
      </c>
      <c r="B146" s="19">
        <v>284</v>
      </c>
    </row>
    <row r="147" spans="1:6" x14ac:dyDescent="0.2">
      <c r="A147" s="9">
        <v>41054</v>
      </c>
      <c r="B147" s="19">
        <v>205</v>
      </c>
      <c r="F147" s="11">
        <v>13.8</v>
      </c>
    </row>
    <row r="148" spans="1:6" x14ac:dyDescent="0.2">
      <c r="A148" s="9">
        <v>41055</v>
      </c>
      <c r="B148" s="19">
        <v>66</v>
      </c>
    </row>
    <row r="149" spans="1:6" x14ac:dyDescent="0.2">
      <c r="A149" s="9">
        <v>41056</v>
      </c>
      <c r="B149" s="19">
        <v>49</v>
      </c>
    </row>
    <row r="150" spans="1:6" x14ac:dyDescent="0.2">
      <c r="A150" s="9">
        <v>41057</v>
      </c>
      <c r="B150" s="19">
        <v>435</v>
      </c>
    </row>
    <row r="151" spans="1:6" x14ac:dyDescent="0.2">
      <c r="A151" s="9">
        <v>41058</v>
      </c>
      <c r="B151" s="19">
        <v>273</v>
      </c>
      <c r="F151" s="11">
        <v>23.4</v>
      </c>
    </row>
    <row r="152" spans="1:6" x14ac:dyDescent="0.2">
      <c r="A152" s="9">
        <v>41059</v>
      </c>
      <c r="B152" s="19">
        <v>345</v>
      </c>
      <c r="F152" s="11">
        <v>12</v>
      </c>
    </row>
    <row r="153" spans="1:6" x14ac:dyDescent="0.2">
      <c r="A153" s="9">
        <v>41060</v>
      </c>
      <c r="B153" s="19">
        <v>233</v>
      </c>
      <c r="F153" s="11">
        <v>0.1</v>
      </c>
    </row>
    <row r="154" spans="1:6" x14ac:dyDescent="0.2">
      <c r="A154" s="9">
        <v>41061</v>
      </c>
      <c r="B154" s="19">
        <v>252</v>
      </c>
      <c r="F154" s="11">
        <v>0.2</v>
      </c>
    </row>
    <row r="155" spans="1:6" x14ac:dyDescent="0.2">
      <c r="A155" s="9">
        <v>41062</v>
      </c>
      <c r="B155" s="19">
        <v>88</v>
      </c>
      <c r="F155" s="11">
        <v>0.5</v>
      </c>
    </row>
    <row r="156" spans="1:6" x14ac:dyDescent="0.2">
      <c r="A156" s="9">
        <v>41063</v>
      </c>
      <c r="B156" s="19">
        <v>48</v>
      </c>
      <c r="F156" s="11">
        <v>28.7</v>
      </c>
    </row>
    <row r="157" spans="1:6" x14ac:dyDescent="0.2">
      <c r="A157" s="9">
        <v>41064</v>
      </c>
      <c r="B157" s="19">
        <v>346</v>
      </c>
      <c r="F157" s="11">
        <v>11.6</v>
      </c>
    </row>
    <row r="158" spans="1:6" x14ac:dyDescent="0.2">
      <c r="A158" s="9">
        <v>41065</v>
      </c>
      <c r="B158" s="19">
        <v>433</v>
      </c>
      <c r="F158" s="11">
        <v>0.1</v>
      </c>
    </row>
    <row r="159" spans="1:6" x14ac:dyDescent="0.2">
      <c r="A159" s="9">
        <v>41066</v>
      </c>
      <c r="B159" s="19">
        <v>335</v>
      </c>
      <c r="F159" s="11">
        <v>18.8</v>
      </c>
    </row>
    <row r="160" spans="1:6" x14ac:dyDescent="0.2">
      <c r="A160" s="9">
        <v>41067</v>
      </c>
      <c r="B160" s="19">
        <v>226</v>
      </c>
      <c r="F160" s="11">
        <v>6.6</v>
      </c>
    </row>
    <row r="161" spans="1:6" x14ac:dyDescent="0.2">
      <c r="A161" s="9">
        <v>41068</v>
      </c>
      <c r="B161" s="19">
        <v>239</v>
      </c>
      <c r="F161" s="11">
        <v>0.1</v>
      </c>
    </row>
    <row r="162" spans="1:6" x14ac:dyDescent="0.2">
      <c r="A162" s="9">
        <v>41069</v>
      </c>
      <c r="B162" s="19">
        <v>74</v>
      </c>
    </row>
    <row r="163" spans="1:6" x14ac:dyDescent="0.2">
      <c r="A163" s="9">
        <v>41070</v>
      </c>
      <c r="B163" s="19">
        <v>31</v>
      </c>
      <c r="F163" s="11">
        <v>3</v>
      </c>
    </row>
    <row r="164" spans="1:6" x14ac:dyDescent="0.2">
      <c r="A164" s="9">
        <v>41071</v>
      </c>
      <c r="B164" s="19">
        <v>315</v>
      </c>
      <c r="F164" s="11">
        <v>84</v>
      </c>
    </row>
    <row r="165" spans="1:6" x14ac:dyDescent="0.2">
      <c r="A165" s="9">
        <v>41072</v>
      </c>
      <c r="B165" s="19">
        <v>289</v>
      </c>
      <c r="F165" s="11">
        <v>52.8</v>
      </c>
    </row>
    <row r="166" spans="1:6" x14ac:dyDescent="0.2">
      <c r="A166" s="9">
        <v>41073</v>
      </c>
      <c r="B166" s="19">
        <v>306</v>
      </c>
      <c r="F166" s="11">
        <v>8.1999999999999993</v>
      </c>
    </row>
    <row r="167" spans="1:6" x14ac:dyDescent="0.2">
      <c r="A167" s="9">
        <v>41074</v>
      </c>
      <c r="B167" s="19">
        <v>293</v>
      </c>
      <c r="F167" s="11">
        <v>15.7</v>
      </c>
    </row>
    <row r="168" spans="1:6" x14ac:dyDescent="0.2">
      <c r="A168" s="9">
        <v>41075</v>
      </c>
      <c r="B168" s="19">
        <v>179</v>
      </c>
      <c r="F168" s="11">
        <v>0.1</v>
      </c>
    </row>
    <row r="169" spans="1:6" x14ac:dyDescent="0.2">
      <c r="A169" s="9">
        <v>41076</v>
      </c>
      <c r="B169" s="19">
        <v>74</v>
      </c>
      <c r="F169" s="11">
        <v>0.8</v>
      </c>
    </row>
    <row r="170" spans="1:6" x14ac:dyDescent="0.2">
      <c r="A170" s="9">
        <v>41077</v>
      </c>
      <c r="B170" s="19">
        <v>22</v>
      </c>
      <c r="F170" s="11">
        <v>9.4</v>
      </c>
    </row>
    <row r="171" spans="1:6" x14ac:dyDescent="0.2">
      <c r="A171" s="9">
        <v>41078</v>
      </c>
      <c r="B171" s="19">
        <v>216</v>
      </c>
      <c r="F171" s="11">
        <v>0.1</v>
      </c>
    </row>
    <row r="172" spans="1:6" x14ac:dyDescent="0.2">
      <c r="A172" s="9">
        <v>41079</v>
      </c>
      <c r="B172" s="19">
        <v>231</v>
      </c>
    </row>
    <row r="173" spans="1:6" x14ac:dyDescent="0.2">
      <c r="A173" s="9">
        <v>41080</v>
      </c>
      <c r="B173" s="19">
        <v>218</v>
      </c>
    </row>
    <row r="174" spans="1:6" x14ac:dyDescent="0.2">
      <c r="A174" s="9">
        <v>41081</v>
      </c>
      <c r="B174" s="19">
        <v>254</v>
      </c>
    </row>
    <row r="175" spans="1:6" x14ac:dyDescent="0.2">
      <c r="A175" s="9">
        <v>41082</v>
      </c>
      <c r="B175" s="19">
        <v>118</v>
      </c>
    </row>
    <row r="176" spans="1:6" x14ac:dyDescent="0.2">
      <c r="A176" s="9">
        <v>41083</v>
      </c>
      <c r="B176" s="19">
        <v>55</v>
      </c>
    </row>
    <row r="177" spans="1:6" x14ac:dyDescent="0.2">
      <c r="A177" s="9">
        <v>41084</v>
      </c>
      <c r="B177" s="19">
        <v>28</v>
      </c>
    </row>
    <row r="178" spans="1:6" x14ac:dyDescent="0.2">
      <c r="A178" s="9">
        <v>41085</v>
      </c>
      <c r="B178" s="19">
        <v>219</v>
      </c>
    </row>
    <row r="179" spans="1:6" x14ac:dyDescent="0.2">
      <c r="A179" s="9">
        <v>41086</v>
      </c>
      <c r="B179" s="19">
        <v>285</v>
      </c>
      <c r="F179" s="11">
        <v>7.9</v>
      </c>
    </row>
    <row r="180" spans="1:6" x14ac:dyDescent="0.2">
      <c r="A180" s="9">
        <v>41087</v>
      </c>
      <c r="B180" s="19">
        <v>119</v>
      </c>
      <c r="F180" s="11">
        <v>13.2</v>
      </c>
    </row>
    <row r="181" spans="1:6" x14ac:dyDescent="0.2">
      <c r="A181" s="9">
        <v>41088</v>
      </c>
      <c r="B181" s="19">
        <v>124</v>
      </c>
    </row>
    <row r="182" spans="1:6" x14ac:dyDescent="0.2">
      <c r="A182" s="9">
        <v>41089</v>
      </c>
      <c r="B182" s="19">
        <v>112</v>
      </c>
      <c r="F182" s="11">
        <v>6</v>
      </c>
    </row>
    <row r="183" spans="1:6" x14ac:dyDescent="0.2">
      <c r="A183" s="9">
        <v>41090</v>
      </c>
      <c r="B183" s="19">
        <v>41</v>
      </c>
    </row>
    <row r="184" spans="1:6" x14ac:dyDescent="0.2">
      <c r="A184" s="9">
        <v>41091</v>
      </c>
      <c r="B184" s="19">
        <v>30</v>
      </c>
    </row>
    <row r="185" spans="1:6" x14ac:dyDescent="0.2">
      <c r="A185" s="9">
        <v>41092</v>
      </c>
      <c r="B185" s="19">
        <v>311</v>
      </c>
    </row>
    <row r="186" spans="1:6" x14ac:dyDescent="0.2">
      <c r="A186" s="9">
        <v>41093</v>
      </c>
      <c r="B186" s="19">
        <v>249</v>
      </c>
    </row>
    <row r="187" spans="1:6" x14ac:dyDescent="0.2">
      <c r="A187" s="9">
        <v>41094</v>
      </c>
      <c r="B187" s="19">
        <v>201</v>
      </c>
    </row>
    <row r="188" spans="1:6" x14ac:dyDescent="0.2">
      <c r="A188" s="9">
        <v>41095</v>
      </c>
      <c r="B188" s="19">
        <v>104</v>
      </c>
      <c r="F188" s="11">
        <v>5.2</v>
      </c>
    </row>
    <row r="189" spans="1:6" x14ac:dyDescent="0.2">
      <c r="A189" s="9">
        <v>41096</v>
      </c>
      <c r="B189" s="19">
        <v>99</v>
      </c>
      <c r="F189" s="11">
        <v>23</v>
      </c>
    </row>
    <row r="190" spans="1:6" x14ac:dyDescent="0.2">
      <c r="A190" s="9">
        <v>41097</v>
      </c>
      <c r="B190" s="19">
        <v>43</v>
      </c>
      <c r="F190" s="11">
        <v>1.6</v>
      </c>
    </row>
    <row r="191" spans="1:6" x14ac:dyDescent="0.2">
      <c r="A191" s="9">
        <v>41098</v>
      </c>
      <c r="B191" s="19">
        <v>23</v>
      </c>
      <c r="F191" s="11">
        <v>0.4</v>
      </c>
    </row>
    <row r="192" spans="1:6" x14ac:dyDescent="0.2">
      <c r="A192" s="9">
        <v>41099</v>
      </c>
      <c r="B192" s="19">
        <v>166</v>
      </c>
      <c r="F192" s="11">
        <v>0.1</v>
      </c>
    </row>
    <row r="193" spans="1:6" x14ac:dyDescent="0.2">
      <c r="A193" s="9">
        <v>41100</v>
      </c>
      <c r="B193" s="19">
        <v>154</v>
      </c>
    </row>
    <row r="194" spans="1:6" x14ac:dyDescent="0.2">
      <c r="A194" s="9">
        <v>41101</v>
      </c>
      <c r="B194" s="19">
        <v>112</v>
      </c>
      <c r="F194" s="11">
        <v>6.4</v>
      </c>
    </row>
    <row r="195" spans="1:6" x14ac:dyDescent="0.2">
      <c r="A195" s="9">
        <v>41102</v>
      </c>
      <c r="B195" s="19">
        <v>102</v>
      </c>
    </row>
    <row r="196" spans="1:6" x14ac:dyDescent="0.2">
      <c r="A196" s="9">
        <v>41103</v>
      </c>
      <c r="B196" s="19">
        <v>120</v>
      </c>
      <c r="F196" s="11">
        <v>0.1</v>
      </c>
    </row>
    <row r="197" spans="1:6" x14ac:dyDescent="0.2">
      <c r="A197" s="9">
        <v>41104</v>
      </c>
      <c r="B197" s="19">
        <v>45</v>
      </c>
      <c r="F197" s="11">
        <v>0.2</v>
      </c>
    </row>
    <row r="198" spans="1:6" x14ac:dyDescent="0.2">
      <c r="A198" s="9">
        <v>41105</v>
      </c>
      <c r="B198" s="19">
        <v>20</v>
      </c>
    </row>
    <row r="199" spans="1:6" x14ac:dyDescent="0.2">
      <c r="A199" s="9">
        <v>41106</v>
      </c>
      <c r="B199" s="19">
        <v>163</v>
      </c>
    </row>
    <row r="200" spans="1:6" x14ac:dyDescent="0.2">
      <c r="A200" s="9">
        <v>41107</v>
      </c>
      <c r="B200" s="19">
        <v>125</v>
      </c>
    </row>
    <row r="201" spans="1:6" x14ac:dyDescent="0.2">
      <c r="A201" s="9">
        <v>41108</v>
      </c>
      <c r="B201" s="19">
        <v>151</v>
      </c>
    </row>
    <row r="202" spans="1:6" x14ac:dyDescent="0.2">
      <c r="A202" s="9">
        <v>41109</v>
      </c>
      <c r="B202" s="19">
        <v>130</v>
      </c>
    </row>
    <row r="203" spans="1:6" x14ac:dyDescent="0.2">
      <c r="A203" s="9">
        <v>41110</v>
      </c>
      <c r="B203" s="19">
        <v>175</v>
      </c>
    </row>
    <row r="204" spans="1:6" x14ac:dyDescent="0.2">
      <c r="A204" s="9">
        <v>41111</v>
      </c>
      <c r="B204" s="19">
        <v>32</v>
      </c>
      <c r="F204" s="11">
        <v>6</v>
      </c>
    </row>
    <row r="205" spans="1:6" x14ac:dyDescent="0.2">
      <c r="A205" s="9">
        <v>41112</v>
      </c>
      <c r="B205" s="19">
        <v>14</v>
      </c>
      <c r="F205" s="11">
        <v>3</v>
      </c>
    </row>
    <row r="206" spans="1:6" x14ac:dyDescent="0.2">
      <c r="A206" s="9">
        <v>41113</v>
      </c>
      <c r="B206" s="19">
        <v>236</v>
      </c>
      <c r="F206" s="11">
        <v>3</v>
      </c>
    </row>
    <row r="207" spans="1:6" x14ac:dyDescent="0.2">
      <c r="A207" s="9">
        <v>41114</v>
      </c>
      <c r="B207" s="19">
        <v>242</v>
      </c>
      <c r="F207" s="11">
        <v>5.2</v>
      </c>
    </row>
    <row r="208" spans="1:6" x14ac:dyDescent="0.2">
      <c r="A208" s="9">
        <v>41115</v>
      </c>
      <c r="B208" s="19">
        <v>172</v>
      </c>
      <c r="F208" s="11">
        <v>6</v>
      </c>
    </row>
    <row r="209" spans="1:6" x14ac:dyDescent="0.2">
      <c r="A209" s="9">
        <v>41116</v>
      </c>
      <c r="B209" s="19">
        <v>177</v>
      </c>
      <c r="F209" s="11">
        <v>0.1</v>
      </c>
    </row>
    <row r="210" spans="1:6" x14ac:dyDescent="0.2">
      <c r="A210" s="9">
        <v>41117</v>
      </c>
      <c r="B210" s="19">
        <v>92</v>
      </c>
      <c r="F210" s="11">
        <v>0.4</v>
      </c>
    </row>
    <row r="211" spans="1:6" x14ac:dyDescent="0.2">
      <c r="A211" s="9">
        <v>41118</v>
      </c>
      <c r="B211" s="19">
        <v>37</v>
      </c>
    </row>
    <row r="212" spans="1:6" x14ac:dyDescent="0.2">
      <c r="A212" s="9">
        <v>41119</v>
      </c>
      <c r="B212" s="19">
        <v>21</v>
      </c>
    </row>
    <row r="213" spans="1:6" x14ac:dyDescent="0.2">
      <c r="A213" s="9">
        <v>41120</v>
      </c>
      <c r="B213" s="19">
        <v>362</v>
      </c>
    </row>
    <row r="214" spans="1:6" x14ac:dyDescent="0.2">
      <c r="A214" s="9">
        <v>41121</v>
      </c>
      <c r="B214" s="19">
        <v>261</v>
      </c>
      <c r="F214" s="11">
        <v>5.2</v>
      </c>
    </row>
    <row r="215" spans="1:6" x14ac:dyDescent="0.2">
      <c r="A215" s="9">
        <v>41122</v>
      </c>
      <c r="B215" s="19">
        <v>207</v>
      </c>
      <c r="F215" s="11">
        <v>0.2</v>
      </c>
    </row>
    <row r="216" spans="1:6" x14ac:dyDescent="0.2">
      <c r="A216" s="9">
        <v>41123</v>
      </c>
      <c r="B216" s="19">
        <v>271</v>
      </c>
    </row>
    <row r="217" spans="1:6" x14ac:dyDescent="0.2">
      <c r="A217" s="9">
        <v>41124</v>
      </c>
      <c r="B217" s="19">
        <v>146</v>
      </c>
    </row>
    <row r="218" spans="1:6" x14ac:dyDescent="0.2">
      <c r="A218" s="9">
        <v>41125</v>
      </c>
      <c r="B218" s="19">
        <v>42</v>
      </c>
    </row>
    <row r="219" spans="1:6" x14ac:dyDescent="0.2">
      <c r="A219" s="9">
        <v>41126</v>
      </c>
      <c r="B219" s="19">
        <v>37</v>
      </c>
    </row>
    <row r="220" spans="1:6" x14ac:dyDescent="0.2">
      <c r="A220" s="9">
        <v>41127</v>
      </c>
      <c r="B220" s="19">
        <v>317</v>
      </c>
    </row>
    <row r="221" spans="1:6" x14ac:dyDescent="0.2">
      <c r="A221" s="9">
        <v>41128</v>
      </c>
      <c r="B221" s="19">
        <v>354</v>
      </c>
    </row>
    <row r="222" spans="1:6" x14ac:dyDescent="0.2">
      <c r="A222" s="9">
        <v>41129</v>
      </c>
      <c r="B222" s="19">
        <v>324</v>
      </c>
    </row>
    <row r="223" spans="1:6" x14ac:dyDescent="0.2">
      <c r="A223" s="9">
        <v>41130</v>
      </c>
      <c r="B223" s="19">
        <v>257</v>
      </c>
    </row>
    <row r="224" spans="1:6" x14ac:dyDescent="0.2">
      <c r="A224" s="9">
        <v>41131</v>
      </c>
      <c r="B224" s="19">
        <v>233</v>
      </c>
    </row>
    <row r="225" spans="1:6" x14ac:dyDescent="0.2">
      <c r="A225" s="9">
        <v>41132</v>
      </c>
      <c r="B225" s="19">
        <v>78</v>
      </c>
      <c r="F225" s="11">
        <v>5.2</v>
      </c>
    </row>
    <row r="226" spans="1:6" x14ac:dyDescent="0.2">
      <c r="A226" s="9">
        <v>41133</v>
      </c>
      <c r="B226" s="19">
        <v>35</v>
      </c>
      <c r="F226" s="11">
        <v>5.8</v>
      </c>
    </row>
    <row r="227" spans="1:6" x14ac:dyDescent="0.2">
      <c r="A227" s="9">
        <v>41134</v>
      </c>
      <c r="B227" s="19">
        <v>434</v>
      </c>
      <c r="F227" s="11">
        <v>0.4</v>
      </c>
    </row>
    <row r="228" spans="1:6" x14ac:dyDescent="0.2">
      <c r="A228" s="9">
        <v>41135</v>
      </c>
      <c r="B228" s="19">
        <v>418</v>
      </c>
    </row>
    <row r="229" spans="1:6" x14ac:dyDescent="0.2">
      <c r="A229" s="9">
        <v>41136</v>
      </c>
      <c r="B229" s="19">
        <v>278</v>
      </c>
    </row>
    <row r="230" spans="1:6" x14ac:dyDescent="0.2">
      <c r="A230" s="9">
        <v>41137</v>
      </c>
      <c r="B230" s="19">
        <v>333</v>
      </c>
    </row>
    <row r="231" spans="1:6" x14ac:dyDescent="0.2">
      <c r="A231" s="9">
        <v>41138</v>
      </c>
      <c r="B231" s="19">
        <v>256</v>
      </c>
    </row>
    <row r="232" spans="1:6" x14ac:dyDescent="0.2">
      <c r="A232" s="9">
        <v>41139</v>
      </c>
      <c r="B232" s="19">
        <v>69</v>
      </c>
      <c r="F232" s="11">
        <v>0.5</v>
      </c>
    </row>
    <row r="233" spans="1:6" x14ac:dyDescent="0.2">
      <c r="A233" s="9">
        <v>41140</v>
      </c>
      <c r="B233" s="19">
        <v>38</v>
      </c>
    </row>
    <row r="234" spans="1:6" x14ac:dyDescent="0.2">
      <c r="A234" s="9">
        <v>41141</v>
      </c>
      <c r="B234" s="19">
        <v>292</v>
      </c>
    </row>
    <row r="235" spans="1:6" x14ac:dyDescent="0.2">
      <c r="A235" s="9">
        <v>41142</v>
      </c>
      <c r="B235" s="19">
        <v>340</v>
      </c>
    </row>
    <row r="236" spans="1:6" x14ac:dyDescent="0.2">
      <c r="A236" s="9">
        <v>41143</v>
      </c>
      <c r="B236" s="19">
        <v>256</v>
      </c>
    </row>
    <row r="237" spans="1:6" x14ac:dyDescent="0.2">
      <c r="A237" s="9">
        <v>41144</v>
      </c>
      <c r="B237" s="19">
        <v>224</v>
      </c>
    </row>
    <row r="238" spans="1:6" x14ac:dyDescent="0.2">
      <c r="A238" s="9">
        <v>41145</v>
      </c>
      <c r="B238" s="19">
        <v>232</v>
      </c>
      <c r="F238" s="11">
        <v>11.6</v>
      </c>
    </row>
    <row r="239" spans="1:6" x14ac:dyDescent="0.2">
      <c r="A239" s="9">
        <v>41146</v>
      </c>
      <c r="B239" s="19">
        <v>90</v>
      </c>
    </row>
    <row r="240" spans="1:6" x14ac:dyDescent="0.2">
      <c r="A240" s="9">
        <v>41147</v>
      </c>
      <c r="B240" s="19">
        <v>49</v>
      </c>
    </row>
    <row r="241" spans="1:6" x14ac:dyDescent="0.2">
      <c r="A241" s="9">
        <v>41148</v>
      </c>
      <c r="B241" s="19">
        <v>318</v>
      </c>
    </row>
    <row r="242" spans="1:6" x14ac:dyDescent="0.2">
      <c r="A242" s="9">
        <v>41149</v>
      </c>
      <c r="B242" s="19">
        <v>311</v>
      </c>
    </row>
    <row r="243" spans="1:6" x14ac:dyDescent="0.2">
      <c r="A243" s="9">
        <v>41150</v>
      </c>
      <c r="B243" s="19">
        <v>252</v>
      </c>
    </row>
    <row r="244" spans="1:6" x14ac:dyDescent="0.2">
      <c r="A244" s="9">
        <v>41151</v>
      </c>
      <c r="B244" s="19">
        <v>315</v>
      </c>
    </row>
    <row r="245" spans="1:6" x14ac:dyDescent="0.2">
      <c r="A245" s="9">
        <v>41152</v>
      </c>
      <c r="B245" s="19">
        <v>283</v>
      </c>
    </row>
    <row r="246" spans="1:6" x14ac:dyDescent="0.2">
      <c r="A246" s="9">
        <v>41153</v>
      </c>
      <c r="B246" s="19">
        <v>65</v>
      </c>
      <c r="F246" s="11">
        <v>0.5</v>
      </c>
    </row>
    <row r="247" spans="1:6" x14ac:dyDescent="0.2">
      <c r="A247" s="9">
        <v>41154</v>
      </c>
      <c r="B247" s="19">
        <v>33</v>
      </c>
      <c r="F247" s="11">
        <v>1.2</v>
      </c>
    </row>
    <row r="248" spans="1:6" x14ac:dyDescent="0.2">
      <c r="A248" s="9">
        <v>41155</v>
      </c>
      <c r="B248" s="19">
        <v>306</v>
      </c>
    </row>
    <row r="249" spans="1:6" x14ac:dyDescent="0.2">
      <c r="A249" s="9">
        <v>41156</v>
      </c>
      <c r="B249" s="19">
        <v>354</v>
      </c>
    </row>
    <row r="250" spans="1:6" x14ac:dyDescent="0.2">
      <c r="A250" s="9">
        <v>41157</v>
      </c>
      <c r="B250" s="19">
        <v>250</v>
      </c>
    </row>
    <row r="251" spans="1:6" x14ac:dyDescent="0.2">
      <c r="A251" s="9">
        <v>41158</v>
      </c>
      <c r="B251" s="19">
        <v>264</v>
      </c>
    </row>
    <row r="252" spans="1:6" x14ac:dyDescent="0.2">
      <c r="A252" s="9">
        <v>41159</v>
      </c>
      <c r="B252" s="19">
        <v>217</v>
      </c>
    </row>
    <row r="253" spans="1:6" x14ac:dyDescent="0.2">
      <c r="A253" s="9">
        <v>41160</v>
      </c>
      <c r="B253" s="19">
        <v>78</v>
      </c>
    </row>
    <row r="254" spans="1:6" x14ac:dyDescent="0.2">
      <c r="A254" s="9">
        <v>41161</v>
      </c>
      <c r="B254" s="19">
        <v>30</v>
      </c>
    </row>
    <row r="255" spans="1:6" x14ac:dyDescent="0.2">
      <c r="A255" s="9">
        <v>41162</v>
      </c>
      <c r="B255" s="19">
        <v>254</v>
      </c>
    </row>
    <row r="256" spans="1:6" x14ac:dyDescent="0.2">
      <c r="A256" s="9">
        <v>41163</v>
      </c>
      <c r="B256" s="19">
        <v>231</v>
      </c>
    </row>
    <row r="257" spans="1:6" x14ac:dyDescent="0.2">
      <c r="A257" s="9">
        <v>41164</v>
      </c>
      <c r="B257" s="19">
        <v>220</v>
      </c>
    </row>
    <row r="258" spans="1:6" x14ac:dyDescent="0.2">
      <c r="A258" s="9">
        <v>41165</v>
      </c>
      <c r="B258" s="19">
        <v>194</v>
      </c>
    </row>
    <row r="259" spans="1:6" x14ac:dyDescent="0.2">
      <c r="A259" s="9">
        <v>41166</v>
      </c>
      <c r="B259" s="19">
        <v>150</v>
      </c>
      <c r="F259" s="11">
        <v>4.4000000000000004</v>
      </c>
    </row>
    <row r="260" spans="1:6" x14ac:dyDescent="0.2">
      <c r="A260" s="9">
        <v>41167</v>
      </c>
      <c r="B260" s="19">
        <v>50</v>
      </c>
    </row>
    <row r="261" spans="1:6" x14ac:dyDescent="0.2">
      <c r="A261" s="9">
        <v>41168</v>
      </c>
      <c r="B261" s="19">
        <v>24</v>
      </c>
    </row>
    <row r="262" spans="1:6" x14ac:dyDescent="0.2">
      <c r="A262" s="9">
        <v>41169</v>
      </c>
      <c r="B262" s="19">
        <v>214</v>
      </c>
    </row>
    <row r="263" spans="1:6" x14ac:dyDescent="0.2">
      <c r="A263" s="9">
        <v>41170</v>
      </c>
      <c r="B263" s="19">
        <v>184</v>
      </c>
      <c r="F263" s="11">
        <v>0.2</v>
      </c>
    </row>
    <row r="264" spans="1:6" x14ac:dyDescent="0.2">
      <c r="A264" s="9">
        <v>41171</v>
      </c>
      <c r="B264" s="19">
        <v>188</v>
      </c>
      <c r="F264" s="11">
        <v>3.6</v>
      </c>
    </row>
    <row r="265" spans="1:6" x14ac:dyDescent="0.2">
      <c r="A265" s="9">
        <v>41172</v>
      </c>
      <c r="B265" s="19">
        <v>181</v>
      </c>
    </row>
    <row r="266" spans="1:6" x14ac:dyDescent="0.2">
      <c r="A266" s="9">
        <v>41173</v>
      </c>
      <c r="B266" s="19">
        <v>147</v>
      </c>
    </row>
    <row r="267" spans="1:6" x14ac:dyDescent="0.2">
      <c r="A267" s="9">
        <v>41174</v>
      </c>
      <c r="B267" s="19">
        <v>65</v>
      </c>
      <c r="F267" s="11">
        <v>1</v>
      </c>
    </row>
    <row r="268" spans="1:6" x14ac:dyDescent="0.2">
      <c r="A268" s="9">
        <v>41175</v>
      </c>
      <c r="B268" s="19">
        <v>29</v>
      </c>
    </row>
    <row r="269" spans="1:6" x14ac:dyDescent="0.2">
      <c r="A269" s="9">
        <v>41176</v>
      </c>
      <c r="B269" s="19">
        <v>333</v>
      </c>
      <c r="F269" s="11">
        <v>0.1</v>
      </c>
    </row>
    <row r="270" spans="1:6" x14ac:dyDescent="0.2">
      <c r="A270" s="9">
        <v>41177</v>
      </c>
      <c r="B270" s="19">
        <v>253</v>
      </c>
      <c r="F270" s="11">
        <v>0.6</v>
      </c>
    </row>
    <row r="271" spans="1:6" x14ac:dyDescent="0.2">
      <c r="A271" s="9">
        <v>41178</v>
      </c>
      <c r="B271" s="19">
        <v>131</v>
      </c>
    </row>
    <row r="272" spans="1:6" x14ac:dyDescent="0.2">
      <c r="A272" s="9">
        <v>41179</v>
      </c>
      <c r="B272" s="19">
        <v>211</v>
      </c>
    </row>
    <row r="273" spans="1:6" x14ac:dyDescent="0.2">
      <c r="A273" s="9">
        <v>41180</v>
      </c>
      <c r="B273" s="19">
        <v>127</v>
      </c>
    </row>
    <row r="274" spans="1:6" x14ac:dyDescent="0.2">
      <c r="A274" s="9">
        <v>41181</v>
      </c>
      <c r="B274" s="19">
        <v>35</v>
      </c>
      <c r="F274" s="11">
        <v>13.6</v>
      </c>
    </row>
    <row r="275" spans="1:6" x14ac:dyDescent="0.2">
      <c r="A275" s="9">
        <v>41182</v>
      </c>
      <c r="B275" s="19">
        <v>13</v>
      </c>
    </row>
    <row r="276" spans="1:6" x14ac:dyDescent="0.2">
      <c r="A276" s="9">
        <v>41183</v>
      </c>
      <c r="B276" s="19">
        <v>250</v>
      </c>
    </row>
    <row r="277" spans="1:6" x14ac:dyDescent="0.2">
      <c r="A277" s="9">
        <v>41184</v>
      </c>
      <c r="B277" s="19">
        <v>123</v>
      </c>
      <c r="F277" s="11">
        <v>0.8</v>
      </c>
    </row>
    <row r="278" spans="1:6" x14ac:dyDescent="0.2">
      <c r="A278" s="9">
        <v>41185</v>
      </c>
      <c r="B278" s="19">
        <v>232</v>
      </c>
    </row>
    <row r="279" spans="1:6" x14ac:dyDescent="0.2">
      <c r="A279" s="9">
        <v>41186</v>
      </c>
      <c r="B279" s="19">
        <v>100</v>
      </c>
    </row>
    <row r="280" spans="1:6" x14ac:dyDescent="0.2">
      <c r="A280" s="9">
        <v>41187</v>
      </c>
      <c r="B280" s="19">
        <v>163</v>
      </c>
    </row>
    <row r="281" spans="1:6" x14ac:dyDescent="0.2">
      <c r="A281" s="9">
        <v>41188</v>
      </c>
      <c r="B281" s="19">
        <v>53</v>
      </c>
      <c r="F281" s="11">
        <v>1</v>
      </c>
    </row>
    <row r="282" spans="1:6" x14ac:dyDescent="0.2">
      <c r="A282" s="9">
        <v>41189</v>
      </c>
      <c r="B282" s="19">
        <v>13</v>
      </c>
      <c r="F282" s="11">
        <v>3.4</v>
      </c>
    </row>
    <row r="283" spans="1:6" x14ac:dyDescent="0.2">
      <c r="A283" s="9">
        <v>41190</v>
      </c>
      <c r="B283" s="19">
        <v>275</v>
      </c>
    </row>
    <row r="284" spans="1:6" x14ac:dyDescent="0.2">
      <c r="A284" s="9">
        <v>41191</v>
      </c>
      <c r="B284" s="19">
        <v>157</v>
      </c>
      <c r="F284" s="11">
        <v>1.6</v>
      </c>
    </row>
    <row r="285" spans="1:6" x14ac:dyDescent="0.2">
      <c r="A285" s="9">
        <v>41192</v>
      </c>
      <c r="B285" s="19">
        <v>125</v>
      </c>
    </row>
    <row r="286" spans="1:6" x14ac:dyDescent="0.2">
      <c r="A286" s="9">
        <v>41193</v>
      </c>
      <c r="B286" s="19">
        <v>165</v>
      </c>
      <c r="F286" s="11">
        <v>9.4</v>
      </c>
    </row>
    <row r="287" spans="1:6" x14ac:dyDescent="0.2">
      <c r="A287" s="9">
        <v>41194</v>
      </c>
      <c r="B287" s="19">
        <v>104</v>
      </c>
      <c r="F287" s="11">
        <v>0.2</v>
      </c>
    </row>
    <row r="288" spans="1:6" x14ac:dyDescent="0.2">
      <c r="A288" s="9">
        <v>41195</v>
      </c>
      <c r="B288" s="19">
        <v>29</v>
      </c>
      <c r="F288" s="11">
        <v>8.1999999999999993</v>
      </c>
    </row>
    <row r="289" spans="1:6" x14ac:dyDescent="0.2">
      <c r="A289" s="9">
        <v>41196</v>
      </c>
      <c r="B289" s="19">
        <v>15</v>
      </c>
    </row>
    <row r="290" spans="1:6" x14ac:dyDescent="0.2">
      <c r="A290" s="9">
        <v>41197</v>
      </c>
      <c r="B290" s="19">
        <v>263</v>
      </c>
    </row>
    <row r="291" spans="1:6" x14ac:dyDescent="0.2">
      <c r="A291" s="9">
        <v>41198</v>
      </c>
      <c r="B291" s="19">
        <v>236</v>
      </c>
    </row>
    <row r="292" spans="1:6" x14ac:dyDescent="0.2">
      <c r="A292" s="9">
        <v>41199</v>
      </c>
      <c r="B292" s="19">
        <v>116</v>
      </c>
    </row>
    <row r="293" spans="1:6" x14ac:dyDescent="0.2">
      <c r="A293" s="9">
        <v>41200</v>
      </c>
      <c r="B293" s="19">
        <v>179</v>
      </c>
    </row>
    <row r="294" spans="1:6" x14ac:dyDescent="0.2">
      <c r="A294" s="9">
        <v>41201</v>
      </c>
      <c r="B294" s="19">
        <v>135</v>
      </c>
    </row>
    <row r="295" spans="1:6" x14ac:dyDescent="0.2">
      <c r="A295" s="9">
        <v>41202</v>
      </c>
      <c r="B295" s="19">
        <v>41</v>
      </c>
    </row>
    <row r="296" spans="1:6" x14ac:dyDescent="0.2">
      <c r="A296" s="9">
        <v>41203</v>
      </c>
      <c r="B296" s="19">
        <v>25</v>
      </c>
    </row>
    <row r="297" spans="1:6" x14ac:dyDescent="0.2">
      <c r="A297" s="9">
        <v>41204</v>
      </c>
      <c r="B297" s="19">
        <v>251</v>
      </c>
    </row>
    <row r="298" spans="1:6" x14ac:dyDescent="0.2">
      <c r="A298" s="9">
        <v>41205</v>
      </c>
      <c r="B298" s="19">
        <v>293</v>
      </c>
      <c r="F298" s="11">
        <v>6.8</v>
      </c>
    </row>
    <row r="299" spans="1:6" x14ac:dyDescent="0.2">
      <c r="A299" s="9">
        <v>41206</v>
      </c>
      <c r="B299" s="19">
        <v>141</v>
      </c>
    </row>
    <row r="300" spans="1:6" x14ac:dyDescent="0.2">
      <c r="A300" s="9">
        <v>41207</v>
      </c>
      <c r="B300" s="19">
        <v>140</v>
      </c>
    </row>
    <row r="301" spans="1:6" x14ac:dyDescent="0.2">
      <c r="A301" s="9">
        <v>41208</v>
      </c>
      <c r="B301" s="19">
        <v>128</v>
      </c>
    </row>
    <row r="302" spans="1:6" x14ac:dyDescent="0.2">
      <c r="A302" s="9">
        <v>41209</v>
      </c>
      <c r="B302" s="19">
        <v>51</v>
      </c>
    </row>
    <row r="303" spans="1:6" x14ac:dyDescent="0.2">
      <c r="A303" s="9">
        <v>41210</v>
      </c>
      <c r="B303" s="19">
        <v>18</v>
      </c>
    </row>
    <row r="304" spans="1:6" x14ac:dyDescent="0.2">
      <c r="A304" s="9">
        <v>41211</v>
      </c>
      <c r="B304" s="19">
        <v>199</v>
      </c>
    </row>
    <row r="305" spans="1:6" x14ac:dyDescent="0.2">
      <c r="A305" s="9">
        <v>41212</v>
      </c>
      <c r="B305" s="19">
        <v>347</v>
      </c>
    </row>
    <row r="306" spans="1:6" x14ac:dyDescent="0.2">
      <c r="A306" s="9">
        <v>41213</v>
      </c>
      <c r="B306" s="19">
        <v>244</v>
      </c>
    </row>
    <row r="307" spans="1:6" x14ac:dyDescent="0.2">
      <c r="A307" s="9">
        <v>41214</v>
      </c>
      <c r="B307" s="19">
        <v>193</v>
      </c>
    </row>
    <row r="308" spans="1:6" x14ac:dyDescent="0.2">
      <c r="A308" s="9">
        <v>41215</v>
      </c>
      <c r="B308" s="19">
        <v>217</v>
      </c>
    </row>
    <row r="309" spans="1:6" x14ac:dyDescent="0.2">
      <c r="A309" s="9">
        <v>41216</v>
      </c>
      <c r="B309" s="19">
        <v>64</v>
      </c>
      <c r="F309" s="11">
        <v>1.8</v>
      </c>
    </row>
    <row r="310" spans="1:6" x14ac:dyDescent="0.2">
      <c r="A310" s="9">
        <v>41217</v>
      </c>
      <c r="B310" s="19">
        <v>41</v>
      </c>
      <c r="F310" s="11">
        <v>1.2</v>
      </c>
    </row>
    <row r="311" spans="1:6" x14ac:dyDescent="0.2">
      <c r="A311" s="9">
        <v>41218</v>
      </c>
      <c r="B311" s="19">
        <v>260</v>
      </c>
    </row>
    <row r="312" spans="1:6" x14ac:dyDescent="0.2">
      <c r="A312" s="9">
        <v>41219</v>
      </c>
      <c r="B312" s="19">
        <v>226</v>
      </c>
    </row>
    <row r="313" spans="1:6" x14ac:dyDescent="0.2">
      <c r="A313" s="9">
        <v>41220</v>
      </c>
      <c r="B313" s="19">
        <v>271</v>
      </c>
    </row>
    <row r="314" spans="1:6" x14ac:dyDescent="0.2">
      <c r="A314" s="9">
        <v>41221</v>
      </c>
      <c r="B314" s="19">
        <v>286</v>
      </c>
      <c r="F314" s="11">
        <v>0.5</v>
      </c>
    </row>
    <row r="315" spans="1:6" x14ac:dyDescent="0.2">
      <c r="A315" s="9">
        <v>41222</v>
      </c>
      <c r="B315" s="19">
        <v>172</v>
      </c>
      <c r="F315" s="11">
        <v>7.8</v>
      </c>
    </row>
    <row r="316" spans="1:6" x14ac:dyDescent="0.2">
      <c r="A316" s="9">
        <v>41223</v>
      </c>
      <c r="B316" s="19">
        <v>78</v>
      </c>
      <c r="F316" s="11">
        <v>15.4</v>
      </c>
    </row>
    <row r="317" spans="1:6" x14ac:dyDescent="0.2">
      <c r="A317" s="9">
        <v>41224</v>
      </c>
      <c r="B317" s="19">
        <v>44</v>
      </c>
    </row>
    <row r="318" spans="1:6" x14ac:dyDescent="0.2">
      <c r="A318" s="9">
        <v>41225</v>
      </c>
      <c r="B318" s="19">
        <v>331</v>
      </c>
    </row>
    <row r="319" spans="1:6" x14ac:dyDescent="0.2">
      <c r="A319" s="9">
        <v>41226</v>
      </c>
      <c r="B319" s="19">
        <v>389</v>
      </c>
    </row>
    <row r="320" spans="1:6" x14ac:dyDescent="0.2">
      <c r="A320" s="9">
        <v>41227</v>
      </c>
      <c r="B320" s="19">
        <v>267</v>
      </c>
      <c r="F320" s="11">
        <v>0.2</v>
      </c>
    </row>
    <row r="321" spans="1:6" x14ac:dyDescent="0.2">
      <c r="A321" s="9">
        <v>41228</v>
      </c>
      <c r="B321" s="19">
        <v>235</v>
      </c>
      <c r="F321" s="11">
        <v>0.2</v>
      </c>
    </row>
    <row r="322" spans="1:6" x14ac:dyDescent="0.2">
      <c r="A322" s="9">
        <v>41229</v>
      </c>
      <c r="B322" s="19">
        <v>255</v>
      </c>
    </row>
    <row r="323" spans="1:6" x14ac:dyDescent="0.2">
      <c r="A323" s="9">
        <v>41230</v>
      </c>
      <c r="B323" s="19">
        <v>61</v>
      </c>
      <c r="F323" s="11">
        <v>9.4</v>
      </c>
    </row>
    <row r="324" spans="1:6" x14ac:dyDescent="0.2">
      <c r="A324" s="9">
        <v>41231</v>
      </c>
      <c r="B324" s="19">
        <v>42</v>
      </c>
    </row>
    <row r="325" spans="1:6" x14ac:dyDescent="0.2">
      <c r="A325" s="9">
        <v>41232</v>
      </c>
      <c r="B325" s="19">
        <v>353</v>
      </c>
    </row>
    <row r="326" spans="1:6" x14ac:dyDescent="0.2">
      <c r="A326" s="9">
        <v>41233</v>
      </c>
      <c r="B326" s="19">
        <v>431</v>
      </c>
      <c r="F326" s="11">
        <v>2</v>
      </c>
    </row>
    <row r="327" spans="1:6" x14ac:dyDescent="0.2">
      <c r="A327" s="9">
        <v>41234</v>
      </c>
      <c r="B327" s="19">
        <v>372</v>
      </c>
      <c r="F327" s="11">
        <v>0.4</v>
      </c>
    </row>
    <row r="328" spans="1:6" x14ac:dyDescent="0.2">
      <c r="A328" s="9">
        <v>41235</v>
      </c>
      <c r="B328" s="19">
        <v>254</v>
      </c>
    </row>
    <row r="329" spans="1:6" x14ac:dyDescent="0.2">
      <c r="A329" s="9">
        <v>41236</v>
      </c>
      <c r="B329" s="19">
        <v>295</v>
      </c>
    </row>
    <row r="330" spans="1:6" x14ac:dyDescent="0.2">
      <c r="A330" s="9">
        <v>41237</v>
      </c>
      <c r="B330" s="19">
        <v>97</v>
      </c>
    </row>
    <row r="331" spans="1:6" x14ac:dyDescent="0.2">
      <c r="A331" s="9">
        <v>41238</v>
      </c>
      <c r="B331" s="19">
        <v>31</v>
      </c>
    </row>
    <row r="332" spans="1:6" x14ac:dyDescent="0.2">
      <c r="A332" s="9">
        <v>41239</v>
      </c>
      <c r="B332" s="19">
        <v>497</v>
      </c>
    </row>
    <row r="333" spans="1:6" x14ac:dyDescent="0.2">
      <c r="A333" s="9">
        <v>41240</v>
      </c>
      <c r="B333" s="19">
        <v>330</v>
      </c>
      <c r="F333" s="11">
        <v>2.2000000000000002</v>
      </c>
    </row>
    <row r="334" spans="1:6" x14ac:dyDescent="0.2">
      <c r="A334" s="9">
        <v>41241</v>
      </c>
      <c r="B334" s="19">
        <v>322</v>
      </c>
      <c r="F334" s="11">
        <v>12.2</v>
      </c>
    </row>
    <row r="335" spans="1:6" x14ac:dyDescent="0.2">
      <c r="A335" s="9">
        <v>41242</v>
      </c>
      <c r="B335" s="19">
        <v>217</v>
      </c>
      <c r="F335" s="11">
        <v>0.1</v>
      </c>
    </row>
    <row r="336" spans="1:6" x14ac:dyDescent="0.2">
      <c r="A336" s="9">
        <v>41243</v>
      </c>
      <c r="B336" s="19">
        <v>292</v>
      </c>
    </row>
    <row r="337" spans="1:6" x14ac:dyDescent="0.2">
      <c r="A337" s="9">
        <v>41244</v>
      </c>
      <c r="B337" s="19">
        <v>57</v>
      </c>
      <c r="F337" s="11">
        <v>2</v>
      </c>
    </row>
    <row r="338" spans="1:6" x14ac:dyDescent="0.2">
      <c r="A338" s="9">
        <v>41245</v>
      </c>
      <c r="B338" s="19">
        <v>39</v>
      </c>
      <c r="F338" s="11">
        <v>2.4</v>
      </c>
    </row>
    <row r="339" spans="1:6" x14ac:dyDescent="0.2">
      <c r="A339" s="9">
        <v>41246</v>
      </c>
      <c r="B339" s="19">
        <v>347</v>
      </c>
      <c r="F339" s="11">
        <v>2</v>
      </c>
    </row>
    <row r="340" spans="1:6" x14ac:dyDescent="0.2">
      <c r="A340" s="9">
        <v>41247</v>
      </c>
      <c r="B340" s="19">
        <v>343</v>
      </c>
      <c r="F340" s="11">
        <v>2.4</v>
      </c>
    </row>
    <row r="341" spans="1:6" x14ac:dyDescent="0.2">
      <c r="A341" s="9">
        <v>41248</v>
      </c>
      <c r="B341" s="19">
        <v>340</v>
      </c>
    </row>
    <row r="342" spans="1:6" x14ac:dyDescent="0.2">
      <c r="A342" s="9">
        <v>41249</v>
      </c>
      <c r="B342" s="19">
        <v>255</v>
      </c>
    </row>
    <row r="343" spans="1:6" x14ac:dyDescent="0.2">
      <c r="A343" s="9">
        <v>41250</v>
      </c>
      <c r="B343" s="19">
        <v>205</v>
      </c>
    </row>
    <row r="344" spans="1:6" x14ac:dyDescent="0.2">
      <c r="A344" s="9">
        <v>41251</v>
      </c>
      <c r="B344" s="19">
        <v>80</v>
      </c>
    </row>
    <row r="345" spans="1:6" x14ac:dyDescent="0.2">
      <c r="A345" s="9">
        <v>41252</v>
      </c>
      <c r="B345" s="19">
        <v>43</v>
      </c>
    </row>
    <row r="346" spans="1:6" x14ac:dyDescent="0.2">
      <c r="A346" s="9">
        <v>41253</v>
      </c>
      <c r="B346" s="19">
        <v>260</v>
      </c>
      <c r="F346" s="11">
        <v>1.4</v>
      </c>
    </row>
    <row r="347" spans="1:6" x14ac:dyDescent="0.2">
      <c r="A347" s="9">
        <v>41254</v>
      </c>
      <c r="B347" s="19">
        <v>226</v>
      </c>
      <c r="F347" s="11">
        <v>0.4</v>
      </c>
    </row>
    <row r="348" spans="1:6" x14ac:dyDescent="0.2">
      <c r="A348" s="9">
        <v>41255</v>
      </c>
      <c r="B348" s="19">
        <v>250</v>
      </c>
      <c r="F348" s="11">
        <v>4</v>
      </c>
    </row>
    <row r="349" spans="1:6" x14ac:dyDescent="0.2">
      <c r="A349" s="9">
        <v>41256</v>
      </c>
      <c r="B349" s="19">
        <v>270</v>
      </c>
    </row>
    <row r="350" spans="1:6" x14ac:dyDescent="0.2">
      <c r="A350" s="9">
        <v>41257</v>
      </c>
      <c r="B350" s="19">
        <v>185</v>
      </c>
    </row>
    <row r="351" spans="1:6" x14ac:dyDescent="0.2">
      <c r="A351" s="9">
        <v>41258</v>
      </c>
      <c r="B351" s="19">
        <v>44</v>
      </c>
    </row>
    <row r="352" spans="1:6" x14ac:dyDescent="0.2">
      <c r="A352" s="9">
        <v>41259</v>
      </c>
      <c r="B352" s="19">
        <v>30</v>
      </c>
    </row>
    <row r="353" spans="1:7" x14ac:dyDescent="0.2">
      <c r="A353" s="9">
        <v>41260</v>
      </c>
      <c r="B353" s="19">
        <v>367</v>
      </c>
    </row>
    <row r="354" spans="1:7" x14ac:dyDescent="0.2">
      <c r="A354" s="9">
        <v>41261</v>
      </c>
      <c r="B354" s="19">
        <v>311</v>
      </c>
    </row>
    <row r="355" spans="1:7" x14ac:dyDescent="0.2">
      <c r="A355" s="9">
        <v>41262</v>
      </c>
      <c r="B355" s="19">
        <v>169</v>
      </c>
    </row>
    <row r="356" spans="1:7" x14ac:dyDescent="0.2">
      <c r="A356" s="9">
        <v>41263</v>
      </c>
      <c r="B356" s="19">
        <v>194</v>
      </c>
    </row>
    <row r="357" spans="1:7" x14ac:dyDescent="0.2">
      <c r="A357" s="9">
        <v>41264</v>
      </c>
      <c r="B357" s="19">
        <v>165</v>
      </c>
    </row>
    <row r="358" spans="1:7" s="6" customFormat="1" x14ac:dyDescent="0.2">
      <c r="A358" s="9">
        <v>41265</v>
      </c>
      <c r="B358" s="19">
        <v>67</v>
      </c>
      <c r="C358" s="11"/>
      <c r="D358" s="11"/>
      <c r="E358" s="11"/>
      <c r="F358" s="11"/>
      <c r="G358" s="4"/>
    </row>
    <row r="359" spans="1:7" s="6" customFormat="1" x14ac:dyDescent="0.2">
      <c r="A359" s="9">
        <v>41266</v>
      </c>
      <c r="B359" s="19">
        <v>30</v>
      </c>
      <c r="C359" s="11"/>
      <c r="D359" s="11"/>
      <c r="E359" s="11"/>
      <c r="F359" s="11"/>
      <c r="G359" s="4"/>
    </row>
    <row r="360" spans="1:7" s="6" customFormat="1" x14ac:dyDescent="0.2">
      <c r="A360" s="9">
        <v>41267</v>
      </c>
      <c r="B360" s="19">
        <v>328</v>
      </c>
      <c r="C360" s="11"/>
      <c r="D360" s="11"/>
      <c r="E360" s="11"/>
      <c r="F360" s="11"/>
      <c r="G360" s="4"/>
    </row>
    <row r="361" spans="1:7" s="6" customFormat="1" x14ac:dyDescent="0.2">
      <c r="A361" s="9">
        <v>41268</v>
      </c>
      <c r="B361" s="19">
        <v>224</v>
      </c>
      <c r="C361" s="11"/>
      <c r="D361" s="11"/>
      <c r="E361" s="11"/>
      <c r="F361" s="11">
        <v>12</v>
      </c>
      <c r="G361" s="4"/>
    </row>
    <row r="362" spans="1:7" s="6" customFormat="1" x14ac:dyDescent="0.2">
      <c r="A362" s="9">
        <v>41269</v>
      </c>
      <c r="B362" s="19">
        <v>239</v>
      </c>
      <c r="C362" s="11"/>
      <c r="D362" s="11"/>
      <c r="E362" s="11"/>
      <c r="F362" s="11">
        <v>2</v>
      </c>
      <c r="G362" s="4"/>
    </row>
    <row r="363" spans="1:7" s="6" customFormat="1" x14ac:dyDescent="0.2">
      <c r="A363" s="9">
        <v>41270</v>
      </c>
      <c r="B363" s="19">
        <v>96</v>
      </c>
      <c r="C363" s="11"/>
      <c r="D363" s="11"/>
      <c r="E363" s="11"/>
      <c r="F363" s="11"/>
      <c r="G363" s="4"/>
    </row>
    <row r="364" spans="1:7" s="6" customFormat="1" x14ac:dyDescent="0.2">
      <c r="A364" s="9">
        <v>41271</v>
      </c>
      <c r="B364" s="19">
        <v>140</v>
      </c>
      <c r="C364" s="11"/>
      <c r="D364" s="11"/>
      <c r="E364" s="11"/>
      <c r="F364" s="11"/>
      <c r="G364" s="4"/>
    </row>
    <row r="365" spans="1:7" s="6" customFormat="1" x14ac:dyDescent="0.2">
      <c r="A365" s="9">
        <v>41272</v>
      </c>
      <c r="B365" s="19">
        <v>39</v>
      </c>
      <c r="C365" s="11"/>
      <c r="D365" s="11"/>
      <c r="E365" s="11"/>
      <c r="F365" s="11"/>
      <c r="G365" s="4"/>
    </row>
    <row r="366" spans="1:7" s="6" customFormat="1" x14ac:dyDescent="0.2">
      <c r="A366" s="9">
        <v>41273</v>
      </c>
      <c r="B366" s="19">
        <v>30</v>
      </c>
      <c r="C366" s="11"/>
      <c r="D366" s="11"/>
      <c r="E366" s="11"/>
      <c r="F366" s="11">
        <v>0.5</v>
      </c>
      <c r="G366" s="4"/>
    </row>
    <row r="367" spans="1:7" s="6" customFormat="1" x14ac:dyDescent="0.2">
      <c r="A367" s="9">
        <v>41274</v>
      </c>
      <c r="B367" s="19">
        <v>123</v>
      </c>
      <c r="C367" s="11"/>
      <c r="D367" s="11"/>
      <c r="E367" s="11"/>
      <c r="F367" s="11"/>
      <c r="G367" s="4"/>
    </row>
    <row r="368" spans="1:7" x14ac:dyDescent="0.2">
      <c r="A368" s="9">
        <v>41275</v>
      </c>
      <c r="B368" s="19">
        <v>126</v>
      </c>
    </row>
    <row r="369" spans="1:6" x14ac:dyDescent="0.2">
      <c r="A369" s="9">
        <v>41276</v>
      </c>
      <c r="B369" s="19">
        <v>141</v>
      </c>
    </row>
    <row r="370" spans="1:6" x14ac:dyDescent="0.2">
      <c r="A370" s="9">
        <v>41277</v>
      </c>
      <c r="B370" s="19">
        <v>86</v>
      </c>
    </row>
    <row r="371" spans="1:6" x14ac:dyDescent="0.2">
      <c r="A371" s="9">
        <v>41278</v>
      </c>
      <c r="B371" s="19">
        <v>109</v>
      </c>
    </row>
    <row r="372" spans="1:6" x14ac:dyDescent="0.2">
      <c r="A372" s="9">
        <v>41279</v>
      </c>
      <c r="B372" s="19">
        <v>45</v>
      </c>
    </row>
    <row r="373" spans="1:6" x14ac:dyDescent="0.2">
      <c r="A373" s="9">
        <v>41280</v>
      </c>
      <c r="B373" s="19">
        <v>11</v>
      </c>
    </row>
    <row r="374" spans="1:6" x14ac:dyDescent="0.2">
      <c r="A374" s="9">
        <v>41281</v>
      </c>
      <c r="B374" s="19">
        <v>143</v>
      </c>
    </row>
    <row r="375" spans="1:6" x14ac:dyDescent="0.2">
      <c r="A375" s="9">
        <v>41282</v>
      </c>
      <c r="B375" s="19">
        <v>182</v>
      </c>
    </row>
    <row r="376" spans="1:6" x14ac:dyDescent="0.2">
      <c r="A376" s="9">
        <v>41283</v>
      </c>
      <c r="B376" s="19">
        <v>202</v>
      </c>
    </row>
    <row r="377" spans="1:6" x14ac:dyDescent="0.2">
      <c r="A377" s="9">
        <v>41284</v>
      </c>
      <c r="B377" s="19">
        <v>78</v>
      </c>
    </row>
    <row r="378" spans="1:6" x14ac:dyDescent="0.2">
      <c r="A378" s="9">
        <v>41285</v>
      </c>
      <c r="B378" s="19">
        <v>157</v>
      </c>
    </row>
    <row r="379" spans="1:6" x14ac:dyDescent="0.2">
      <c r="A379" s="9">
        <v>41286</v>
      </c>
      <c r="B379" s="19">
        <v>52</v>
      </c>
    </row>
    <row r="380" spans="1:6" x14ac:dyDescent="0.2">
      <c r="A380" s="9">
        <v>41287</v>
      </c>
      <c r="B380" s="19">
        <v>12</v>
      </c>
    </row>
    <row r="381" spans="1:6" x14ac:dyDescent="0.2">
      <c r="A381" s="9">
        <v>41288</v>
      </c>
      <c r="B381" s="19">
        <v>158</v>
      </c>
      <c r="F381" s="11">
        <v>9.5</v>
      </c>
    </row>
    <row r="382" spans="1:6" x14ac:dyDescent="0.2">
      <c r="A382" s="9">
        <v>41289</v>
      </c>
      <c r="B382" s="19">
        <v>124</v>
      </c>
    </row>
    <row r="383" spans="1:6" x14ac:dyDescent="0.2">
      <c r="A383" s="9">
        <v>41290</v>
      </c>
      <c r="B383" s="19">
        <v>181</v>
      </c>
    </row>
    <row r="384" spans="1:6" x14ac:dyDescent="0.2">
      <c r="A384" s="9">
        <v>41291</v>
      </c>
      <c r="B384" s="19">
        <v>99</v>
      </c>
    </row>
    <row r="385" spans="1:6" x14ac:dyDescent="0.2">
      <c r="A385" s="9">
        <v>41292</v>
      </c>
      <c r="B385" s="19">
        <v>191</v>
      </c>
    </row>
    <row r="386" spans="1:6" x14ac:dyDescent="0.2">
      <c r="A386" s="9">
        <v>41293</v>
      </c>
      <c r="B386" s="19">
        <v>54</v>
      </c>
      <c r="F386" s="11">
        <v>0.4</v>
      </c>
    </row>
    <row r="387" spans="1:6" x14ac:dyDescent="0.2">
      <c r="A387" s="9">
        <v>41294</v>
      </c>
      <c r="B387" s="19">
        <v>22</v>
      </c>
    </row>
    <row r="388" spans="1:6" x14ac:dyDescent="0.2">
      <c r="A388" s="9">
        <v>41295</v>
      </c>
      <c r="B388" s="19">
        <v>208</v>
      </c>
      <c r="F388" s="11">
        <v>0.5</v>
      </c>
    </row>
    <row r="389" spans="1:6" x14ac:dyDescent="0.2">
      <c r="A389" s="9">
        <v>41296</v>
      </c>
      <c r="B389" s="19">
        <v>132</v>
      </c>
      <c r="F389" s="11">
        <v>0.2</v>
      </c>
    </row>
    <row r="390" spans="1:6" x14ac:dyDescent="0.2">
      <c r="A390" s="9">
        <v>41297</v>
      </c>
      <c r="B390" s="19">
        <v>279</v>
      </c>
    </row>
    <row r="391" spans="1:6" x14ac:dyDescent="0.2">
      <c r="A391" s="9">
        <v>41298</v>
      </c>
      <c r="B391" s="19">
        <v>143</v>
      </c>
    </row>
    <row r="392" spans="1:6" x14ac:dyDescent="0.2">
      <c r="A392" s="9">
        <v>41299</v>
      </c>
      <c r="B392" s="19">
        <v>115</v>
      </c>
    </row>
    <row r="393" spans="1:6" x14ac:dyDescent="0.2">
      <c r="A393" s="9">
        <v>41300</v>
      </c>
      <c r="B393" s="19">
        <v>72</v>
      </c>
    </row>
    <row r="394" spans="1:6" x14ac:dyDescent="0.2">
      <c r="A394" s="9">
        <v>41301</v>
      </c>
      <c r="B394" s="19">
        <v>19</v>
      </c>
      <c r="F394" s="11">
        <v>19.8</v>
      </c>
    </row>
    <row r="395" spans="1:6" x14ac:dyDescent="0.2">
      <c r="A395" s="9">
        <v>41302</v>
      </c>
      <c r="B395" s="19">
        <v>271</v>
      </c>
      <c r="F395" s="11">
        <v>19</v>
      </c>
    </row>
    <row r="396" spans="1:6" x14ac:dyDescent="0.2">
      <c r="A396" s="9">
        <v>41303</v>
      </c>
      <c r="B396" s="19">
        <v>259</v>
      </c>
      <c r="F396" s="11">
        <v>135.80000000000001</v>
      </c>
    </row>
    <row r="397" spans="1:6" x14ac:dyDescent="0.2">
      <c r="A397" s="9">
        <v>41304</v>
      </c>
      <c r="B397" s="19">
        <v>200</v>
      </c>
      <c r="F397" s="11">
        <v>0.8</v>
      </c>
    </row>
    <row r="398" spans="1:6" x14ac:dyDescent="0.2">
      <c r="A398" s="9">
        <v>41305</v>
      </c>
      <c r="B398" s="19">
        <v>169</v>
      </c>
    </row>
    <row r="399" spans="1:6" x14ac:dyDescent="0.2">
      <c r="A399" s="9">
        <v>41306</v>
      </c>
      <c r="B399" s="19">
        <v>134</v>
      </c>
    </row>
    <row r="400" spans="1:6" x14ac:dyDescent="0.2">
      <c r="A400" s="9">
        <v>41307</v>
      </c>
      <c r="B400" s="19">
        <v>54</v>
      </c>
      <c r="F400" s="11">
        <v>58.6</v>
      </c>
    </row>
    <row r="401" spans="1:6" x14ac:dyDescent="0.2">
      <c r="A401" s="9">
        <v>41308</v>
      </c>
      <c r="B401" s="19">
        <v>40</v>
      </c>
      <c r="F401" s="11">
        <v>4.2</v>
      </c>
    </row>
    <row r="402" spans="1:6" x14ac:dyDescent="0.2">
      <c r="A402" s="9">
        <v>41309</v>
      </c>
      <c r="B402" s="19">
        <v>428</v>
      </c>
      <c r="F402" s="11">
        <v>2.4</v>
      </c>
    </row>
    <row r="403" spans="1:6" x14ac:dyDescent="0.2">
      <c r="A403" s="9">
        <v>41310</v>
      </c>
      <c r="B403" s="19">
        <v>393</v>
      </c>
      <c r="F403" s="11">
        <v>0.1</v>
      </c>
    </row>
    <row r="404" spans="1:6" x14ac:dyDescent="0.2">
      <c r="A404" s="9">
        <v>41311</v>
      </c>
      <c r="B404" s="19">
        <v>237</v>
      </c>
      <c r="F404" s="11">
        <v>0.8</v>
      </c>
    </row>
    <row r="405" spans="1:6" x14ac:dyDescent="0.2">
      <c r="A405" s="9">
        <v>41312</v>
      </c>
      <c r="B405" s="19">
        <v>288</v>
      </c>
    </row>
    <row r="406" spans="1:6" x14ac:dyDescent="0.2">
      <c r="A406" s="9">
        <v>41313</v>
      </c>
      <c r="B406" s="19">
        <v>209</v>
      </c>
    </row>
    <row r="407" spans="1:6" x14ac:dyDescent="0.2">
      <c r="A407" s="9">
        <v>41314</v>
      </c>
      <c r="B407" s="19">
        <v>61</v>
      </c>
    </row>
    <row r="408" spans="1:6" x14ac:dyDescent="0.2">
      <c r="A408" s="9">
        <v>41315</v>
      </c>
      <c r="B408" s="19">
        <v>30</v>
      </c>
    </row>
    <row r="409" spans="1:6" x14ac:dyDescent="0.2">
      <c r="A409" s="9">
        <v>41316</v>
      </c>
      <c r="B409" s="19">
        <v>392</v>
      </c>
      <c r="F409" s="11">
        <v>8.5</v>
      </c>
    </row>
    <row r="410" spans="1:6" x14ac:dyDescent="0.2">
      <c r="A410" s="9">
        <v>41317</v>
      </c>
      <c r="B410" s="19">
        <v>316</v>
      </c>
      <c r="F410" s="11">
        <v>13.4</v>
      </c>
    </row>
    <row r="411" spans="1:6" x14ac:dyDescent="0.2">
      <c r="A411" s="9">
        <v>41318</v>
      </c>
      <c r="B411" s="19">
        <v>325</v>
      </c>
      <c r="F411" s="11">
        <v>1.6</v>
      </c>
    </row>
    <row r="412" spans="1:6" x14ac:dyDescent="0.2">
      <c r="A412" s="9">
        <v>41319</v>
      </c>
      <c r="B412" s="19">
        <v>265</v>
      </c>
    </row>
    <row r="413" spans="1:6" x14ac:dyDescent="0.2">
      <c r="A413" s="9">
        <v>41320</v>
      </c>
      <c r="B413" s="19">
        <v>191</v>
      </c>
      <c r="F413" s="11">
        <v>1</v>
      </c>
    </row>
    <row r="414" spans="1:6" x14ac:dyDescent="0.2">
      <c r="A414" s="9">
        <v>41321</v>
      </c>
      <c r="B414" s="19">
        <v>74</v>
      </c>
      <c r="F414" s="11">
        <v>2.4</v>
      </c>
    </row>
    <row r="415" spans="1:6" x14ac:dyDescent="0.2">
      <c r="A415" s="9">
        <v>41322</v>
      </c>
      <c r="B415" s="19">
        <v>37</v>
      </c>
      <c r="F415" s="11">
        <v>24</v>
      </c>
    </row>
    <row r="416" spans="1:6" x14ac:dyDescent="0.2">
      <c r="A416" s="9">
        <v>41323</v>
      </c>
      <c r="B416" s="19">
        <v>314</v>
      </c>
      <c r="F416" s="11">
        <v>1.2</v>
      </c>
    </row>
    <row r="417" spans="1:6" x14ac:dyDescent="0.2">
      <c r="A417" s="9">
        <v>41324</v>
      </c>
      <c r="B417" s="19">
        <v>306</v>
      </c>
      <c r="F417" s="11">
        <v>0.9</v>
      </c>
    </row>
    <row r="418" spans="1:6" x14ac:dyDescent="0.2">
      <c r="A418" s="9">
        <v>41325</v>
      </c>
      <c r="B418" s="19">
        <v>361</v>
      </c>
      <c r="F418" s="11">
        <v>0.2</v>
      </c>
    </row>
    <row r="419" spans="1:6" x14ac:dyDescent="0.2">
      <c r="A419" s="9">
        <v>41326</v>
      </c>
      <c r="B419" s="19">
        <v>237</v>
      </c>
      <c r="F419" s="11">
        <v>0.4</v>
      </c>
    </row>
    <row r="420" spans="1:6" x14ac:dyDescent="0.2">
      <c r="A420" s="9">
        <v>41327</v>
      </c>
      <c r="B420" s="19">
        <v>185</v>
      </c>
      <c r="F420" s="11">
        <v>1.4</v>
      </c>
    </row>
    <row r="421" spans="1:6" x14ac:dyDescent="0.2">
      <c r="A421" s="9">
        <v>41328</v>
      </c>
      <c r="B421" s="19">
        <v>90</v>
      </c>
      <c r="F421" s="11">
        <v>18</v>
      </c>
    </row>
    <row r="422" spans="1:6" x14ac:dyDescent="0.2">
      <c r="A422" s="9">
        <v>41329</v>
      </c>
      <c r="B422" s="19">
        <v>36</v>
      </c>
      <c r="F422" s="11">
        <v>49</v>
      </c>
    </row>
    <row r="423" spans="1:6" x14ac:dyDescent="0.2">
      <c r="A423" s="9">
        <v>41330</v>
      </c>
      <c r="B423" s="19">
        <v>319</v>
      </c>
    </row>
    <row r="424" spans="1:6" x14ac:dyDescent="0.2">
      <c r="A424" s="9">
        <v>41331</v>
      </c>
      <c r="B424" s="19">
        <v>292</v>
      </c>
      <c r="F424" s="11">
        <v>0.1</v>
      </c>
    </row>
    <row r="425" spans="1:6" x14ac:dyDescent="0.2">
      <c r="A425" s="9">
        <v>41332</v>
      </c>
      <c r="B425" s="19">
        <v>374</v>
      </c>
    </row>
    <row r="426" spans="1:6" x14ac:dyDescent="0.2">
      <c r="A426" s="9">
        <v>41333</v>
      </c>
      <c r="B426" s="19">
        <v>309</v>
      </c>
    </row>
    <row r="427" spans="1:6" x14ac:dyDescent="0.2">
      <c r="A427" s="9">
        <v>41334</v>
      </c>
      <c r="B427" s="19">
        <v>187</v>
      </c>
      <c r="F427" s="11">
        <v>31.8</v>
      </c>
    </row>
    <row r="428" spans="1:6" x14ac:dyDescent="0.2">
      <c r="A428" s="9">
        <v>41335</v>
      </c>
      <c r="B428" s="19">
        <v>62</v>
      </c>
      <c r="F428" s="11">
        <v>16.2</v>
      </c>
    </row>
    <row r="429" spans="1:6" x14ac:dyDescent="0.2">
      <c r="A429" s="9">
        <v>41336</v>
      </c>
      <c r="B429" s="19">
        <v>33</v>
      </c>
      <c r="F429" s="11">
        <v>4.4000000000000004</v>
      </c>
    </row>
    <row r="430" spans="1:6" x14ac:dyDescent="0.2">
      <c r="A430" s="9">
        <v>41337</v>
      </c>
      <c r="B430" s="19">
        <v>427</v>
      </c>
      <c r="F430" s="11">
        <v>5.4</v>
      </c>
    </row>
    <row r="431" spans="1:6" x14ac:dyDescent="0.2">
      <c r="A431" s="9">
        <v>41338</v>
      </c>
      <c r="B431" s="19">
        <v>380</v>
      </c>
      <c r="F431" s="11">
        <v>0.1</v>
      </c>
    </row>
    <row r="432" spans="1:6" x14ac:dyDescent="0.2">
      <c r="A432" s="9">
        <v>41339</v>
      </c>
      <c r="B432" s="19">
        <v>264</v>
      </c>
      <c r="F432" s="11">
        <v>0.1</v>
      </c>
    </row>
    <row r="433" spans="1:6" x14ac:dyDescent="0.2">
      <c r="A433" s="9">
        <v>41340</v>
      </c>
      <c r="B433" s="19">
        <v>227</v>
      </c>
    </row>
    <row r="434" spans="1:6" x14ac:dyDescent="0.2">
      <c r="A434" s="9">
        <v>41341</v>
      </c>
      <c r="B434" s="19">
        <v>257</v>
      </c>
      <c r="F434" s="11">
        <v>0.1</v>
      </c>
    </row>
    <row r="435" spans="1:6" x14ac:dyDescent="0.2">
      <c r="A435" s="9">
        <v>41342</v>
      </c>
      <c r="B435" s="19">
        <v>61</v>
      </c>
      <c r="F435" s="11">
        <v>0.4</v>
      </c>
    </row>
    <row r="436" spans="1:6" x14ac:dyDescent="0.2">
      <c r="A436" s="9">
        <v>41343</v>
      </c>
      <c r="B436" s="19">
        <v>37</v>
      </c>
    </row>
    <row r="437" spans="1:6" x14ac:dyDescent="0.2">
      <c r="A437" s="9">
        <v>41344</v>
      </c>
      <c r="B437" s="19">
        <v>310</v>
      </c>
    </row>
    <row r="438" spans="1:6" x14ac:dyDescent="0.2">
      <c r="A438" s="9">
        <v>41345</v>
      </c>
      <c r="B438" s="19">
        <v>253</v>
      </c>
      <c r="F438" s="11">
        <v>0.5</v>
      </c>
    </row>
    <row r="439" spans="1:6" x14ac:dyDescent="0.2">
      <c r="A439" s="9">
        <v>41346</v>
      </c>
      <c r="B439" s="19">
        <v>188</v>
      </c>
      <c r="F439" s="11">
        <v>0.2</v>
      </c>
    </row>
    <row r="440" spans="1:6" x14ac:dyDescent="0.2">
      <c r="A440" s="9">
        <v>41347</v>
      </c>
      <c r="B440" s="19">
        <v>215</v>
      </c>
    </row>
    <row r="441" spans="1:6" x14ac:dyDescent="0.2">
      <c r="A441" s="9">
        <v>41348</v>
      </c>
      <c r="B441" s="19">
        <v>204</v>
      </c>
      <c r="F441" s="11">
        <v>0.4</v>
      </c>
    </row>
    <row r="442" spans="1:6" x14ac:dyDescent="0.2">
      <c r="A442" s="9">
        <v>41349</v>
      </c>
      <c r="B442" s="19">
        <v>44</v>
      </c>
    </row>
    <row r="443" spans="1:6" x14ac:dyDescent="0.2">
      <c r="A443" s="9">
        <v>41350</v>
      </c>
      <c r="B443" s="19">
        <v>24</v>
      </c>
    </row>
    <row r="444" spans="1:6" x14ac:dyDescent="0.2">
      <c r="A444" s="9">
        <v>41351</v>
      </c>
      <c r="B444" s="19">
        <v>326</v>
      </c>
    </row>
    <row r="445" spans="1:6" x14ac:dyDescent="0.2">
      <c r="A445" s="9">
        <v>41352</v>
      </c>
      <c r="B445" s="19">
        <v>243</v>
      </c>
    </row>
    <row r="446" spans="1:6" x14ac:dyDescent="0.2">
      <c r="A446" s="9">
        <v>41353</v>
      </c>
      <c r="B446" s="19">
        <v>146</v>
      </c>
      <c r="F446" s="11">
        <v>0.1</v>
      </c>
    </row>
    <row r="447" spans="1:6" x14ac:dyDescent="0.2">
      <c r="A447" s="9">
        <v>41354</v>
      </c>
      <c r="B447" s="19">
        <v>151</v>
      </c>
    </row>
    <row r="448" spans="1:6" x14ac:dyDescent="0.2">
      <c r="A448" s="9">
        <v>41355</v>
      </c>
      <c r="B448" s="19">
        <v>211</v>
      </c>
    </row>
    <row r="449" spans="1:6" x14ac:dyDescent="0.2">
      <c r="A449" s="9">
        <v>41356</v>
      </c>
      <c r="B449" s="19">
        <v>55</v>
      </c>
      <c r="F449" s="11">
        <v>2</v>
      </c>
    </row>
    <row r="450" spans="1:6" x14ac:dyDescent="0.2">
      <c r="A450" s="9">
        <v>41357</v>
      </c>
      <c r="B450" s="19">
        <v>22</v>
      </c>
    </row>
    <row r="451" spans="1:6" x14ac:dyDescent="0.2">
      <c r="A451" s="9">
        <v>41358</v>
      </c>
      <c r="B451" s="19">
        <v>287</v>
      </c>
    </row>
    <row r="452" spans="1:6" x14ac:dyDescent="0.2">
      <c r="A452" s="9">
        <v>41359</v>
      </c>
      <c r="B452" s="19">
        <v>156</v>
      </c>
    </row>
    <row r="453" spans="1:6" x14ac:dyDescent="0.2">
      <c r="A453" s="9">
        <v>41360</v>
      </c>
      <c r="B453" s="19">
        <v>138</v>
      </c>
    </row>
    <row r="454" spans="1:6" x14ac:dyDescent="0.2">
      <c r="A454" s="9">
        <v>41361</v>
      </c>
      <c r="B454" s="19">
        <v>126</v>
      </c>
    </row>
    <row r="455" spans="1:6" x14ac:dyDescent="0.2">
      <c r="A455" s="9">
        <v>41362</v>
      </c>
      <c r="B455" s="19">
        <v>84</v>
      </c>
      <c r="F455" s="11">
        <v>4</v>
      </c>
    </row>
    <row r="456" spans="1:6" x14ac:dyDescent="0.2">
      <c r="A456" s="9">
        <v>41363</v>
      </c>
      <c r="B456" s="19">
        <v>24</v>
      </c>
    </row>
    <row r="457" spans="1:6" x14ac:dyDescent="0.2">
      <c r="A457" s="9">
        <v>41364</v>
      </c>
      <c r="B457" s="19">
        <v>15</v>
      </c>
    </row>
    <row r="458" spans="1:6" x14ac:dyDescent="0.2">
      <c r="A458" s="9">
        <v>41365</v>
      </c>
      <c r="B458" s="19">
        <v>174</v>
      </c>
      <c r="F458" s="11">
        <v>6</v>
      </c>
    </row>
    <row r="459" spans="1:6" x14ac:dyDescent="0.2">
      <c r="A459" s="9">
        <v>41366</v>
      </c>
      <c r="B459" s="19">
        <v>186</v>
      </c>
    </row>
    <row r="460" spans="1:6" x14ac:dyDescent="0.2">
      <c r="A460" s="9">
        <v>41367</v>
      </c>
      <c r="B460" s="19">
        <v>154</v>
      </c>
      <c r="F460" s="11">
        <v>33</v>
      </c>
    </row>
    <row r="461" spans="1:6" x14ac:dyDescent="0.2">
      <c r="A461" s="9">
        <v>41368</v>
      </c>
      <c r="B461" s="19">
        <v>144</v>
      </c>
      <c r="F461" s="11">
        <v>74.599999999999994</v>
      </c>
    </row>
    <row r="462" spans="1:6" x14ac:dyDescent="0.2">
      <c r="A462" s="9">
        <v>41369</v>
      </c>
      <c r="B462" s="19">
        <v>133</v>
      </c>
      <c r="F462" s="11">
        <v>29.8</v>
      </c>
    </row>
    <row r="463" spans="1:6" x14ac:dyDescent="0.2">
      <c r="A463" s="9">
        <v>41370</v>
      </c>
      <c r="B463" s="19">
        <v>34</v>
      </c>
      <c r="F463" s="11">
        <v>2.4</v>
      </c>
    </row>
    <row r="464" spans="1:6" x14ac:dyDescent="0.2">
      <c r="A464" s="9">
        <v>41371</v>
      </c>
      <c r="B464" s="19">
        <v>26</v>
      </c>
      <c r="F464" s="11">
        <v>4.4000000000000004</v>
      </c>
    </row>
    <row r="465" spans="1:6" x14ac:dyDescent="0.2">
      <c r="A465" s="9">
        <v>41372</v>
      </c>
      <c r="B465" s="19">
        <v>136</v>
      </c>
    </row>
    <row r="466" spans="1:6" x14ac:dyDescent="0.2">
      <c r="A466" s="9">
        <v>41373</v>
      </c>
      <c r="B466" s="19">
        <v>184</v>
      </c>
      <c r="F466" s="11">
        <v>6.6</v>
      </c>
    </row>
    <row r="467" spans="1:6" x14ac:dyDescent="0.2">
      <c r="A467" s="9">
        <v>41374</v>
      </c>
      <c r="B467" s="19">
        <v>167</v>
      </c>
      <c r="F467" s="11">
        <v>4.2</v>
      </c>
    </row>
    <row r="468" spans="1:6" x14ac:dyDescent="0.2">
      <c r="A468" s="9">
        <v>41375</v>
      </c>
      <c r="B468" s="19">
        <v>174</v>
      </c>
    </row>
    <row r="469" spans="1:6" x14ac:dyDescent="0.2">
      <c r="A469" s="9">
        <v>41376</v>
      </c>
      <c r="B469" s="19">
        <v>145</v>
      </c>
    </row>
    <row r="470" spans="1:6" x14ac:dyDescent="0.2">
      <c r="A470" s="9">
        <v>41377</v>
      </c>
      <c r="B470" s="19">
        <v>52</v>
      </c>
    </row>
    <row r="471" spans="1:6" x14ac:dyDescent="0.2">
      <c r="A471" s="9">
        <v>41378</v>
      </c>
      <c r="B471" s="19">
        <v>25</v>
      </c>
    </row>
    <row r="472" spans="1:6" x14ac:dyDescent="0.2">
      <c r="A472" s="9">
        <v>41379</v>
      </c>
      <c r="B472" s="19">
        <v>228</v>
      </c>
    </row>
    <row r="473" spans="1:6" x14ac:dyDescent="0.2">
      <c r="A473" s="9">
        <v>41380</v>
      </c>
      <c r="B473" s="19">
        <v>189</v>
      </c>
      <c r="F473" s="11">
        <v>7.6</v>
      </c>
    </row>
    <row r="474" spans="1:6" x14ac:dyDescent="0.2">
      <c r="A474" s="9">
        <v>41381</v>
      </c>
      <c r="B474" s="19">
        <v>237</v>
      </c>
      <c r="F474" s="11">
        <v>0.1</v>
      </c>
    </row>
    <row r="475" spans="1:6" x14ac:dyDescent="0.2">
      <c r="A475" s="9">
        <v>41382</v>
      </c>
      <c r="B475" s="19">
        <v>223</v>
      </c>
    </row>
    <row r="476" spans="1:6" x14ac:dyDescent="0.2">
      <c r="A476" s="9">
        <v>41383</v>
      </c>
      <c r="B476" s="19">
        <v>116</v>
      </c>
      <c r="F476" s="11">
        <v>1</v>
      </c>
    </row>
    <row r="477" spans="1:6" x14ac:dyDescent="0.2">
      <c r="A477" s="9">
        <v>41384</v>
      </c>
      <c r="B477" s="19">
        <v>61</v>
      </c>
      <c r="F477" s="11">
        <v>47</v>
      </c>
    </row>
    <row r="478" spans="1:6" x14ac:dyDescent="0.2">
      <c r="A478" s="9">
        <v>41385</v>
      </c>
      <c r="B478" s="19">
        <v>31</v>
      </c>
      <c r="F478" s="11">
        <v>15.2</v>
      </c>
    </row>
    <row r="479" spans="1:6" x14ac:dyDescent="0.2">
      <c r="A479" s="9">
        <v>41386</v>
      </c>
      <c r="B479" s="19">
        <v>334</v>
      </c>
      <c r="F479" s="11">
        <v>0.4</v>
      </c>
    </row>
    <row r="480" spans="1:6" x14ac:dyDescent="0.2">
      <c r="A480" s="9">
        <v>41387</v>
      </c>
      <c r="B480" s="19">
        <v>171</v>
      </c>
    </row>
    <row r="481" spans="1:6" x14ac:dyDescent="0.2">
      <c r="A481" s="9">
        <v>41388</v>
      </c>
      <c r="B481" s="19">
        <v>159</v>
      </c>
    </row>
    <row r="482" spans="1:6" x14ac:dyDescent="0.2">
      <c r="A482" s="9">
        <v>41389</v>
      </c>
      <c r="B482" s="19">
        <v>215</v>
      </c>
    </row>
    <row r="483" spans="1:6" x14ac:dyDescent="0.2">
      <c r="A483" s="9">
        <v>41390</v>
      </c>
      <c r="B483" s="19">
        <v>158</v>
      </c>
    </row>
    <row r="484" spans="1:6" x14ac:dyDescent="0.2">
      <c r="A484" s="9">
        <v>41391</v>
      </c>
      <c r="B484" s="19">
        <v>46</v>
      </c>
    </row>
    <row r="485" spans="1:6" x14ac:dyDescent="0.2">
      <c r="A485" s="9">
        <v>41392</v>
      </c>
      <c r="B485" s="19">
        <v>22</v>
      </c>
    </row>
    <row r="486" spans="1:6" x14ac:dyDescent="0.2">
      <c r="A486" s="9">
        <v>41393</v>
      </c>
      <c r="B486" s="19">
        <v>257</v>
      </c>
    </row>
    <row r="487" spans="1:6" x14ac:dyDescent="0.2">
      <c r="A487" s="9">
        <v>41394</v>
      </c>
      <c r="B487" s="19">
        <v>297</v>
      </c>
    </row>
    <row r="488" spans="1:6" x14ac:dyDescent="0.2">
      <c r="A488" s="9">
        <v>41395</v>
      </c>
      <c r="B488" s="19">
        <v>323</v>
      </c>
    </row>
    <row r="489" spans="1:6" x14ac:dyDescent="0.2">
      <c r="A489" s="9">
        <v>41396</v>
      </c>
      <c r="B489" s="19">
        <v>226</v>
      </c>
      <c r="F489" s="11">
        <v>0.2</v>
      </c>
    </row>
    <row r="490" spans="1:6" x14ac:dyDescent="0.2">
      <c r="A490" s="9">
        <v>41397</v>
      </c>
      <c r="B490" s="19">
        <v>242</v>
      </c>
    </row>
    <row r="491" spans="1:6" x14ac:dyDescent="0.2">
      <c r="A491" s="9">
        <v>41398</v>
      </c>
      <c r="B491" s="19">
        <v>84</v>
      </c>
    </row>
    <row r="492" spans="1:6" x14ac:dyDescent="0.2">
      <c r="A492" s="9">
        <v>41399</v>
      </c>
      <c r="B492" s="19">
        <v>39</v>
      </c>
    </row>
    <row r="493" spans="1:6" x14ac:dyDescent="0.2">
      <c r="A493" s="9">
        <v>41400</v>
      </c>
      <c r="B493" s="19">
        <v>247</v>
      </c>
    </row>
    <row r="494" spans="1:6" x14ac:dyDescent="0.2">
      <c r="A494" s="9">
        <v>41401</v>
      </c>
      <c r="B494" s="19">
        <v>317</v>
      </c>
    </row>
    <row r="495" spans="1:6" x14ac:dyDescent="0.2">
      <c r="A495" s="9">
        <v>41402</v>
      </c>
      <c r="B495" s="19">
        <v>220</v>
      </c>
      <c r="F495" s="11">
        <v>0.4</v>
      </c>
    </row>
    <row r="496" spans="1:6" x14ac:dyDescent="0.2">
      <c r="A496" s="9">
        <v>41403</v>
      </c>
      <c r="B496" s="19">
        <v>279</v>
      </c>
    </row>
    <row r="497" spans="1:6" x14ac:dyDescent="0.2">
      <c r="A497" s="9">
        <v>41404</v>
      </c>
      <c r="B497" s="19">
        <v>200</v>
      </c>
    </row>
    <row r="498" spans="1:6" x14ac:dyDescent="0.2">
      <c r="A498" s="9">
        <v>41405</v>
      </c>
      <c r="B498" s="19">
        <v>83</v>
      </c>
    </row>
    <row r="499" spans="1:6" x14ac:dyDescent="0.2">
      <c r="A499" s="9">
        <v>41406</v>
      </c>
      <c r="B499" s="19">
        <v>37</v>
      </c>
    </row>
    <row r="500" spans="1:6" x14ac:dyDescent="0.2">
      <c r="A500" s="9">
        <v>41407</v>
      </c>
      <c r="B500" s="19">
        <v>373</v>
      </c>
    </row>
    <row r="501" spans="1:6" x14ac:dyDescent="0.2">
      <c r="A501" s="9">
        <v>41408</v>
      </c>
      <c r="B501" s="19">
        <v>343</v>
      </c>
      <c r="F501" s="11">
        <v>0.2</v>
      </c>
    </row>
    <row r="502" spans="1:6" x14ac:dyDescent="0.2">
      <c r="A502" s="9">
        <v>41409</v>
      </c>
      <c r="B502" s="19">
        <v>242</v>
      </c>
      <c r="F502" s="11">
        <v>0.1</v>
      </c>
    </row>
    <row r="503" spans="1:6" x14ac:dyDescent="0.2">
      <c r="A503" s="9">
        <v>41410</v>
      </c>
      <c r="B503" s="19">
        <v>272</v>
      </c>
    </row>
    <row r="504" spans="1:6" x14ac:dyDescent="0.2">
      <c r="A504" s="9">
        <v>41411</v>
      </c>
      <c r="B504" s="19">
        <v>289</v>
      </c>
    </row>
    <row r="505" spans="1:6" x14ac:dyDescent="0.2">
      <c r="A505" s="9">
        <v>41412</v>
      </c>
      <c r="B505" s="19">
        <v>97</v>
      </c>
    </row>
    <row r="506" spans="1:6" x14ac:dyDescent="0.2">
      <c r="A506" s="9">
        <v>41413</v>
      </c>
      <c r="B506" s="19">
        <v>48</v>
      </c>
    </row>
    <row r="507" spans="1:6" x14ac:dyDescent="0.2">
      <c r="A507" s="9">
        <v>41414</v>
      </c>
      <c r="B507" s="19">
        <v>415</v>
      </c>
    </row>
    <row r="508" spans="1:6" x14ac:dyDescent="0.2">
      <c r="A508" s="9">
        <v>41415</v>
      </c>
      <c r="B508" s="19">
        <v>448</v>
      </c>
    </row>
    <row r="509" spans="1:6" x14ac:dyDescent="0.2">
      <c r="A509" s="9">
        <v>41416</v>
      </c>
      <c r="B509" s="19">
        <v>268</v>
      </c>
    </row>
    <row r="510" spans="1:6" x14ac:dyDescent="0.2">
      <c r="A510" s="9">
        <v>41417</v>
      </c>
      <c r="B510" s="19">
        <v>307</v>
      </c>
      <c r="F510" s="11">
        <v>26.8</v>
      </c>
    </row>
    <row r="511" spans="1:6" x14ac:dyDescent="0.2">
      <c r="A511" s="9">
        <v>41418</v>
      </c>
      <c r="B511" s="19">
        <v>231</v>
      </c>
      <c r="F511" s="11">
        <v>31.2</v>
      </c>
    </row>
    <row r="512" spans="1:6" x14ac:dyDescent="0.2">
      <c r="A512" s="9">
        <v>41419</v>
      </c>
      <c r="B512" s="19">
        <v>66</v>
      </c>
      <c r="F512" s="11">
        <v>18.600000000000001</v>
      </c>
    </row>
    <row r="513" spans="1:6" x14ac:dyDescent="0.2">
      <c r="A513" s="9">
        <v>41420</v>
      </c>
      <c r="B513" s="19">
        <v>31</v>
      </c>
      <c r="F513" s="11">
        <v>0.1</v>
      </c>
    </row>
    <row r="514" spans="1:6" x14ac:dyDescent="0.2">
      <c r="A514" s="9">
        <v>41421</v>
      </c>
      <c r="B514" s="19">
        <v>392</v>
      </c>
      <c r="F514" s="11">
        <v>3.8</v>
      </c>
    </row>
    <row r="515" spans="1:6" x14ac:dyDescent="0.2">
      <c r="A515" s="9">
        <v>41422</v>
      </c>
      <c r="B515" s="19">
        <v>298</v>
      </c>
      <c r="F515" s="11">
        <v>28.8</v>
      </c>
    </row>
    <row r="516" spans="1:6" x14ac:dyDescent="0.2">
      <c r="A516" s="9">
        <v>41423</v>
      </c>
      <c r="B516" s="19">
        <v>232</v>
      </c>
      <c r="F516" s="11">
        <v>0.8</v>
      </c>
    </row>
    <row r="517" spans="1:6" x14ac:dyDescent="0.2">
      <c r="A517" s="9">
        <v>41424</v>
      </c>
      <c r="B517" s="19">
        <v>295</v>
      </c>
    </row>
    <row r="518" spans="1:6" x14ac:dyDescent="0.2">
      <c r="A518" s="9">
        <v>41425</v>
      </c>
      <c r="B518" s="19">
        <v>265</v>
      </c>
    </row>
    <row r="519" spans="1:6" x14ac:dyDescent="0.2">
      <c r="A519" s="9">
        <v>41426</v>
      </c>
      <c r="B519" s="19">
        <v>66</v>
      </c>
    </row>
    <row r="520" spans="1:6" x14ac:dyDescent="0.2">
      <c r="A520" s="9">
        <v>41427</v>
      </c>
      <c r="B520" s="19">
        <v>28</v>
      </c>
      <c r="F520" s="11">
        <v>15.4</v>
      </c>
    </row>
    <row r="521" spans="1:6" x14ac:dyDescent="0.2">
      <c r="A521" s="9">
        <v>41428</v>
      </c>
      <c r="B521" s="19">
        <v>310</v>
      </c>
      <c r="F521" s="11">
        <v>36.6</v>
      </c>
    </row>
    <row r="522" spans="1:6" x14ac:dyDescent="0.2">
      <c r="A522" s="9">
        <v>41429</v>
      </c>
      <c r="B522" s="19">
        <v>308</v>
      </c>
    </row>
    <row r="523" spans="1:6" x14ac:dyDescent="0.2">
      <c r="A523" s="9">
        <v>41430</v>
      </c>
      <c r="B523" s="19">
        <v>285</v>
      </c>
      <c r="F523" s="11">
        <v>0.2</v>
      </c>
    </row>
    <row r="524" spans="1:6" x14ac:dyDescent="0.2">
      <c r="A524" s="9">
        <v>41431</v>
      </c>
      <c r="B524" s="19">
        <v>188</v>
      </c>
    </row>
    <row r="525" spans="1:6" x14ac:dyDescent="0.2">
      <c r="A525" s="9">
        <v>41432</v>
      </c>
      <c r="B525" s="19">
        <v>245</v>
      </c>
      <c r="F525" s="11">
        <v>0.4</v>
      </c>
    </row>
    <row r="526" spans="1:6" x14ac:dyDescent="0.2">
      <c r="A526" s="9">
        <v>41433</v>
      </c>
      <c r="B526" s="19">
        <v>69</v>
      </c>
    </row>
    <row r="527" spans="1:6" x14ac:dyDescent="0.2">
      <c r="A527" s="9">
        <v>41434</v>
      </c>
      <c r="B527" s="19">
        <v>41</v>
      </c>
    </row>
    <row r="528" spans="1:6" x14ac:dyDescent="0.2">
      <c r="A528" s="9">
        <v>41435</v>
      </c>
      <c r="B528" s="19">
        <v>227</v>
      </c>
    </row>
    <row r="529" spans="1:6" x14ac:dyDescent="0.2">
      <c r="A529" s="9">
        <v>41436</v>
      </c>
      <c r="B529" s="19">
        <v>216</v>
      </c>
      <c r="F529" s="11">
        <v>0.8</v>
      </c>
    </row>
    <row r="530" spans="1:6" x14ac:dyDescent="0.2">
      <c r="A530" s="9">
        <v>41437</v>
      </c>
      <c r="B530" s="19">
        <v>171</v>
      </c>
    </row>
    <row r="531" spans="1:6" x14ac:dyDescent="0.2">
      <c r="A531" s="9">
        <v>41438</v>
      </c>
      <c r="B531" s="19">
        <v>153</v>
      </c>
      <c r="F531" s="11">
        <v>7.8</v>
      </c>
    </row>
    <row r="532" spans="1:6" x14ac:dyDescent="0.2">
      <c r="A532" s="9">
        <v>41439</v>
      </c>
      <c r="B532" s="19">
        <v>236</v>
      </c>
    </row>
    <row r="533" spans="1:6" x14ac:dyDescent="0.2">
      <c r="A533" s="9">
        <v>41440</v>
      </c>
      <c r="B533" s="19">
        <v>59</v>
      </c>
    </row>
    <row r="534" spans="1:6" x14ac:dyDescent="0.2">
      <c r="A534" s="9">
        <v>41441</v>
      </c>
      <c r="B534" s="19">
        <v>32</v>
      </c>
    </row>
    <row r="535" spans="1:6" x14ac:dyDescent="0.2">
      <c r="A535" s="9">
        <v>41442</v>
      </c>
      <c r="B535" s="19">
        <v>378</v>
      </c>
    </row>
    <row r="536" spans="1:6" x14ac:dyDescent="0.2">
      <c r="A536" s="9">
        <v>41443</v>
      </c>
      <c r="B536" s="19">
        <v>246</v>
      </c>
    </row>
    <row r="537" spans="1:6" x14ac:dyDescent="0.2">
      <c r="A537" s="9">
        <v>41444</v>
      </c>
      <c r="B537" s="19">
        <v>171</v>
      </c>
      <c r="F537" s="11">
        <v>16.8</v>
      </c>
    </row>
    <row r="538" spans="1:6" x14ac:dyDescent="0.2">
      <c r="A538" s="9">
        <v>41445</v>
      </c>
      <c r="B538" s="19">
        <v>151</v>
      </c>
      <c r="F538" s="11">
        <v>2.4</v>
      </c>
    </row>
    <row r="539" spans="1:6" x14ac:dyDescent="0.2">
      <c r="A539" s="9">
        <v>41446</v>
      </c>
      <c r="B539" s="19">
        <v>108</v>
      </c>
    </row>
    <row r="540" spans="1:6" x14ac:dyDescent="0.2">
      <c r="A540" s="9">
        <v>41447</v>
      </c>
      <c r="B540" s="19">
        <v>39</v>
      </c>
      <c r="F540" s="11">
        <v>9.8000000000000007</v>
      </c>
    </row>
    <row r="541" spans="1:6" x14ac:dyDescent="0.2">
      <c r="A541" s="9">
        <v>41448</v>
      </c>
      <c r="B541" s="19">
        <v>33</v>
      </c>
      <c r="F541" s="11">
        <v>57</v>
      </c>
    </row>
    <row r="542" spans="1:6" x14ac:dyDescent="0.2">
      <c r="A542" s="9">
        <v>41449</v>
      </c>
      <c r="B542" s="19">
        <v>275</v>
      </c>
      <c r="F542" s="11">
        <v>53.8</v>
      </c>
    </row>
    <row r="543" spans="1:6" x14ac:dyDescent="0.2">
      <c r="A543" s="9">
        <v>41450</v>
      </c>
      <c r="B543" s="19">
        <v>203</v>
      </c>
      <c r="F543" s="11">
        <v>5.5</v>
      </c>
    </row>
    <row r="544" spans="1:6" x14ac:dyDescent="0.2">
      <c r="A544" s="9">
        <v>41451</v>
      </c>
      <c r="B544" s="19">
        <v>154</v>
      </c>
      <c r="F544" s="11">
        <v>22.5</v>
      </c>
    </row>
    <row r="545" spans="1:6" x14ac:dyDescent="0.2">
      <c r="A545" s="9">
        <v>41452</v>
      </c>
      <c r="B545" s="19">
        <v>219</v>
      </c>
      <c r="F545" s="11">
        <v>1</v>
      </c>
    </row>
    <row r="546" spans="1:6" x14ac:dyDescent="0.2">
      <c r="A546" s="9">
        <v>41453</v>
      </c>
      <c r="B546" s="19">
        <v>148</v>
      </c>
      <c r="F546" s="11">
        <v>2.8</v>
      </c>
    </row>
    <row r="547" spans="1:6" x14ac:dyDescent="0.2">
      <c r="A547" s="9">
        <v>41454</v>
      </c>
      <c r="B547" s="19">
        <v>38</v>
      </c>
      <c r="F547" s="11">
        <v>54</v>
      </c>
    </row>
    <row r="548" spans="1:6" x14ac:dyDescent="0.2">
      <c r="A548" s="9">
        <v>41455</v>
      </c>
      <c r="B548" s="19">
        <v>15</v>
      </c>
      <c r="F548" s="11">
        <v>53.8</v>
      </c>
    </row>
    <row r="549" spans="1:6" x14ac:dyDescent="0.2">
      <c r="A549" s="9">
        <v>41456</v>
      </c>
      <c r="B549" s="19">
        <v>197</v>
      </c>
      <c r="F549" s="11">
        <v>1.6</v>
      </c>
    </row>
    <row r="550" spans="1:6" x14ac:dyDescent="0.2">
      <c r="A550" s="9">
        <v>41457</v>
      </c>
      <c r="B550" s="19">
        <v>251</v>
      </c>
    </row>
    <row r="551" spans="1:6" x14ac:dyDescent="0.2">
      <c r="A551" s="9">
        <v>41458</v>
      </c>
      <c r="B551" s="19">
        <v>176</v>
      </c>
    </row>
    <row r="552" spans="1:6" x14ac:dyDescent="0.2">
      <c r="A552" s="9">
        <v>41459</v>
      </c>
      <c r="B552" s="19">
        <v>152</v>
      </c>
    </row>
    <row r="553" spans="1:6" x14ac:dyDescent="0.2">
      <c r="A553" s="9">
        <v>41460</v>
      </c>
      <c r="B553" s="19">
        <v>140</v>
      </c>
    </row>
    <row r="554" spans="1:6" x14ac:dyDescent="0.2">
      <c r="A554" s="9">
        <v>41461</v>
      </c>
      <c r="B554" s="19">
        <v>30</v>
      </c>
    </row>
    <row r="555" spans="1:6" x14ac:dyDescent="0.2">
      <c r="A555" s="9">
        <v>41462</v>
      </c>
      <c r="B555" s="19">
        <v>20</v>
      </c>
    </row>
    <row r="556" spans="1:6" x14ac:dyDescent="0.2">
      <c r="A556" s="9">
        <v>41463</v>
      </c>
      <c r="B556" s="19">
        <v>277</v>
      </c>
    </row>
    <row r="557" spans="1:6" x14ac:dyDescent="0.2">
      <c r="A557" s="9">
        <v>41464</v>
      </c>
      <c r="B557" s="19">
        <v>186</v>
      </c>
      <c r="F557" s="11">
        <v>1.2</v>
      </c>
    </row>
    <row r="558" spans="1:6" x14ac:dyDescent="0.2">
      <c r="A558" s="9">
        <v>41465</v>
      </c>
      <c r="B558" s="19">
        <v>105</v>
      </c>
      <c r="F558" s="11">
        <v>8.4</v>
      </c>
    </row>
    <row r="559" spans="1:6" x14ac:dyDescent="0.2">
      <c r="A559" s="9">
        <v>41466</v>
      </c>
      <c r="B559" s="19">
        <v>73</v>
      </c>
    </row>
    <row r="560" spans="1:6" x14ac:dyDescent="0.2">
      <c r="A560" s="9">
        <v>41467</v>
      </c>
      <c r="B560" s="19">
        <v>90</v>
      </c>
    </row>
    <row r="561" spans="1:6" x14ac:dyDescent="0.2">
      <c r="A561" s="9">
        <v>41468</v>
      </c>
      <c r="B561" s="19">
        <v>46</v>
      </c>
    </row>
    <row r="562" spans="1:6" x14ac:dyDescent="0.2">
      <c r="A562" s="9">
        <v>41469</v>
      </c>
      <c r="B562" s="19">
        <v>11</v>
      </c>
    </row>
    <row r="563" spans="1:6" x14ac:dyDescent="0.2">
      <c r="A563" s="9">
        <v>41470</v>
      </c>
      <c r="B563" s="19">
        <v>193</v>
      </c>
    </row>
    <row r="564" spans="1:6" x14ac:dyDescent="0.2">
      <c r="A564" s="9">
        <v>41471</v>
      </c>
      <c r="B564" s="19">
        <v>208</v>
      </c>
      <c r="F564" s="11">
        <v>2</v>
      </c>
    </row>
    <row r="565" spans="1:6" x14ac:dyDescent="0.2">
      <c r="A565" s="9">
        <v>41472</v>
      </c>
      <c r="B565" s="19">
        <v>240</v>
      </c>
      <c r="F565" s="11">
        <v>6.2</v>
      </c>
    </row>
    <row r="566" spans="1:6" x14ac:dyDescent="0.2">
      <c r="A566" s="9">
        <v>41473</v>
      </c>
      <c r="B566" s="19">
        <v>136</v>
      </c>
    </row>
    <row r="567" spans="1:6" x14ac:dyDescent="0.2">
      <c r="A567" s="9">
        <v>41474</v>
      </c>
      <c r="B567" s="19">
        <v>91</v>
      </c>
    </row>
    <row r="568" spans="1:6" x14ac:dyDescent="0.2">
      <c r="A568" s="9">
        <v>41475</v>
      </c>
      <c r="B568" s="19">
        <v>52</v>
      </c>
      <c r="F568" s="11">
        <v>1.2</v>
      </c>
    </row>
    <row r="569" spans="1:6" x14ac:dyDescent="0.2">
      <c r="A569" s="9">
        <v>41476</v>
      </c>
      <c r="B569" s="19">
        <v>28</v>
      </c>
    </row>
    <row r="570" spans="1:6" x14ac:dyDescent="0.2">
      <c r="A570" s="9">
        <v>41477</v>
      </c>
      <c r="B570" s="19">
        <v>327</v>
      </c>
    </row>
    <row r="571" spans="1:6" x14ac:dyDescent="0.2">
      <c r="A571" s="9">
        <v>41478</v>
      </c>
      <c r="B571" s="19">
        <v>151</v>
      </c>
    </row>
    <row r="572" spans="1:6" x14ac:dyDescent="0.2">
      <c r="A572" s="9">
        <v>41479</v>
      </c>
      <c r="B572" s="19">
        <v>156</v>
      </c>
    </row>
    <row r="573" spans="1:6" x14ac:dyDescent="0.2">
      <c r="A573" s="9">
        <v>41480</v>
      </c>
      <c r="B573" s="19">
        <v>255</v>
      </c>
    </row>
    <row r="574" spans="1:6" x14ac:dyDescent="0.2">
      <c r="A574" s="9">
        <v>41481</v>
      </c>
      <c r="B574" s="19">
        <v>115</v>
      </c>
    </row>
    <row r="575" spans="1:6" x14ac:dyDescent="0.2">
      <c r="A575" s="9">
        <v>41482</v>
      </c>
      <c r="B575" s="19">
        <v>57</v>
      </c>
    </row>
    <row r="576" spans="1:6" x14ac:dyDescent="0.2">
      <c r="A576" s="9">
        <v>41483</v>
      </c>
      <c r="B576" s="19">
        <v>39</v>
      </c>
    </row>
    <row r="577" spans="1:6" x14ac:dyDescent="0.2">
      <c r="A577" s="9">
        <v>41484</v>
      </c>
      <c r="B577" s="19">
        <v>233</v>
      </c>
    </row>
    <row r="578" spans="1:6" x14ac:dyDescent="0.2">
      <c r="A578" s="9">
        <v>41485</v>
      </c>
      <c r="B578" s="19">
        <v>245</v>
      </c>
    </row>
    <row r="579" spans="1:6" x14ac:dyDescent="0.2">
      <c r="A579" s="9">
        <v>41486</v>
      </c>
      <c r="B579" s="19">
        <v>225</v>
      </c>
      <c r="F579" s="11">
        <v>9.1999999999999993</v>
      </c>
    </row>
    <row r="580" spans="1:6" x14ac:dyDescent="0.2">
      <c r="A580" s="9">
        <v>41487</v>
      </c>
      <c r="B580" s="19">
        <v>193</v>
      </c>
      <c r="F580" s="11">
        <v>0.4</v>
      </c>
    </row>
    <row r="581" spans="1:6" x14ac:dyDescent="0.2">
      <c r="A581" s="9">
        <v>41488</v>
      </c>
      <c r="B581" s="19">
        <v>239</v>
      </c>
    </row>
    <row r="582" spans="1:6" x14ac:dyDescent="0.2">
      <c r="A582" s="9">
        <v>41489</v>
      </c>
      <c r="B582" s="19">
        <v>56</v>
      </c>
    </row>
    <row r="583" spans="1:6" x14ac:dyDescent="0.2">
      <c r="A583" s="9">
        <v>41490</v>
      </c>
      <c r="B583" s="19">
        <v>32</v>
      </c>
    </row>
    <row r="584" spans="1:6" x14ac:dyDescent="0.2">
      <c r="A584" s="9">
        <v>41491</v>
      </c>
      <c r="B584" s="19">
        <v>301</v>
      </c>
    </row>
    <row r="585" spans="1:6" x14ac:dyDescent="0.2">
      <c r="A585" s="9">
        <v>41492</v>
      </c>
      <c r="B585" s="19">
        <v>304</v>
      </c>
    </row>
    <row r="586" spans="1:6" x14ac:dyDescent="0.2">
      <c r="A586" s="9">
        <v>41493</v>
      </c>
      <c r="B586" s="19">
        <v>215</v>
      </c>
      <c r="F586" s="11">
        <v>0.8</v>
      </c>
    </row>
    <row r="587" spans="1:6" x14ac:dyDescent="0.2">
      <c r="A587" s="9">
        <v>41494</v>
      </c>
      <c r="B587" s="19">
        <v>191</v>
      </c>
      <c r="F587" s="11">
        <v>1.4</v>
      </c>
    </row>
    <row r="588" spans="1:6" x14ac:dyDescent="0.2">
      <c r="A588" s="9">
        <v>41495</v>
      </c>
      <c r="B588" s="19">
        <v>181</v>
      </c>
      <c r="F588" s="11">
        <v>5.4</v>
      </c>
    </row>
    <row r="589" spans="1:6" x14ac:dyDescent="0.2">
      <c r="A589" s="9">
        <v>41496</v>
      </c>
      <c r="B589" s="19">
        <v>89</v>
      </c>
    </row>
    <row r="590" spans="1:6" x14ac:dyDescent="0.2">
      <c r="A590" s="9">
        <v>41497</v>
      </c>
      <c r="B590" s="19">
        <v>34</v>
      </c>
    </row>
    <row r="591" spans="1:6" x14ac:dyDescent="0.2">
      <c r="A591" s="9">
        <v>41498</v>
      </c>
      <c r="B591" s="19">
        <v>457</v>
      </c>
    </row>
    <row r="592" spans="1:6" x14ac:dyDescent="0.2">
      <c r="A592" s="9">
        <v>41499</v>
      </c>
      <c r="B592" s="19">
        <v>360</v>
      </c>
    </row>
    <row r="593" spans="1:2" x14ac:dyDescent="0.2">
      <c r="A593" s="9">
        <v>41500</v>
      </c>
      <c r="B593" s="19">
        <v>295</v>
      </c>
    </row>
    <row r="594" spans="1:2" x14ac:dyDescent="0.2">
      <c r="A594" s="9">
        <v>41501</v>
      </c>
      <c r="B594" s="19">
        <v>252</v>
      </c>
    </row>
    <row r="595" spans="1:2" x14ac:dyDescent="0.2">
      <c r="A595" s="9">
        <v>41502</v>
      </c>
      <c r="B595" s="19">
        <v>239</v>
      </c>
    </row>
    <row r="596" spans="1:2" x14ac:dyDescent="0.2">
      <c r="A596" s="9">
        <v>41503</v>
      </c>
      <c r="B596" s="19">
        <v>97</v>
      </c>
    </row>
    <row r="597" spans="1:2" x14ac:dyDescent="0.2">
      <c r="A597" s="9">
        <v>41504</v>
      </c>
      <c r="B597" s="19">
        <v>33</v>
      </c>
    </row>
    <row r="598" spans="1:2" x14ac:dyDescent="0.2">
      <c r="A598" s="9">
        <v>41505</v>
      </c>
      <c r="B598" s="19">
        <v>379</v>
      </c>
    </row>
    <row r="599" spans="1:2" x14ac:dyDescent="0.2">
      <c r="A599" s="9">
        <v>41506</v>
      </c>
      <c r="B599" s="19">
        <v>357</v>
      </c>
    </row>
    <row r="600" spans="1:2" x14ac:dyDescent="0.2">
      <c r="A600" s="9">
        <v>41507</v>
      </c>
      <c r="B600" s="19">
        <v>385</v>
      </c>
    </row>
    <row r="601" spans="1:2" x14ac:dyDescent="0.2">
      <c r="A601" s="9">
        <v>41508</v>
      </c>
      <c r="B601" s="19">
        <v>348</v>
      </c>
    </row>
    <row r="602" spans="1:2" x14ac:dyDescent="0.2">
      <c r="A602" s="9">
        <v>41509</v>
      </c>
      <c r="B602" s="19">
        <v>282</v>
      </c>
    </row>
    <row r="603" spans="1:2" x14ac:dyDescent="0.2">
      <c r="A603" s="9">
        <v>41510</v>
      </c>
      <c r="B603" s="19">
        <v>81</v>
      </c>
    </row>
    <row r="604" spans="1:2" x14ac:dyDescent="0.2">
      <c r="A604" s="9">
        <v>41511</v>
      </c>
      <c r="B604" s="19">
        <v>29</v>
      </c>
    </row>
    <row r="605" spans="1:2" x14ac:dyDescent="0.2">
      <c r="A605" s="9">
        <v>41512</v>
      </c>
      <c r="B605" s="19">
        <v>405</v>
      </c>
    </row>
    <row r="606" spans="1:2" x14ac:dyDescent="0.2">
      <c r="A606" s="9">
        <v>41513</v>
      </c>
      <c r="B606" s="19">
        <v>387</v>
      </c>
    </row>
    <row r="607" spans="1:2" x14ac:dyDescent="0.2">
      <c r="A607" s="9">
        <v>41514</v>
      </c>
      <c r="B607" s="19">
        <v>308</v>
      </c>
    </row>
    <row r="608" spans="1:2" x14ac:dyDescent="0.2">
      <c r="A608" s="9">
        <v>41515</v>
      </c>
      <c r="B608" s="19">
        <v>281</v>
      </c>
    </row>
    <row r="609" spans="1:6" x14ac:dyDescent="0.2">
      <c r="A609" s="9">
        <v>41516</v>
      </c>
      <c r="B609" s="19">
        <v>181</v>
      </c>
    </row>
    <row r="610" spans="1:6" x14ac:dyDescent="0.2">
      <c r="A610" s="9">
        <v>41517</v>
      </c>
      <c r="B610" s="19">
        <v>63</v>
      </c>
    </row>
    <row r="611" spans="1:6" x14ac:dyDescent="0.2">
      <c r="A611" s="9">
        <v>41518</v>
      </c>
      <c r="B611" s="19">
        <v>46</v>
      </c>
    </row>
    <row r="612" spans="1:6" x14ac:dyDescent="0.2">
      <c r="A612" s="9">
        <v>41519</v>
      </c>
      <c r="B612" s="19">
        <v>280</v>
      </c>
    </row>
    <row r="613" spans="1:6" x14ac:dyDescent="0.2">
      <c r="A613" s="9">
        <v>41520</v>
      </c>
      <c r="B613" s="19">
        <v>391</v>
      </c>
    </row>
    <row r="614" spans="1:6" x14ac:dyDescent="0.2">
      <c r="A614" s="9">
        <v>41521</v>
      </c>
      <c r="B614" s="19">
        <v>295</v>
      </c>
    </row>
    <row r="615" spans="1:6" x14ac:dyDescent="0.2">
      <c r="A615" s="9">
        <v>41522</v>
      </c>
      <c r="B615" s="19">
        <v>187</v>
      </c>
    </row>
    <row r="616" spans="1:6" x14ac:dyDescent="0.2">
      <c r="A616" s="9">
        <v>41523</v>
      </c>
      <c r="B616" s="19">
        <v>227</v>
      </c>
    </row>
    <row r="617" spans="1:6" x14ac:dyDescent="0.2">
      <c r="A617" s="9">
        <v>41524</v>
      </c>
      <c r="B617" s="19">
        <v>58</v>
      </c>
    </row>
    <row r="618" spans="1:6" x14ac:dyDescent="0.2">
      <c r="A618" s="9">
        <v>41525</v>
      </c>
      <c r="B618" s="19">
        <v>41</v>
      </c>
    </row>
    <row r="619" spans="1:6" x14ac:dyDescent="0.2">
      <c r="A619" s="9">
        <v>41526</v>
      </c>
      <c r="B619" s="19">
        <v>297</v>
      </c>
    </row>
    <row r="620" spans="1:6" x14ac:dyDescent="0.2">
      <c r="A620" s="9">
        <v>41527</v>
      </c>
      <c r="B620" s="19">
        <v>261</v>
      </c>
    </row>
    <row r="621" spans="1:6" x14ac:dyDescent="0.2">
      <c r="A621" s="9">
        <v>41528</v>
      </c>
      <c r="B621" s="19">
        <v>229</v>
      </c>
    </row>
    <row r="622" spans="1:6" x14ac:dyDescent="0.2">
      <c r="A622" s="9">
        <v>41529</v>
      </c>
      <c r="B622" s="19">
        <v>163</v>
      </c>
    </row>
    <row r="623" spans="1:6" x14ac:dyDescent="0.2">
      <c r="A623" s="9">
        <v>41530</v>
      </c>
      <c r="B623" s="19">
        <v>179</v>
      </c>
    </row>
    <row r="624" spans="1:6" x14ac:dyDescent="0.2">
      <c r="A624" s="9">
        <v>41531</v>
      </c>
      <c r="B624" s="19">
        <v>47</v>
      </c>
      <c r="F624" s="11">
        <v>3</v>
      </c>
    </row>
    <row r="625" spans="1:6" x14ac:dyDescent="0.2">
      <c r="A625" s="9">
        <v>41532</v>
      </c>
      <c r="B625" s="19">
        <v>18</v>
      </c>
      <c r="F625" s="11">
        <v>2</v>
      </c>
    </row>
    <row r="626" spans="1:6" x14ac:dyDescent="0.2">
      <c r="A626" s="9">
        <v>41533</v>
      </c>
      <c r="B626" s="19">
        <v>214</v>
      </c>
    </row>
    <row r="627" spans="1:6" x14ac:dyDescent="0.2">
      <c r="A627" s="9">
        <v>41534</v>
      </c>
      <c r="B627" s="19">
        <v>181</v>
      </c>
      <c r="F627" s="11">
        <v>51</v>
      </c>
    </row>
    <row r="628" spans="1:6" x14ac:dyDescent="0.2">
      <c r="A628" s="9">
        <v>41535</v>
      </c>
      <c r="B628" s="19">
        <v>259</v>
      </c>
      <c r="F628" s="11">
        <v>0.2</v>
      </c>
    </row>
    <row r="629" spans="1:6" x14ac:dyDescent="0.2">
      <c r="A629" s="9">
        <v>41536</v>
      </c>
      <c r="B629" s="19">
        <v>133</v>
      </c>
    </row>
    <row r="630" spans="1:6" x14ac:dyDescent="0.2">
      <c r="A630" s="9">
        <v>41537</v>
      </c>
      <c r="B630" s="19">
        <v>119</v>
      </c>
    </row>
    <row r="631" spans="1:6" x14ac:dyDescent="0.2">
      <c r="A631" s="9">
        <v>41538</v>
      </c>
      <c r="B631" s="19">
        <v>57</v>
      </c>
    </row>
    <row r="632" spans="1:6" x14ac:dyDescent="0.2">
      <c r="A632" s="9">
        <v>41539</v>
      </c>
      <c r="B632" s="19">
        <v>15</v>
      </c>
    </row>
    <row r="633" spans="1:6" x14ac:dyDescent="0.2">
      <c r="A633" s="9">
        <v>41540</v>
      </c>
      <c r="B633" s="19">
        <v>160</v>
      </c>
    </row>
    <row r="634" spans="1:6" x14ac:dyDescent="0.2">
      <c r="A634" s="9">
        <v>41541</v>
      </c>
      <c r="B634" s="19">
        <v>137</v>
      </c>
    </row>
    <row r="635" spans="1:6" x14ac:dyDescent="0.2">
      <c r="A635" s="9">
        <v>41542</v>
      </c>
      <c r="B635" s="19">
        <v>127</v>
      </c>
    </row>
    <row r="636" spans="1:6" x14ac:dyDescent="0.2">
      <c r="A636" s="9">
        <v>41543</v>
      </c>
      <c r="B636" s="19">
        <v>133</v>
      </c>
    </row>
    <row r="637" spans="1:6" x14ac:dyDescent="0.2">
      <c r="A637" s="9">
        <v>41544</v>
      </c>
      <c r="B637" s="19">
        <v>97</v>
      </c>
    </row>
    <row r="638" spans="1:6" x14ac:dyDescent="0.2">
      <c r="A638" s="9">
        <v>41545</v>
      </c>
      <c r="B638" s="19">
        <v>55</v>
      </c>
    </row>
    <row r="639" spans="1:6" x14ac:dyDescent="0.2">
      <c r="A639" s="9">
        <v>41546</v>
      </c>
      <c r="B639" s="19">
        <v>18</v>
      </c>
    </row>
    <row r="640" spans="1:6" x14ac:dyDescent="0.2">
      <c r="A640" s="9">
        <v>41547</v>
      </c>
      <c r="B640" s="19">
        <v>165</v>
      </c>
    </row>
    <row r="641" spans="1:6" x14ac:dyDescent="0.2">
      <c r="A641" s="9">
        <v>41548</v>
      </c>
      <c r="B641" s="19">
        <v>212</v>
      </c>
    </row>
    <row r="642" spans="1:6" x14ac:dyDescent="0.2">
      <c r="A642" s="9">
        <v>41549</v>
      </c>
      <c r="B642" s="19">
        <v>106</v>
      </c>
    </row>
    <row r="643" spans="1:6" x14ac:dyDescent="0.2">
      <c r="A643" s="9">
        <v>41550</v>
      </c>
      <c r="B643" s="19">
        <v>120</v>
      </c>
    </row>
    <row r="644" spans="1:6" x14ac:dyDescent="0.2">
      <c r="A644" s="9">
        <v>41551</v>
      </c>
      <c r="B644" s="19">
        <v>84</v>
      </c>
      <c r="F644" s="11">
        <v>8</v>
      </c>
    </row>
    <row r="645" spans="1:6" x14ac:dyDescent="0.2">
      <c r="A645" s="9">
        <v>41552</v>
      </c>
      <c r="B645" s="19">
        <v>41</v>
      </c>
    </row>
    <row r="646" spans="1:6" x14ac:dyDescent="0.2">
      <c r="A646" s="9">
        <v>41553</v>
      </c>
      <c r="B646" s="19">
        <v>10</v>
      </c>
    </row>
    <row r="647" spans="1:6" x14ac:dyDescent="0.2">
      <c r="A647" s="9">
        <v>41554</v>
      </c>
      <c r="B647" s="19">
        <v>182</v>
      </c>
    </row>
    <row r="648" spans="1:6" x14ac:dyDescent="0.2">
      <c r="A648" s="9">
        <v>41555</v>
      </c>
      <c r="B648" s="19">
        <v>108</v>
      </c>
      <c r="F648" s="11">
        <v>1.2</v>
      </c>
    </row>
    <row r="649" spans="1:6" x14ac:dyDescent="0.2">
      <c r="A649" s="9">
        <v>41556</v>
      </c>
      <c r="B649" s="19">
        <v>88</v>
      </c>
    </row>
    <row r="650" spans="1:6" x14ac:dyDescent="0.2">
      <c r="A650" s="9">
        <v>41557</v>
      </c>
      <c r="B650" s="19">
        <v>163</v>
      </c>
    </row>
    <row r="651" spans="1:6" x14ac:dyDescent="0.2">
      <c r="A651" s="9">
        <v>41558</v>
      </c>
      <c r="B651" s="19">
        <v>123</v>
      </c>
    </row>
    <row r="652" spans="1:6" x14ac:dyDescent="0.2">
      <c r="A652" s="9">
        <v>41559</v>
      </c>
      <c r="B652" s="19">
        <v>52</v>
      </c>
    </row>
    <row r="653" spans="1:6" x14ac:dyDescent="0.2">
      <c r="A653" s="9">
        <v>41560</v>
      </c>
      <c r="B653" s="19">
        <v>24</v>
      </c>
    </row>
    <row r="654" spans="1:6" x14ac:dyDescent="0.2">
      <c r="A654" s="9">
        <v>41561</v>
      </c>
      <c r="B654" s="19">
        <v>319</v>
      </c>
      <c r="F654" s="11">
        <v>4.5999999999999996</v>
      </c>
    </row>
    <row r="655" spans="1:6" x14ac:dyDescent="0.2">
      <c r="A655" s="9">
        <v>41562</v>
      </c>
      <c r="B655" s="19">
        <v>171</v>
      </c>
    </row>
    <row r="656" spans="1:6" x14ac:dyDescent="0.2">
      <c r="A656" s="9">
        <v>41563</v>
      </c>
      <c r="B656" s="19">
        <v>174</v>
      </c>
    </row>
    <row r="657" spans="1:6" x14ac:dyDescent="0.2">
      <c r="A657" s="9">
        <v>41564</v>
      </c>
      <c r="B657" s="19">
        <v>139</v>
      </c>
    </row>
    <row r="658" spans="1:6" x14ac:dyDescent="0.2">
      <c r="A658" s="9">
        <v>41565</v>
      </c>
      <c r="B658" s="19">
        <v>186</v>
      </c>
    </row>
    <row r="659" spans="1:6" x14ac:dyDescent="0.2">
      <c r="A659" s="9">
        <v>41566</v>
      </c>
      <c r="B659" s="19">
        <v>52</v>
      </c>
    </row>
    <row r="660" spans="1:6" x14ac:dyDescent="0.2">
      <c r="A660" s="9">
        <v>41567</v>
      </c>
      <c r="B660" s="19">
        <v>17</v>
      </c>
    </row>
    <row r="661" spans="1:6" x14ac:dyDescent="0.2">
      <c r="A661" s="9">
        <v>41568</v>
      </c>
      <c r="B661" s="19">
        <v>280</v>
      </c>
    </row>
    <row r="662" spans="1:6" x14ac:dyDescent="0.2">
      <c r="A662" s="9">
        <v>41569</v>
      </c>
      <c r="B662" s="19">
        <v>274</v>
      </c>
    </row>
    <row r="663" spans="1:6" x14ac:dyDescent="0.2">
      <c r="A663" s="9">
        <v>41570</v>
      </c>
      <c r="B663" s="19">
        <v>241</v>
      </c>
      <c r="F663" s="11">
        <v>3.8</v>
      </c>
    </row>
    <row r="664" spans="1:6" x14ac:dyDescent="0.2">
      <c r="A664" s="9">
        <v>41571</v>
      </c>
      <c r="B664" s="19">
        <v>144</v>
      </c>
    </row>
    <row r="665" spans="1:6" x14ac:dyDescent="0.2">
      <c r="A665" s="9">
        <v>41572</v>
      </c>
      <c r="B665" s="19">
        <v>213</v>
      </c>
    </row>
    <row r="666" spans="1:6" x14ac:dyDescent="0.2">
      <c r="A666" s="9">
        <v>41573</v>
      </c>
      <c r="B666" s="19">
        <v>76</v>
      </c>
    </row>
    <row r="667" spans="1:6" x14ac:dyDescent="0.2">
      <c r="A667" s="9">
        <v>41574</v>
      </c>
      <c r="B667" s="19">
        <v>33</v>
      </c>
    </row>
    <row r="668" spans="1:6" x14ac:dyDescent="0.2">
      <c r="A668" s="9">
        <v>41575</v>
      </c>
      <c r="B668" s="19">
        <v>335</v>
      </c>
      <c r="F668" s="11">
        <v>2</v>
      </c>
    </row>
    <row r="669" spans="1:6" x14ac:dyDescent="0.2">
      <c r="A669" s="9">
        <v>41576</v>
      </c>
      <c r="B669" s="19">
        <v>268</v>
      </c>
    </row>
    <row r="670" spans="1:6" x14ac:dyDescent="0.2">
      <c r="A670" s="9">
        <v>41577</v>
      </c>
      <c r="B670" s="19">
        <v>214</v>
      </c>
      <c r="F670" s="11">
        <v>0.4</v>
      </c>
    </row>
    <row r="671" spans="1:6" x14ac:dyDescent="0.2">
      <c r="A671" s="9">
        <v>41578</v>
      </c>
      <c r="B671" s="19">
        <v>178</v>
      </c>
    </row>
    <row r="672" spans="1:6" x14ac:dyDescent="0.2">
      <c r="A672" s="9">
        <v>41579</v>
      </c>
      <c r="B672" s="19">
        <v>254</v>
      </c>
    </row>
    <row r="673" spans="1:6" x14ac:dyDescent="0.2">
      <c r="A673" s="9">
        <v>41580</v>
      </c>
      <c r="B673" s="19">
        <v>65</v>
      </c>
    </row>
    <row r="674" spans="1:6" x14ac:dyDescent="0.2">
      <c r="A674" s="9">
        <v>41581</v>
      </c>
      <c r="B674" s="19">
        <v>36</v>
      </c>
    </row>
    <row r="675" spans="1:6" x14ac:dyDescent="0.2">
      <c r="A675" s="9">
        <v>41582</v>
      </c>
      <c r="B675" s="19">
        <v>416</v>
      </c>
    </row>
    <row r="676" spans="1:6" x14ac:dyDescent="0.2">
      <c r="A676" s="9">
        <v>41583</v>
      </c>
      <c r="B676" s="19">
        <v>365</v>
      </c>
    </row>
    <row r="677" spans="1:6" x14ac:dyDescent="0.2">
      <c r="A677" s="9">
        <v>41584</v>
      </c>
      <c r="B677" s="19">
        <v>265</v>
      </c>
    </row>
    <row r="678" spans="1:6" x14ac:dyDescent="0.2">
      <c r="A678" s="9">
        <v>41585</v>
      </c>
      <c r="B678" s="19">
        <v>270</v>
      </c>
    </row>
    <row r="679" spans="1:6" x14ac:dyDescent="0.2">
      <c r="A679" s="9">
        <v>41586</v>
      </c>
      <c r="B679" s="19">
        <v>208</v>
      </c>
    </row>
    <row r="680" spans="1:6" x14ac:dyDescent="0.2">
      <c r="A680" s="9">
        <v>41587</v>
      </c>
      <c r="B680" s="19">
        <v>87</v>
      </c>
      <c r="F680" s="11">
        <v>0.5</v>
      </c>
    </row>
    <row r="681" spans="1:6" x14ac:dyDescent="0.2">
      <c r="A681" s="9">
        <v>41588</v>
      </c>
      <c r="B681" s="19">
        <v>31</v>
      </c>
      <c r="F681" s="11">
        <v>13.5</v>
      </c>
    </row>
    <row r="682" spans="1:6" x14ac:dyDescent="0.2">
      <c r="A682" s="9">
        <v>41589</v>
      </c>
      <c r="B682" s="19">
        <v>371</v>
      </c>
      <c r="F682" s="11">
        <v>33.799999999999997</v>
      </c>
    </row>
    <row r="683" spans="1:6" x14ac:dyDescent="0.2">
      <c r="A683" s="9">
        <v>41590</v>
      </c>
      <c r="B683" s="19">
        <v>330</v>
      </c>
      <c r="F683" s="11">
        <v>16.600000000000001</v>
      </c>
    </row>
    <row r="684" spans="1:6" x14ac:dyDescent="0.2">
      <c r="A684" s="9">
        <v>41591</v>
      </c>
      <c r="B684" s="19">
        <v>273</v>
      </c>
      <c r="F684" s="11">
        <v>9.8000000000000007</v>
      </c>
    </row>
    <row r="685" spans="1:6" x14ac:dyDescent="0.2">
      <c r="A685" s="9">
        <v>41592</v>
      </c>
      <c r="B685" s="19">
        <v>298</v>
      </c>
    </row>
    <row r="686" spans="1:6" x14ac:dyDescent="0.2">
      <c r="A686" s="9">
        <v>41593</v>
      </c>
      <c r="B686" s="19">
        <v>189</v>
      </c>
    </row>
    <row r="687" spans="1:6" x14ac:dyDescent="0.2">
      <c r="A687" s="9">
        <v>41594</v>
      </c>
      <c r="B687" s="19">
        <v>93</v>
      </c>
      <c r="F687" s="11">
        <v>26.1</v>
      </c>
    </row>
    <row r="688" spans="1:6" x14ac:dyDescent="0.2">
      <c r="A688" s="9">
        <v>41595</v>
      </c>
      <c r="B688" s="19">
        <v>47</v>
      </c>
      <c r="F688" s="11">
        <v>45</v>
      </c>
    </row>
    <row r="689" spans="1:6" x14ac:dyDescent="0.2">
      <c r="A689" s="9">
        <v>41596</v>
      </c>
      <c r="B689" s="19">
        <v>349</v>
      </c>
      <c r="F689" s="11">
        <v>1.4</v>
      </c>
    </row>
    <row r="690" spans="1:6" x14ac:dyDescent="0.2">
      <c r="A690" s="9">
        <v>41597</v>
      </c>
      <c r="B690" s="19">
        <v>283</v>
      </c>
      <c r="F690" s="11">
        <v>18</v>
      </c>
    </row>
    <row r="691" spans="1:6" x14ac:dyDescent="0.2">
      <c r="A691" s="9">
        <v>41598</v>
      </c>
      <c r="B691" s="19">
        <v>309</v>
      </c>
    </row>
    <row r="692" spans="1:6" x14ac:dyDescent="0.2">
      <c r="A692" s="9">
        <v>41599</v>
      </c>
      <c r="B692" s="19">
        <v>212</v>
      </c>
    </row>
    <row r="693" spans="1:6" x14ac:dyDescent="0.2">
      <c r="A693" s="9">
        <v>41600</v>
      </c>
      <c r="B693" s="19">
        <v>223</v>
      </c>
      <c r="F693" s="11">
        <v>3</v>
      </c>
    </row>
    <row r="694" spans="1:6" x14ac:dyDescent="0.2">
      <c r="A694" s="9">
        <v>41601</v>
      </c>
      <c r="B694" s="19">
        <v>62</v>
      </c>
      <c r="F694" s="11">
        <v>1.5</v>
      </c>
    </row>
    <row r="695" spans="1:6" x14ac:dyDescent="0.2">
      <c r="A695" s="9">
        <v>41602</v>
      </c>
      <c r="B695" s="19">
        <v>37</v>
      </c>
      <c r="F695" s="11">
        <v>4.2</v>
      </c>
    </row>
    <row r="696" spans="1:6" x14ac:dyDescent="0.2">
      <c r="A696" s="9">
        <v>41603</v>
      </c>
      <c r="B696" s="19">
        <v>415</v>
      </c>
    </row>
    <row r="697" spans="1:6" x14ac:dyDescent="0.2">
      <c r="A697" s="9">
        <v>41604</v>
      </c>
      <c r="B697" s="19">
        <v>381</v>
      </c>
      <c r="F697" s="11">
        <v>3.5</v>
      </c>
    </row>
    <row r="698" spans="1:6" x14ac:dyDescent="0.2">
      <c r="A698" s="9">
        <v>41605</v>
      </c>
      <c r="B698" s="19">
        <v>251</v>
      </c>
    </row>
    <row r="699" spans="1:6" x14ac:dyDescent="0.2">
      <c r="A699" s="9">
        <v>41606</v>
      </c>
      <c r="B699" s="19">
        <v>245</v>
      </c>
    </row>
    <row r="700" spans="1:6" x14ac:dyDescent="0.2">
      <c r="A700" s="9">
        <v>41607</v>
      </c>
      <c r="B700" s="19">
        <v>165</v>
      </c>
      <c r="F700" s="11">
        <v>0.4</v>
      </c>
    </row>
    <row r="701" spans="1:6" x14ac:dyDescent="0.2">
      <c r="A701" s="9">
        <v>41608</v>
      </c>
      <c r="B701" s="19">
        <v>86</v>
      </c>
      <c r="F701" s="11">
        <v>2.6</v>
      </c>
    </row>
    <row r="702" spans="1:6" x14ac:dyDescent="0.2">
      <c r="A702" s="9">
        <v>41609</v>
      </c>
      <c r="B702" s="19">
        <v>30</v>
      </c>
    </row>
    <row r="703" spans="1:6" x14ac:dyDescent="0.2">
      <c r="A703" s="9">
        <v>41610</v>
      </c>
      <c r="B703" s="19">
        <v>265</v>
      </c>
    </row>
    <row r="704" spans="1:6" x14ac:dyDescent="0.2">
      <c r="A704" s="9">
        <v>41611</v>
      </c>
      <c r="B704" s="19">
        <v>278</v>
      </c>
    </row>
    <row r="705" spans="1:6" x14ac:dyDescent="0.2">
      <c r="A705" s="9">
        <v>41612</v>
      </c>
      <c r="B705" s="19">
        <v>239</v>
      </c>
    </row>
    <row r="706" spans="1:6" x14ac:dyDescent="0.2">
      <c r="A706" s="9">
        <v>41613</v>
      </c>
      <c r="B706" s="19">
        <v>279</v>
      </c>
      <c r="F706" s="11">
        <v>4.4000000000000004</v>
      </c>
    </row>
    <row r="707" spans="1:6" x14ac:dyDescent="0.2">
      <c r="A707" s="9">
        <v>41614</v>
      </c>
      <c r="B707" s="19">
        <v>190</v>
      </c>
    </row>
    <row r="708" spans="1:6" x14ac:dyDescent="0.2">
      <c r="A708" s="9">
        <v>41615</v>
      </c>
      <c r="B708" s="19">
        <v>52</v>
      </c>
    </row>
    <row r="709" spans="1:6" x14ac:dyDescent="0.2">
      <c r="A709" s="9">
        <v>41616</v>
      </c>
      <c r="B709" s="19">
        <v>28</v>
      </c>
    </row>
    <row r="710" spans="1:6" x14ac:dyDescent="0.2">
      <c r="A710" s="9">
        <v>41617</v>
      </c>
      <c r="B710" s="19">
        <v>292</v>
      </c>
    </row>
    <row r="711" spans="1:6" x14ac:dyDescent="0.2">
      <c r="A711" s="9">
        <v>41618</v>
      </c>
      <c r="B711" s="19">
        <v>334</v>
      </c>
    </row>
    <row r="712" spans="1:6" x14ac:dyDescent="0.2">
      <c r="A712" s="9">
        <v>41619</v>
      </c>
      <c r="B712" s="19">
        <v>240</v>
      </c>
    </row>
    <row r="713" spans="1:6" x14ac:dyDescent="0.2">
      <c r="A713" s="9">
        <v>41620</v>
      </c>
      <c r="B713" s="19">
        <v>161</v>
      </c>
    </row>
    <row r="714" spans="1:6" x14ac:dyDescent="0.2">
      <c r="A714" s="9">
        <v>41621</v>
      </c>
      <c r="B714" s="19">
        <v>220</v>
      </c>
    </row>
    <row r="715" spans="1:6" x14ac:dyDescent="0.2">
      <c r="A715" s="9">
        <v>41622</v>
      </c>
      <c r="B715" s="19">
        <v>66</v>
      </c>
    </row>
    <row r="716" spans="1:6" x14ac:dyDescent="0.2">
      <c r="A716" s="9">
        <v>41623</v>
      </c>
      <c r="B716" s="19">
        <v>29</v>
      </c>
    </row>
    <row r="717" spans="1:6" x14ac:dyDescent="0.2">
      <c r="A717" s="9">
        <v>41624</v>
      </c>
      <c r="B717" s="19">
        <v>352</v>
      </c>
      <c r="F717" s="11">
        <v>3.2</v>
      </c>
    </row>
    <row r="718" spans="1:6" x14ac:dyDescent="0.2">
      <c r="A718" s="9">
        <v>41625</v>
      </c>
      <c r="B718" s="19">
        <v>144</v>
      </c>
      <c r="F718" s="11">
        <v>2.8</v>
      </c>
    </row>
    <row r="719" spans="1:6" x14ac:dyDescent="0.2">
      <c r="A719" s="9">
        <v>41626</v>
      </c>
      <c r="B719" s="19">
        <v>254</v>
      </c>
    </row>
    <row r="720" spans="1:6" x14ac:dyDescent="0.2">
      <c r="A720" s="9">
        <v>41627</v>
      </c>
      <c r="B720" s="19">
        <v>125</v>
      </c>
    </row>
    <row r="721" spans="1:6" x14ac:dyDescent="0.2">
      <c r="A721" s="9">
        <v>41628</v>
      </c>
      <c r="B721" s="19">
        <v>158</v>
      </c>
    </row>
    <row r="722" spans="1:6" x14ac:dyDescent="0.2">
      <c r="A722" s="9">
        <v>41629</v>
      </c>
      <c r="B722" s="19">
        <v>39</v>
      </c>
    </row>
    <row r="723" spans="1:6" x14ac:dyDescent="0.2">
      <c r="A723" s="9">
        <v>41630</v>
      </c>
      <c r="B723" s="19">
        <v>13</v>
      </c>
    </row>
    <row r="724" spans="1:6" x14ac:dyDescent="0.2">
      <c r="A724" s="9">
        <v>41631</v>
      </c>
      <c r="B724" s="19">
        <v>239</v>
      </c>
    </row>
    <row r="725" spans="1:6" x14ac:dyDescent="0.2">
      <c r="A725" s="9">
        <v>41632</v>
      </c>
      <c r="B725" s="19">
        <v>125</v>
      </c>
      <c r="F725" s="11">
        <v>1.5</v>
      </c>
    </row>
    <row r="726" spans="1:6" x14ac:dyDescent="0.2">
      <c r="A726" s="9">
        <v>41633</v>
      </c>
      <c r="B726" s="19">
        <v>116</v>
      </c>
    </row>
    <row r="727" spans="1:6" x14ac:dyDescent="0.2">
      <c r="A727" s="9">
        <v>41634</v>
      </c>
      <c r="B727" s="19">
        <v>169</v>
      </c>
      <c r="F727" s="11">
        <v>24.6</v>
      </c>
    </row>
    <row r="728" spans="1:6" x14ac:dyDescent="0.2">
      <c r="A728" s="9">
        <v>41635</v>
      </c>
      <c r="B728" s="19">
        <v>144</v>
      </c>
      <c r="F728" s="11">
        <v>1.4</v>
      </c>
    </row>
    <row r="729" spans="1:6" x14ac:dyDescent="0.2">
      <c r="A729" s="9">
        <v>41636</v>
      </c>
      <c r="B729" s="19">
        <v>43</v>
      </c>
    </row>
    <row r="730" spans="1:6" x14ac:dyDescent="0.2">
      <c r="A730" s="9">
        <v>41637</v>
      </c>
      <c r="B730" s="19">
        <v>27</v>
      </c>
    </row>
    <row r="731" spans="1:6" x14ac:dyDescent="0.2">
      <c r="A731" s="9">
        <v>41638</v>
      </c>
      <c r="B731" s="19">
        <v>249</v>
      </c>
    </row>
    <row r="732" spans="1:6" x14ac:dyDescent="0.2">
      <c r="A732" s="9">
        <v>41639</v>
      </c>
      <c r="B732" s="19">
        <v>269</v>
      </c>
    </row>
    <row r="733" spans="1:6" x14ac:dyDescent="0.2">
      <c r="A733" s="9">
        <v>41640</v>
      </c>
      <c r="B733" s="19">
        <v>154</v>
      </c>
    </row>
    <row r="734" spans="1:6" x14ac:dyDescent="0.2">
      <c r="A734" s="9">
        <v>41641</v>
      </c>
      <c r="B734" s="19">
        <v>123</v>
      </c>
      <c r="F734" s="11">
        <v>0.2</v>
      </c>
    </row>
    <row r="735" spans="1:6" x14ac:dyDescent="0.2">
      <c r="A735" s="9">
        <v>41642</v>
      </c>
      <c r="B735" s="19">
        <v>88</v>
      </c>
      <c r="F735" s="11">
        <v>0.6</v>
      </c>
    </row>
    <row r="736" spans="1:6" x14ac:dyDescent="0.2">
      <c r="A736" s="9">
        <v>41643</v>
      </c>
      <c r="B736" s="19">
        <v>20</v>
      </c>
    </row>
    <row r="737" spans="1:6" x14ac:dyDescent="0.2">
      <c r="A737" s="9">
        <v>41644</v>
      </c>
      <c r="B737" s="19">
        <v>23</v>
      </c>
    </row>
    <row r="738" spans="1:6" x14ac:dyDescent="0.2">
      <c r="A738" s="9">
        <v>41645</v>
      </c>
      <c r="B738" s="19">
        <v>113</v>
      </c>
    </row>
    <row r="739" spans="1:6" x14ac:dyDescent="0.2">
      <c r="A739" s="9">
        <v>41646</v>
      </c>
      <c r="B739" s="19">
        <v>157</v>
      </c>
    </row>
    <row r="740" spans="1:6" x14ac:dyDescent="0.2">
      <c r="A740" s="9">
        <v>41647</v>
      </c>
      <c r="B740" s="19">
        <v>116</v>
      </c>
      <c r="F740" s="11">
        <v>6.2</v>
      </c>
    </row>
    <row r="741" spans="1:6" x14ac:dyDescent="0.2">
      <c r="A741" s="9">
        <v>41648</v>
      </c>
      <c r="B741" s="19">
        <v>181</v>
      </c>
      <c r="F741" s="11">
        <v>0.4</v>
      </c>
    </row>
    <row r="742" spans="1:6" x14ac:dyDescent="0.2">
      <c r="A742" s="9">
        <v>41649</v>
      </c>
      <c r="B742" s="19">
        <v>146</v>
      </c>
      <c r="F742" s="11">
        <v>1.4</v>
      </c>
    </row>
    <row r="743" spans="1:6" x14ac:dyDescent="0.2">
      <c r="A743" s="9">
        <v>41650</v>
      </c>
      <c r="B743" s="19">
        <v>41</v>
      </c>
    </row>
    <row r="744" spans="1:6" x14ac:dyDescent="0.2">
      <c r="A744" s="9">
        <v>41651</v>
      </c>
      <c r="B744" s="19">
        <v>22</v>
      </c>
    </row>
    <row r="745" spans="1:6" x14ac:dyDescent="0.2">
      <c r="A745" s="9">
        <v>41652</v>
      </c>
      <c r="B745" s="19">
        <v>128</v>
      </c>
    </row>
    <row r="746" spans="1:6" x14ac:dyDescent="0.2">
      <c r="A746" s="9">
        <v>41653</v>
      </c>
      <c r="B746" s="19">
        <v>211</v>
      </c>
    </row>
    <row r="747" spans="1:6" x14ac:dyDescent="0.2">
      <c r="A747" s="9">
        <v>41654</v>
      </c>
      <c r="B747" s="19">
        <v>262</v>
      </c>
    </row>
    <row r="748" spans="1:6" x14ac:dyDescent="0.2">
      <c r="A748" s="9">
        <v>41655</v>
      </c>
      <c r="B748" s="19">
        <v>205</v>
      </c>
    </row>
    <row r="749" spans="1:6" x14ac:dyDescent="0.2">
      <c r="A749" s="9">
        <v>41656</v>
      </c>
      <c r="B749" s="19">
        <v>147</v>
      </c>
    </row>
    <row r="750" spans="1:6" x14ac:dyDescent="0.2">
      <c r="A750" s="9">
        <v>41657</v>
      </c>
      <c r="B750" s="19">
        <v>45</v>
      </c>
    </row>
    <row r="751" spans="1:6" x14ac:dyDescent="0.2">
      <c r="A751" s="9">
        <v>41658</v>
      </c>
      <c r="B751" s="19">
        <v>17</v>
      </c>
    </row>
    <row r="752" spans="1:6" x14ac:dyDescent="0.2">
      <c r="A752" s="9">
        <v>41659</v>
      </c>
      <c r="B752" s="19">
        <v>329</v>
      </c>
    </row>
    <row r="753" spans="1:6" x14ac:dyDescent="0.2">
      <c r="A753" s="9">
        <v>41660</v>
      </c>
      <c r="B753" s="19">
        <v>220</v>
      </c>
      <c r="F753" s="11">
        <v>6</v>
      </c>
    </row>
    <row r="754" spans="1:6" x14ac:dyDescent="0.2">
      <c r="A754" s="9">
        <v>41661</v>
      </c>
      <c r="B754" s="19">
        <v>220</v>
      </c>
      <c r="F754" s="11">
        <v>1.4</v>
      </c>
    </row>
    <row r="755" spans="1:6" x14ac:dyDescent="0.2">
      <c r="A755" s="9">
        <v>41662</v>
      </c>
      <c r="B755" s="19">
        <v>238</v>
      </c>
      <c r="F755" s="11">
        <v>0.4</v>
      </c>
    </row>
    <row r="756" spans="1:6" x14ac:dyDescent="0.2">
      <c r="A756" s="9">
        <v>41663</v>
      </c>
      <c r="B756" s="19">
        <v>197</v>
      </c>
      <c r="F756" s="11">
        <v>0.4</v>
      </c>
    </row>
    <row r="757" spans="1:6" x14ac:dyDescent="0.2">
      <c r="A757" s="9">
        <v>41664</v>
      </c>
      <c r="B757" s="19">
        <v>56</v>
      </c>
      <c r="F757" s="11">
        <v>2.6</v>
      </c>
    </row>
    <row r="758" spans="1:6" x14ac:dyDescent="0.2">
      <c r="A758" s="9">
        <v>41665</v>
      </c>
      <c r="B758" s="19">
        <v>31</v>
      </c>
      <c r="F758" s="11">
        <v>0.8</v>
      </c>
    </row>
    <row r="759" spans="1:6" x14ac:dyDescent="0.2">
      <c r="A759" s="9">
        <v>41666</v>
      </c>
      <c r="B759" s="19">
        <v>311</v>
      </c>
    </row>
    <row r="760" spans="1:6" x14ac:dyDescent="0.2">
      <c r="A760" s="9">
        <v>41667</v>
      </c>
      <c r="B760" s="19">
        <v>283</v>
      </c>
    </row>
    <row r="761" spans="1:6" x14ac:dyDescent="0.2">
      <c r="A761" s="9">
        <v>41668</v>
      </c>
      <c r="B761" s="19">
        <v>227</v>
      </c>
    </row>
    <row r="762" spans="1:6" x14ac:dyDescent="0.2">
      <c r="A762" s="9">
        <v>41669</v>
      </c>
      <c r="B762" s="19">
        <v>204</v>
      </c>
    </row>
    <row r="763" spans="1:6" x14ac:dyDescent="0.2">
      <c r="A763" s="9">
        <v>41670</v>
      </c>
      <c r="B763" s="19">
        <v>179</v>
      </c>
    </row>
    <row r="764" spans="1:6" x14ac:dyDescent="0.2">
      <c r="A764" s="9">
        <v>41671</v>
      </c>
      <c r="B764" s="19">
        <v>80</v>
      </c>
    </row>
    <row r="765" spans="1:6" x14ac:dyDescent="0.2">
      <c r="A765" s="9">
        <v>41672</v>
      </c>
      <c r="B765" s="19">
        <v>40</v>
      </c>
    </row>
    <row r="766" spans="1:6" x14ac:dyDescent="0.2">
      <c r="A766" s="9">
        <v>41673</v>
      </c>
      <c r="B766" s="19">
        <v>449</v>
      </c>
    </row>
    <row r="767" spans="1:6" x14ac:dyDescent="0.2">
      <c r="A767" s="9">
        <v>41674</v>
      </c>
      <c r="B767" s="19">
        <v>406</v>
      </c>
    </row>
    <row r="768" spans="1:6" x14ac:dyDescent="0.2">
      <c r="A768" s="9">
        <v>41675</v>
      </c>
      <c r="B768" s="19">
        <v>369</v>
      </c>
      <c r="F768" s="11">
        <v>4</v>
      </c>
    </row>
    <row r="769" spans="1:6" x14ac:dyDescent="0.2">
      <c r="A769" s="9">
        <v>41676</v>
      </c>
      <c r="B769" s="19">
        <v>272</v>
      </c>
      <c r="F769" s="11">
        <v>1.2</v>
      </c>
    </row>
    <row r="770" spans="1:6" x14ac:dyDescent="0.2">
      <c r="A770" s="9">
        <v>41677</v>
      </c>
      <c r="B770" s="19">
        <v>228</v>
      </c>
    </row>
    <row r="771" spans="1:6" x14ac:dyDescent="0.2">
      <c r="A771" s="9">
        <v>41678</v>
      </c>
      <c r="B771" s="19">
        <v>72</v>
      </c>
    </row>
    <row r="772" spans="1:6" x14ac:dyDescent="0.2">
      <c r="A772" s="9">
        <v>41679</v>
      </c>
      <c r="B772" s="19">
        <v>30</v>
      </c>
    </row>
    <row r="773" spans="1:6" x14ac:dyDescent="0.2">
      <c r="A773" s="9">
        <v>41680</v>
      </c>
      <c r="B773" s="19">
        <v>413</v>
      </c>
    </row>
    <row r="774" spans="1:6" x14ac:dyDescent="0.2">
      <c r="A774" s="9">
        <v>41681</v>
      </c>
      <c r="B774" s="19">
        <v>410</v>
      </c>
    </row>
    <row r="775" spans="1:6" x14ac:dyDescent="0.2">
      <c r="A775" s="9">
        <v>41682</v>
      </c>
      <c r="B775" s="19">
        <v>271</v>
      </c>
      <c r="F775" s="11">
        <v>0.6</v>
      </c>
    </row>
    <row r="776" spans="1:6" x14ac:dyDescent="0.2">
      <c r="A776" s="9">
        <v>41683</v>
      </c>
      <c r="B776" s="19">
        <v>207</v>
      </c>
      <c r="F776" s="11">
        <v>1.6</v>
      </c>
    </row>
    <row r="777" spans="1:6" x14ac:dyDescent="0.2">
      <c r="A777" s="9">
        <v>41684</v>
      </c>
      <c r="B777" s="19">
        <v>236</v>
      </c>
      <c r="F777" s="11">
        <v>0.4</v>
      </c>
    </row>
    <row r="778" spans="1:6" x14ac:dyDescent="0.2">
      <c r="A778" s="9">
        <v>41685</v>
      </c>
      <c r="B778" s="19">
        <v>70</v>
      </c>
      <c r="F778" s="11">
        <v>3</v>
      </c>
    </row>
    <row r="779" spans="1:6" x14ac:dyDescent="0.2">
      <c r="A779" s="9">
        <v>41686</v>
      </c>
      <c r="B779" s="19">
        <v>48</v>
      </c>
      <c r="F779" s="11">
        <v>8</v>
      </c>
    </row>
    <row r="780" spans="1:6" x14ac:dyDescent="0.2">
      <c r="A780" s="9">
        <v>41687</v>
      </c>
      <c r="B780" s="19">
        <v>401</v>
      </c>
      <c r="F780" s="11">
        <v>22.6</v>
      </c>
    </row>
    <row r="781" spans="1:6" x14ac:dyDescent="0.2">
      <c r="A781" s="9">
        <v>41688</v>
      </c>
      <c r="B781" s="19">
        <v>300</v>
      </c>
    </row>
    <row r="782" spans="1:6" x14ac:dyDescent="0.2">
      <c r="A782" s="9">
        <v>41689</v>
      </c>
      <c r="B782" s="19">
        <v>285</v>
      </c>
    </row>
    <row r="783" spans="1:6" x14ac:dyDescent="0.2">
      <c r="A783" s="9">
        <v>41690</v>
      </c>
      <c r="B783" s="19">
        <v>247</v>
      </c>
      <c r="F783" s="11">
        <v>13</v>
      </c>
    </row>
    <row r="784" spans="1:6" x14ac:dyDescent="0.2">
      <c r="A784" s="9">
        <v>41691</v>
      </c>
      <c r="B784" s="19">
        <v>292</v>
      </c>
    </row>
    <row r="785" spans="1:6" x14ac:dyDescent="0.2">
      <c r="A785" s="9">
        <v>41692</v>
      </c>
      <c r="B785" s="19">
        <v>66</v>
      </c>
    </row>
    <row r="786" spans="1:6" x14ac:dyDescent="0.2">
      <c r="A786" s="9">
        <v>41693</v>
      </c>
      <c r="B786" s="19">
        <v>42</v>
      </c>
      <c r="F786" s="11">
        <v>0.2</v>
      </c>
    </row>
    <row r="787" spans="1:6" x14ac:dyDescent="0.2">
      <c r="A787" s="9">
        <v>41694</v>
      </c>
      <c r="B787" s="19">
        <v>458</v>
      </c>
      <c r="F787" s="11">
        <v>0.2</v>
      </c>
    </row>
    <row r="788" spans="1:6" x14ac:dyDescent="0.2">
      <c r="A788" s="9">
        <v>41695</v>
      </c>
      <c r="B788" s="19">
        <v>369</v>
      </c>
    </row>
    <row r="789" spans="1:6" x14ac:dyDescent="0.2">
      <c r="A789" s="9">
        <v>41696</v>
      </c>
      <c r="B789" s="19">
        <v>336</v>
      </c>
    </row>
    <row r="790" spans="1:6" x14ac:dyDescent="0.2">
      <c r="A790" s="9">
        <v>41697</v>
      </c>
      <c r="B790" s="19">
        <v>285</v>
      </c>
      <c r="F790" s="11">
        <v>4.8</v>
      </c>
    </row>
    <row r="791" spans="1:6" x14ac:dyDescent="0.2">
      <c r="A791" s="9">
        <v>41698</v>
      </c>
      <c r="B791" s="19">
        <v>255</v>
      </c>
      <c r="F791" s="11">
        <v>3.2</v>
      </c>
    </row>
    <row r="792" spans="1:6" x14ac:dyDescent="0.2">
      <c r="A792" s="9">
        <v>41699</v>
      </c>
      <c r="B792" s="19">
        <v>63</v>
      </c>
      <c r="F792" s="11">
        <v>11</v>
      </c>
    </row>
    <row r="793" spans="1:6" x14ac:dyDescent="0.2">
      <c r="A793" s="9">
        <v>41700</v>
      </c>
      <c r="B793" s="19">
        <v>39</v>
      </c>
      <c r="F793" s="11">
        <v>1</v>
      </c>
    </row>
    <row r="794" spans="1:6" x14ac:dyDescent="0.2">
      <c r="A794" s="9">
        <v>41701</v>
      </c>
      <c r="B794" s="19">
        <v>391</v>
      </c>
      <c r="F794" s="11">
        <v>5.8</v>
      </c>
    </row>
    <row r="795" spans="1:6" x14ac:dyDescent="0.2">
      <c r="A795" s="9">
        <v>41702</v>
      </c>
      <c r="B795" s="19">
        <v>378</v>
      </c>
      <c r="F795" s="11">
        <v>2.8</v>
      </c>
    </row>
    <row r="796" spans="1:6" x14ac:dyDescent="0.2">
      <c r="A796" s="9">
        <v>41703</v>
      </c>
      <c r="B796" s="19">
        <v>317</v>
      </c>
    </row>
    <row r="797" spans="1:6" x14ac:dyDescent="0.2">
      <c r="A797" s="9">
        <v>41704</v>
      </c>
      <c r="B797" s="19">
        <v>247</v>
      </c>
      <c r="F797" s="11">
        <v>6</v>
      </c>
    </row>
    <row r="798" spans="1:6" x14ac:dyDescent="0.2">
      <c r="A798" s="9">
        <v>41705</v>
      </c>
      <c r="B798" s="19">
        <v>162</v>
      </c>
    </row>
    <row r="799" spans="1:6" x14ac:dyDescent="0.2">
      <c r="A799" s="9">
        <v>41706</v>
      </c>
      <c r="B799" s="19">
        <v>67</v>
      </c>
      <c r="F799" s="11">
        <v>0.5</v>
      </c>
    </row>
    <row r="800" spans="1:6" x14ac:dyDescent="0.2">
      <c r="A800" s="9">
        <v>41707</v>
      </c>
      <c r="B800" s="19">
        <v>30</v>
      </c>
      <c r="F800" s="11">
        <v>1.2</v>
      </c>
    </row>
    <row r="801" spans="1:6" x14ac:dyDescent="0.2">
      <c r="A801" s="9">
        <v>41708</v>
      </c>
      <c r="B801" s="19">
        <v>258</v>
      </c>
    </row>
    <row r="802" spans="1:6" x14ac:dyDescent="0.2">
      <c r="A802" s="9">
        <v>41709</v>
      </c>
      <c r="B802" s="19">
        <v>260</v>
      </c>
    </row>
    <row r="803" spans="1:6" x14ac:dyDescent="0.2">
      <c r="A803" s="9">
        <v>41710</v>
      </c>
      <c r="B803" s="19">
        <v>237</v>
      </c>
    </row>
    <row r="804" spans="1:6" x14ac:dyDescent="0.2">
      <c r="A804" s="9">
        <v>41711</v>
      </c>
      <c r="B804" s="19">
        <v>235</v>
      </c>
      <c r="F804" s="11">
        <v>21</v>
      </c>
    </row>
    <row r="805" spans="1:6" x14ac:dyDescent="0.2">
      <c r="A805" s="9">
        <v>41712</v>
      </c>
      <c r="B805" s="19">
        <v>145</v>
      </c>
    </row>
    <row r="806" spans="1:6" x14ac:dyDescent="0.2">
      <c r="A806" s="9">
        <v>41713</v>
      </c>
      <c r="B806" s="19">
        <v>35</v>
      </c>
    </row>
    <row r="807" spans="1:6" x14ac:dyDescent="0.2">
      <c r="A807" s="9">
        <v>41714</v>
      </c>
      <c r="B807" s="19">
        <v>36</v>
      </c>
      <c r="F807" s="11">
        <v>6.6</v>
      </c>
    </row>
    <row r="808" spans="1:6" x14ac:dyDescent="0.2">
      <c r="A808" s="9">
        <v>41715</v>
      </c>
      <c r="B808" s="19">
        <v>176</v>
      </c>
      <c r="F808" s="11">
        <v>5</v>
      </c>
    </row>
    <row r="809" spans="1:6" x14ac:dyDescent="0.2">
      <c r="A809" s="9">
        <v>41716</v>
      </c>
      <c r="B809" s="19">
        <v>152</v>
      </c>
    </row>
    <row r="810" spans="1:6" x14ac:dyDescent="0.2">
      <c r="A810" s="9">
        <v>41717</v>
      </c>
      <c r="B810" s="19">
        <v>170</v>
      </c>
    </row>
    <row r="811" spans="1:6" x14ac:dyDescent="0.2">
      <c r="A811" s="9">
        <v>41718</v>
      </c>
      <c r="B811" s="19">
        <v>224</v>
      </c>
    </row>
    <row r="812" spans="1:6" x14ac:dyDescent="0.2">
      <c r="A812" s="9">
        <v>41719</v>
      </c>
      <c r="B812" s="19">
        <v>190</v>
      </c>
      <c r="F812" s="11">
        <v>1.4</v>
      </c>
    </row>
    <row r="813" spans="1:6" x14ac:dyDescent="0.2">
      <c r="A813" s="9">
        <v>41720</v>
      </c>
      <c r="B813" s="19">
        <v>54</v>
      </c>
    </row>
    <row r="814" spans="1:6" x14ac:dyDescent="0.2">
      <c r="A814" s="9">
        <v>41721</v>
      </c>
      <c r="B814" s="19">
        <v>30</v>
      </c>
    </row>
    <row r="815" spans="1:6" x14ac:dyDescent="0.2">
      <c r="A815" s="9">
        <v>41722</v>
      </c>
      <c r="B815" s="19">
        <v>167</v>
      </c>
      <c r="F815" s="11">
        <v>2.2000000000000002</v>
      </c>
    </row>
    <row r="816" spans="1:6" x14ac:dyDescent="0.2">
      <c r="A816" s="9">
        <v>41723</v>
      </c>
      <c r="B816" s="19">
        <v>265</v>
      </c>
      <c r="F816" s="11">
        <v>12.2</v>
      </c>
    </row>
    <row r="817" spans="1:6" x14ac:dyDescent="0.2">
      <c r="A817" s="9">
        <v>41724</v>
      </c>
      <c r="B817" s="19">
        <v>168</v>
      </c>
      <c r="F817" s="11">
        <v>3.4</v>
      </c>
    </row>
    <row r="818" spans="1:6" x14ac:dyDescent="0.2">
      <c r="A818" s="9">
        <v>41725</v>
      </c>
      <c r="B818" s="19">
        <v>210</v>
      </c>
      <c r="F818" s="11">
        <v>26.8</v>
      </c>
    </row>
    <row r="819" spans="1:6" x14ac:dyDescent="0.2">
      <c r="A819" s="9">
        <v>41726</v>
      </c>
      <c r="B819" s="19">
        <v>176</v>
      </c>
      <c r="F819" s="11">
        <v>7.2</v>
      </c>
    </row>
    <row r="820" spans="1:6" x14ac:dyDescent="0.2">
      <c r="A820" s="9">
        <v>41727</v>
      </c>
      <c r="B820" s="19">
        <v>37</v>
      </c>
      <c r="F820" s="11">
        <v>1.5</v>
      </c>
    </row>
    <row r="821" spans="1:6" x14ac:dyDescent="0.2">
      <c r="A821" s="9">
        <v>41728</v>
      </c>
      <c r="B821" s="19">
        <v>14</v>
      </c>
      <c r="F821" s="11">
        <v>0.2</v>
      </c>
    </row>
    <row r="822" spans="1:6" x14ac:dyDescent="0.2">
      <c r="A822" s="9">
        <v>41729</v>
      </c>
      <c r="B822" s="19">
        <v>110</v>
      </c>
      <c r="F822" s="11">
        <v>3.8</v>
      </c>
    </row>
    <row r="823" spans="1:6" x14ac:dyDescent="0.2">
      <c r="A823" s="9">
        <v>41730</v>
      </c>
      <c r="B823" s="19">
        <v>159</v>
      </c>
    </row>
    <row r="824" spans="1:6" x14ac:dyDescent="0.2">
      <c r="A824" s="9">
        <v>41731</v>
      </c>
      <c r="B824" s="19">
        <v>143</v>
      </c>
    </row>
    <row r="825" spans="1:6" x14ac:dyDescent="0.2">
      <c r="A825" s="9">
        <v>41732</v>
      </c>
      <c r="B825" s="19">
        <v>133</v>
      </c>
    </row>
    <row r="826" spans="1:6" x14ac:dyDescent="0.2">
      <c r="A826" s="9">
        <v>41733</v>
      </c>
      <c r="B826" s="19">
        <v>128</v>
      </c>
      <c r="F826" s="11">
        <v>6</v>
      </c>
    </row>
    <row r="827" spans="1:6" x14ac:dyDescent="0.2">
      <c r="A827" s="9">
        <v>41734</v>
      </c>
      <c r="B827" s="19">
        <v>25</v>
      </c>
    </row>
    <row r="828" spans="1:6" x14ac:dyDescent="0.2">
      <c r="A828" s="9">
        <v>41735</v>
      </c>
      <c r="B828" s="19">
        <v>21</v>
      </c>
    </row>
    <row r="829" spans="1:6" x14ac:dyDescent="0.2">
      <c r="A829" s="9">
        <v>41736</v>
      </c>
      <c r="B829" s="19">
        <v>234</v>
      </c>
      <c r="F829" s="11">
        <v>22</v>
      </c>
    </row>
    <row r="830" spans="1:6" x14ac:dyDescent="0.2">
      <c r="A830" s="9">
        <v>41737</v>
      </c>
      <c r="B830" s="19">
        <v>217</v>
      </c>
      <c r="F830" s="11">
        <v>0.2</v>
      </c>
    </row>
    <row r="831" spans="1:6" x14ac:dyDescent="0.2">
      <c r="A831" s="9">
        <v>41738</v>
      </c>
      <c r="B831" s="19">
        <v>168</v>
      </c>
    </row>
    <row r="832" spans="1:6" x14ac:dyDescent="0.2">
      <c r="A832" s="9">
        <v>41739</v>
      </c>
      <c r="B832" s="19">
        <v>211</v>
      </c>
    </row>
    <row r="833" spans="1:6" x14ac:dyDescent="0.2">
      <c r="A833" s="9">
        <v>41740</v>
      </c>
      <c r="B833" s="19">
        <v>135</v>
      </c>
      <c r="F833" s="11">
        <v>6.2</v>
      </c>
    </row>
    <row r="834" spans="1:6" x14ac:dyDescent="0.2">
      <c r="A834" s="9">
        <v>41741</v>
      </c>
      <c r="B834" s="19">
        <v>40</v>
      </c>
      <c r="F834" s="11">
        <v>5</v>
      </c>
    </row>
    <row r="835" spans="1:6" x14ac:dyDescent="0.2">
      <c r="A835" s="9">
        <v>41742</v>
      </c>
      <c r="B835" s="19">
        <v>12</v>
      </c>
      <c r="F835" s="11">
        <v>5.4</v>
      </c>
    </row>
    <row r="836" spans="1:6" x14ac:dyDescent="0.2">
      <c r="A836" s="9">
        <v>41743</v>
      </c>
      <c r="B836" s="19">
        <v>195</v>
      </c>
      <c r="F836" s="11">
        <v>4.5999999999999996</v>
      </c>
    </row>
    <row r="837" spans="1:6" x14ac:dyDescent="0.2">
      <c r="A837" s="9">
        <v>41744</v>
      </c>
      <c r="B837" s="19">
        <v>267</v>
      </c>
      <c r="F837" s="11">
        <v>4.8</v>
      </c>
    </row>
    <row r="838" spans="1:6" x14ac:dyDescent="0.2">
      <c r="A838" s="9">
        <v>41745</v>
      </c>
      <c r="B838" s="19">
        <v>204</v>
      </c>
      <c r="F838" s="11">
        <v>27.2</v>
      </c>
    </row>
    <row r="839" spans="1:6" x14ac:dyDescent="0.2">
      <c r="A839" s="9">
        <v>41746</v>
      </c>
      <c r="B839" s="19">
        <v>207</v>
      </c>
    </row>
    <row r="840" spans="1:6" x14ac:dyDescent="0.2">
      <c r="A840" s="9">
        <v>41747</v>
      </c>
      <c r="B840" s="19">
        <v>144</v>
      </c>
    </row>
    <row r="841" spans="1:6" x14ac:dyDescent="0.2">
      <c r="A841" s="9">
        <v>41748</v>
      </c>
      <c r="B841" s="19">
        <v>64</v>
      </c>
    </row>
    <row r="842" spans="1:6" x14ac:dyDescent="0.2">
      <c r="A842" s="9">
        <v>41749</v>
      </c>
      <c r="B842" s="19">
        <v>22</v>
      </c>
    </row>
    <row r="843" spans="1:6" x14ac:dyDescent="0.2">
      <c r="A843" s="9">
        <v>41750</v>
      </c>
      <c r="B843" s="19">
        <v>211</v>
      </c>
    </row>
    <row r="844" spans="1:6" x14ac:dyDescent="0.2">
      <c r="A844" s="9">
        <v>41751</v>
      </c>
      <c r="B844" s="19">
        <v>214</v>
      </c>
    </row>
    <row r="845" spans="1:6" x14ac:dyDescent="0.2">
      <c r="A845" s="9">
        <v>41752</v>
      </c>
      <c r="B845" s="19">
        <v>289</v>
      </c>
    </row>
    <row r="846" spans="1:6" x14ac:dyDescent="0.2">
      <c r="A846" s="9">
        <v>41753</v>
      </c>
      <c r="B846" s="19">
        <v>245</v>
      </c>
    </row>
    <row r="847" spans="1:6" x14ac:dyDescent="0.2">
      <c r="A847" s="9">
        <v>41754</v>
      </c>
      <c r="B847" s="19">
        <v>154</v>
      </c>
      <c r="F847" s="11">
        <v>13</v>
      </c>
    </row>
    <row r="848" spans="1:6" x14ac:dyDescent="0.2">
      <c r="A848" s="9">
        <v>41755</v>
      </c>
      <c r="B848" s="19">
        <v>41</v>
      </c>
      <c r="F848" s="11">
        <v>2</v>
      </c>
    </row>
    <row r="849" spans="1:6" x14ac:dyDescent="0.2">
      <c r="A849" s="9">
        <v>41756</v>
      </c>
      <c r="B849" s="19">
        <v>32</v>
      </c>
      <c r="F849" s="11">
        <v>0.8</v>
      </c>
    </row>
    <row r="850" spans="1:6" x14ac:dyDescent="0.2">
      <c r="A850" s="9">
        <v>41757</v>
      </c>
      <c r="B850" s="19">
        <v>383</v>
      </c>
      <c r="F850" s="11">
        <v>18.2</v>
      </c>
    </row>
    <row r="851" spans="1:6" x14ac:dyDescent="0.2">
      <c r="A851" s="9">
        <v>41758</v>
      </c>
      <c r="B851" s="19">
        <v>320</v>
      </c>
    </row>
    <row r="852" spans="1:6" x14ac:dyDescent="0.2">
      <c r="A852" s="9">
        <v>41759</v>
      </c>
      <c r="B852" s="19">
        <v>253</v>
      </c>
      <c r="F852" s="11">
        <v>3.6</v>
      </c>
    </row>
    <row r="853" spans="1:6" x14ac:dyDescent="0.2">
      <c r="A853" s="9">
        <v>41760</v>
      </c>
      <c r="B853" s="19">
        <v>251</v>
      </c>
    </row>
    <row r="854" spans="1:6" x14ac:dyDescent="0.2">
      <c r="A854" s="9">
        <v>41761</v>
      </c>
      <c r="B854" s="19">
        <v>250</v>
      </c>
    </row>
    <row r="855" spans="1:6" x14ac:dyDescent="0.2">
      <c r="A855" s="9">
        <v>41762</v>
      </c>
      <c r="B855" s="19">
        <v>67</v>
      </c>
      <c r="F855" s="11">
        <v>1.6</v>
      </c>
    </row>
    <row r="856" spans="1:6" x14ac:dyDescent="0.2">
      <c r="A856" s="9">
        <v>41763</v>
      </c>
      <c r="B856" s="19">
        <v>30</v>
      </c>
      <c r="F856" s="11">
        <v>5</v>
      </c>
    </row>
    <row r="857" spans="1:6" x14ac:dyDescent="0.2">
      <c r="A857" s="9">
        <v>41764</v>
      </c>
      <c r="B857" s="19">
        <v>393</v>
      </c>
    </row>
    <row r="858" spans="1:6" x14ac:dyDescent="0.2">
      <c r="A858" s="9">
        <v>41765</v>
      </c>
      <c r="B858" s="19">
        <v>301</v>
      </c>
    </row>
    <row r="859" spans="1:6" x14ac:dyDescent="0.2">
      <c r="A859" s="9">
        <v>41766</v>
      </c>
      <c r="B859" s="19">
        <v>359</v>
      </c>
      <c r="F859" s="11">
        <v>0.2</v>
      </c>
    </row>
    <row r="860" spans="1:6" x14ac:dyDescent="0.2">
      <c r="A860" s="9">
        <v>41767</v>
      </c>
      <c r="B860" s="19">
        <v>216</v>
      </c>
    </row>
    <row r="861" spans="1:6" x14ac:dyDescent="0.2">
      <c r="A861" s="9">
        <v>41768</v>
      </c>
      <c r="B861" s="19">
        <v>263</v>
      </c>
      <c r="F861" s="11">
        <v>11</v>
      </c>
    </row>
    <row r="862" spans="1:6" x14ac:dyDescent="0.2">
      <c r="A862" s="9">
        <v>41769</v>
      </c>
      <c r="B862" s="19">
        <v>80</v>
      </c>
    </row>
    <row r="863" spans="1:6" x14ac:dyDescent="0.2">
      <c r="A863" s="9">
        <v>41770</v>
      </c>
      <c r="B863" s="19">
        <v>29</v>
      </c>
      <c r="F863" s="11">
        <v>1.2</v>
      </c>
    </row>
    <row r="864" spans="1:6" x14ac:dyDescent="0.2">
      <c r="A864" s="9">
        <v>41771</v>
      </c>
      <c r="B864" s="19">
        <v>336</v>
      </c>
      <c r="F864" s="11">
        <v>0.2</v>
      </c>
    </row>
    <row r="865" spans="1:6" x14ac:dyDescent="0.2">
      <c r="A865" s="9">
        <v>41772</v>
      </c>
      <c r="B865" s="19">
        <v>327</v>
      </c>
      <c r="F865" s="11">
        <v>12</v>
      </c>
    </row>
    <row r="866" spans="1:6" x14ac:dyDescent="0.2">
      <c r="A866" s="9">
        <v>41773</v>
      </c>
      <c r="B866" s="19">
        <v>324</v>
      </c>
    </row>
    <row r="867" spans="1:6" x14ac:dyDescent="0.2">
      <c r="A867" s="9">
        <v>41774</v>
      </c>
      <c r="B867" s="19">
        <v>311</v>
      </c>
    </row>
    <row r="868" spans="1:6" x14ac:dyDescent="0.2">
      <c r="A868" s="9">
        <v>41775</v>
      </c>
      <c r="B868" s="19">
        <v>296</v>
      </c>
    </row>
    <row r="869" spans="1:6" x14ac:dyDescent="0.2">
      <c r="A869" s="9">
        <v>41776</v>
      </c>
      <c r="B869" s="19">
        <v>92</v>
      </c>
    </row>
    <row r="870" spans="1:6" x14ac:dyDescent="0.2">
      <c r="A870" s="9">
        <v>41777</v>
      </c>
      <c r="B870" s="19">
        <v>42</v>
      </c>
    </row>
    <row r="871" spans="1:6" x14ac:dyDescent="0.2">
      <c r="A871" s="9">
        <v>41778</v>
      </c>
      <c r="B871" s="19">
        <v>423</v>
      </c>
    </row>
    <row r="872" spans="1:6" x14ac:dyDescent="0.2">
      <c r="A872" s="9">
        <v>41779</v>
      </c>
      <c r="B872" s="19">
        <v>411</v>
      </c>
    </row>
    <row r="873" spans="1:6" x14ac:dyDescent="0.2">
      <c r="A873" s="9">
        <v>41780</v>
      </c>
      <c r="B873" s="19">
        <v>272</v>
      </c>
    </row>
    <row r="874" spans="1:6" x14ac:dyDescent="0.2">
      <c r="A874" s="9">
        <v>41781</v>
      </c>
      <c r="B874" s="19">
        <v>252</v>
      </c>
    </row>
    <row r="875" spans="1:6" x14ac:dyDescent="0.2">
      <c r="A875" s="9">
        <v>41782</v>
      </c>
      <c r="B875" s="19">
        <v>182</v>
      </c>
    </row>
    <row r="876" spans="1:6" x14ac:dyDescent="0.2">
      <c r="A876" s="9">
        <v>41783</v>
      </c>
      <c r="B876" s="19">
        <v>87</v>
      </c>
    </row>
    <row r="877" spans="1:6" x14ac:dyDescent="0.2">
      <c r="A877" s="9">
        <v>41784</v>
      </c>
      <c r="B877" s="19">
        <v>35</v>
      </c>
    </row>
    <row r="878" spans="1:6" x14ac:dyDescent="0.2">
      <c r="A878" s="9">
        <v>41785</v>
      </c>
      <c r="B878" s="19">
        <v>410</v>
      </c>
    </row>
    <row r="879" spans="1:6" x14ac:dyDescent="0.2">
      <c r="A879" s="9">
        <v>41786</v>
      </c>
      <c r="B879" s="19">
        <v>251</v>
      </c>
    </row>
    <row r="880" spans="1:6" x14ac:dyDescent="0.2">
      <c r="A880" s="9">
        <v>41787</v>
      </c>
      <c r="B880" s="19">
        <v>229</v>
      </c>
    </row>
    <row r="881" spans="1:6" x14ac:dyDescent="0.2">
      <c r="A881" s="9">
        <v>41788</v>
      </c>
      <c r="B881" s="19">
        <v>318</v>
      </c>
    </row>
    <row r="882" spans="1:6" x14ac:dyDescent="0.2">
      <c r="A882" s="9">
        <v>41789</v>
      </c>
      <c r="B882" s="19">
        <v>241</v>
      </c>
      <c r="F882" s="11">
        <v>2</v>
      </c>
    </row>
    <row r="883" spans="1:6" x14ac:dyDescent="0.2">
      <c r="A883" s="9">
        <v>41790</v>
      </c>
      <c r="B883" s="19">
        <v>72</v>
      </c>
      <c r="F883" s="11">
        <v>5.8</v>
      </c>
    </row>
    <row r="884" spans="1:6" x14ac:dyDescent="0.2">
      <c r="A884" s="9">
        <v>41791</v>
      </c>
      <c r="B884" s="19">
        <v>25</v>
      </c>
    </row>
    <row r="885" spans="1:6" x14ac:dyDescent="0.2">
      <c r="A885" s="9">
        <v>41792</v>
      </c>
      <c r="B885" s="19">
        <v>400</v>
      </c>
      <c r="F885" s="11">
        <v>1</v>
      </c>
    </row>
    <row r="886" spans="1:6" x14ac:dyDescent="0.2">
      <c r="A886" s="9">
        <v>41793</v>
      </c>
      <c r="B886" s="19">
        <v>383</v>
      </c>
    </row>
    <row r="887" spans="1:6" x14ac:dyDescent="0.2">
      <c r="A887" s="9">
        <v>41794</v>
      </c>
      <c r="B887" s="19">
        <v>195</v>
      </c>
    </row>
    <row r="888" spans="1:6" x14ac:dyDescent="0.2">
      <c r="A888" s="9">
        <v>41795</v>
      </c>
      <c r="B888" s="19">
        <v>213</v>
      </c>
      <c r="F888" s="11">
        <v>9.4</v>
      </c>
    </row>
    <row r="889" spans="1:6" x14ac:dyDescent="0.2">
      <c r="A889" s="9">
        <v>41796</v>
      </c>
      <c r="B889" s="19">
        <v>142</v>
      </c>
      <c r="F889" s="11">
        <v>16.8</v>
      </c>
    </row>
    <row r="890" spans="1:6" x14ac:dyDescent="0.2">
      <c r="A890" s="9">
        <v>41797</v>
      </c>
      <c r="B890" s="19">
        <v>52</v>
      </c>
      <c r="F890" s="11">
        <v>1.4</v>
      </c>
    </row>
    <row r="891" spans="1:6" x14ac:dyDescent="0.2">
      <c r="A891" s="9">
        <v>41798</v>
      </c>
      <c r="B891" s="19">
        <v>40</v>
      </c>
      <c r="F891" s="11">
        <v>0.2</v>
      </c>
    </row>
    <row r="892" spans="1:6" x14ac:dyDescent="0.2">
      <c r="A892" s="9">
        <v>41799</v>
      </c>
      <c r="B892" s="19">
        <v>355</v>
      </c>
      <c r="F892" s="11">
        <v>3</v>
      </c>
    </row>
    <row r="893" spans="1:6" x14ac:dyDescent="0.2">
      <c r="A893" s="9">
        <v>41800</v>
      </c>
      <c r="B893" s="19">
        <v>234</v>
      </c>
      <c r="F893" s="11">
        <v>14.4</v>
      </c>
    </row>
    <row r="894" spans="1:6" x14ac:dyDescent="0.2">
      <c r="A894" s="9">
        <v>41801</v>
      </c>
      <c r="B894" s="19">
        <v>204</v>
      </c>
      <c r="F894" s="11">
        <v>6.6</v>
      </c>
    </row>
    <row r="895" spans="1:6" x14ac:dyDescent="0.2">
      <c r="A895" s="9">
        <v>41802</v>
      </c>
      <c r="B895" s="19">
        <v>218</v>
      </c>
    </row>
    <row r="896" spans="1:6" x14ac:dyDescent="0.2">
      <c r="A896" s="9">
        <v>41803</v>
      </c>
      <c r="B896" s="19">
        <v>153</v>
      </c>
    </row>
    <row r="897" spans="1:6" x14ac:dyDescent="0.2">
      <c r="A897" s="9">
        <v>41804</v>
      </c>
      <c r="B897" s="19">
        <v>68</v>
      </c>
      <c r="F897" s="11">
        <v>6</v>
      </c>
    </row>
    <row r="898" spans="1:6" x14ac:dyDescent="0.2">
      <c r="A898" s="9">
        <v>41805</v>
      </c>
      <c r="B898" s="19">
        <v>18</v>
      </c>
      <c r="F898" s="11">
        <v>0.4</v>
      </c>
    </row>
    <row r="899" spans="1:6" x14ac:dyDescent="0.2">
      <c r="A899" s="9">
        <v>41806</v>
      </c>
      <c r="B899" s="19">
        <v>265</v>
      </c>
      <c r="F899" s="11">
        <v>0.4</v>
      </c>
    </row>
    <row r="900" spans="1:6" x14ac:dyDescent="0.2">
      <c r="A900" s="9">
        <v>41807</v>
      </c>
      <c r="B900" s="19">
        <v>305</v>
      </c>
    </row>
    <row r="901" spans="1:6" x14ac:dyDescent="0.2">
      <c r="A901" s="9">
        <v>41808</v>
      </c>
      <c r="B901" s="19">
        <v>121</v>
      </c>
    </row>
    <row r="902" spans="1:6" x14ac:dyDescent="0.2">
      <c r="A902" s="9">
        <v>41809</v>
      </c>
      <c r="B902" s="19">
        <v>116</v>
      </c>
    </row>
    <row r="903" spans="1:6" x14ac:dyDescent="0.2">
      <c r="A903" s="9">
        <v>41810</v>
      </c>
      <c r="B903" s="19">
        <v>161</v>
      </c>
    </row>
    <row r="904" spans="1:6" x14ac:dyDescent="0.2">
      <c r="A904" s="9">
        <v>41811</v>
      </c>
      <c r="B904" s="19">
        <v>30</v>
      </c>
    </row>
    <row r="905" spans="1:6" x14ac:dyDescent="0.2">
      <c r="A905" s="9">
        <v>41812</v>
      </c>
      <c r="B905" s="19">
        <v>23</v>
      </c>
    </row>
    <row r="906" spans="1:6" x14ac:dyDescent="0.2">
      <c r="A906" s="9">
        <v>41813</v>
      </c>
      <c r="B906" s="19">
        <v>134</v>
      </c>
    </row>
    <row r="907" spans="1:6" x14ac:dyDescent="0.2">
      <c r="A907" s="9">
        <v>41814</v>
      </c>
      <c r="B907" s="19">
        <v>126</v>
      </c>
    </row>
    <row r="908" spans="1:6" x14ac:dyDescent="0.2">
      <c r="A908" s="9">
        <v>41815</v>
      </c>
      <c r="B908" s="19">
        <v>190</v>
      </c>
    </row>
    <row r="909" spans="1:6" x14ac:dyDescent="0.2">
      <c r="A909" s="9">
        <v>41816</v>
      </c>
      <c r="B909" s="19">
        <v>121</v>
      </c>
    </row>
    <row r="910" spans="1:6" x14ac:dyDescent="0.2">
      <c r="A910" s="9">
        <v>41817</v>
      </c>
      <c r="B910" s="19">
        <v>146</v>
      </c>
    </row>
    <row r="911" spans="1:6" x14ac:dyDescent="0.2">
      <c r="A911" s="9">
        <v>41818</v>
      </c>
      <c r="B911" s="19">
        <v>47</v>
      </c>
    </row>
    <row r="912" spans="1:6" x14ac:dyDescent="0.2">
      <c r="A912" s="9">
        <v>41819</v>
      </c>
      <c r="B912" s="19">
        <v>22</v>
      </c>
    </row>
    <row r="913" spans="1:6" x14ac:dyDescent="0.2">
      <c r="A913" s="9">
        <v>41820</v>
      </c>
      <c r="B913" s="19">
        <v>300</v>
      </c>
    </row>
    <row r="914" spans="1:6" x14ac:dyDescent="0.2">
      <c r="A914" s="9">
        <v>41821</v>
      </c>
      <c r="B914" s="19">
        <v>218</v>
      </c>
    </row>
    <row r="915" spans="1:6" x14ac:dyDescent="0.2">
      <c r="A915" s="9">
        <v>41822</v>
      </c>
      <c r="B915" s="19">
        <v>182</v>
      </c>
    </row>
    <row r="916" spans="1:6" x14ac:dyDescent="0.2">
      <c r="A916" s="9">
        <v>41823</v>
      </c>
      <c r="B916" s="19">
        <v>97</v>
      </c>
    </row>
    <row r="917" spans="1:6" x14ac:dyDescent="0.2">
      <c r="A917" s="9">
        <v>41824</v>
      </c>
      <c r="B917" s="19">
        <v>158</v>
      </c>
    </row>
    <row r="918" spans="1:6" x14ac:dyDescent="0.2">
      <c r="A918" s="9">
        <v>41825</v>
      </c>
      <c r="B918" s="19">
        <v>42</v>
      </c>
    </row>
    <row r="919" spans="1:6" x14ac:dyDescent="0.2">
      <c r="A919" s="9">
        <v>41826</v>
      </c>
      <c r="B919" s="19">
        <v>16</v>
      </c>
    </row>
    <row r="920" spans="1:6" x14ac:dyDescent="0.2">
      <c r="A920" s="9">
        <v>41827</v>
      </c>
      <c r="B920" s="19">
        <v>161</v>
      </c>
    </row>
    <row r="921" spans="1:6" x14ac:dyDescent="0.2">
      <c r="A921" s="9">
        <v>41828</v>
      </c>
      <c r="B921" s="19">
        <v>192</v>
      </c>
    </row>
    <row r="922" spans="1:6" x14ac:dyDescent="0.2">
      <c r="A922" s="9">
        <v>41829</v>
      </c>
      <c r="B922" s="19">
        <v>163</v>
      </c>
    </row>
    <row r="923" spans="1:6" x14ac:dyDescent="0.2">
      <c r="A923" s="9">
        <v>41830</v>
      </c>
      <c r="B923" s="19">
        <v>144</v>
      </c>
      <c r="F923" s="11">
        <v>0.4</v>
      </c>
    </row>
    <row r="924" spans="1:6" x14ac:dyDescent="0.2">
      <c r="A924" s="9">
        <v>41831</v>
      </c>
      <c r="B924" s="19">
        <v>130</v>
      </c>
    </row>
    <row r="925" spans="1:6" x14ac:dyDescent="0.2">
      <c r="A925" s="9">
        <v>41832</v>
      </c>
      <c r="B925" s="19">
        <v>49</v>
      </c>
    </row>
    <row r="926" spans="1:6" x14ac:dyDescent="0.2">
      <c r="A926" s="9">
        <v>41833</v>
      </c>
      <c r="B926" s="19">
        <v>28</v>
      </c>
      <c r="F926" s="11">
        <v>1</v>
      </c>
    </row>
    <row r="927" spans="1:6" x14ac:dyDescent="0.2">
      <c r="A927" s="9">
        <v>41834</v>
      </c>
      <c r="B927" s="19">
        <v>209</v>
      </c>
    </row>
    <row r="928" spans="1:6" x14ac:dyDescent="0.2">
      <c r="A928" s="9">
        <v>41835</v>
      </c>
      <c r="B928" s="19">
        <v>190</v>
      </c>
      <c r="F928" s="11">
        <v>1.8</v>
      </c>
    </row>
    <row r="929" spans="1:6" x14ac:dyDescent="0.2">
      <c r="A929" s="9">
        <v>41836</v>
      </c>
      <c r="B929" s="19">
        <v>145</v>
      </c>
      <c r="F929" s="11">
        <v>2</v>
      </c>
    </row>
    <row r="930" spans="1:6" x14ac:dyDescent="0.2">
      <c r="A930" s="9">
        <v>41837</v>
      </c>
      <c r="B930" s="19">
        <v>151</v>
      </c>
      <c r="F930" s="11">
        <v>0.2</v>
      </c>
    </row>
    <row r="931" spans="1:6" x14ac:dyDescent="0.2">
      <c r="A931" s="9">
        <v>41838</v>
      </c>
      <c r="B931" s="19">
        <v>97</v>
      </c>
    </row>
    <row r="932" spans="1:6" x14ac:dyDescent="0.2">
      <c r="A932" s="9">
        <v>41839</v>
      </c>
      <c r="B932" s="19">
        <v>59</v>
      </c>
      <c r="F932" s="11">
        <v>0.1</v>
      </c>
    </row>
    <row r="933" spans="1:6" x14ac:dyDescent="0.2">
      <c r="A933" s="9">
        <v>41840</v>
      </c>
      <c r="B933" s="19">
        <v>18</v>
      </c>
    </row>
    <row r="934" spans="1:6" x14ac:dyDescent="0.2">
      <c r="A934" s="9">
        <v>41841</v>
      </c>
      <c r="B934" s="19">
        <v>276</v>
      </c>
    </row>
    <row r="935" spans="1:6" x14ac:dyDescent="0.2">
      <c r="A935" s="9">
        <v>41842</v>
      </c>
      <c r="B935" s="19">
        <v>251</v>
      </c>
    </row>
    <row r="936" spans="1:6" x14ac:dyDescent="0.2">
      <c r="A936" s="9">
        <v>41843</v>
      </c>
      <c r="B936" s="19">
        <v>286</v>
      </c>
    </row>
    <row r="937" spans="1:6" x14ac:dyDescent="0.2">
      <c r="A937" s="9">
        <v>41844</v>
      </c>
      <c r="B937" s="19">
        <v>175</v>
      </c>
    </row>
    <row r="938" spans="1:6" x14ac:dyDescent="0.2">
      <c r="A938" s="9">
        <v>41845</v>
      </c>
      <c r="B938" s="19">
        <v>232</v>
      </c>
    </row>
    <row r="939" spans="1:6" x14ac:dyDescent="0.2">
      <c r="A939" s="9">
        <v>41846</v>
      </c>
      <c r="B939" s="19">
        <v>48</v>
      </c>
      <c r="F939" s="11">
        <v>7</v>
      </c>
    </row>
    <row r="940" spans="1:6" x14ac:dyDescent="0.2">
      <c r="A940" s="9">
        <v>41847</v>
      </c>
      <c r="B940" s="19">
        <v>26</v>
      </c>
      <c r="F940" s="11">
        <v>6.4</v>
      </c>
    </row>
    <row r="941" spans="1:6" x14ac:dyDescent="0.2">
      <c r="A941" s="9">
        <v>41848</v>
      </c>
      <c r="B941" s="19">
        <v>299</v>
      </c>
    </row>
    <row r="942" spans="1:6" x14ac:dyDescent="0.2">
      <c r="A942" s="9">
        <v>41849</v>
      </c>
      <c r="B942" s="19">
        <v>339</v>
      </c>
    </row>
    <row r="943" spans="1:6" x14ac:dyDescent="0.2">
      <c r="A943" s="9">
        <v>41850</v>
      </c>
      <c r="B943" s="19">
        <v>351</v>
      </c>
    </row>
    <row r="944" spans="1:6" x14ac:dyDescent="0.2">
      <c r="A944" s="9">
        <v>41851</v>
      </c>
      <c r="B944" s="19">
        <v>217</v>
      </c>
    </row>
    <row r="945" spans="1:6" x14ac:dyDescent="0.2">
      <c r="A945" s="9">
        <v>41852</v>
      </c>
      <c r="B945" s="19">
        <v>199</v>
      </c>
    </row>
    <row r="946" spans="1:6" x14ac:dyDescent="0.2">
      <c r="A946" s="9">
        <v>41853</v>
      </c>
      <c r="B946" s="19">
        <v>90</v>
      </c>
    </row>
    <row r="947" spans="1:6" x14ac:dyDescent="0.2">
      <c r="A947" s="9">
        <v>41854</v>
      </c>
      <c r="B947" s="19">
        <v>36</v>
      </c>
    </row>
    <row r="948" spans="1:6" x14ac:dyDescent="0.2">
      <c r="A948" s="9">
        <v>41855</v>
      </c>
      <c r="B948" s="19">
        <v>291</v>
      </c>
    </row>
    <row r="949" spans="1:6" x14ac:dyDescent="0.2">
      <c r="A949" s="9">
        <v>41856</v>
      </c>
      <c r="B949" s="19">
        <v>267</v>
      </c>
    </row>
    <row r="950" spans="1:6" x14ac:dyDescent="0.2">
      <c r="A950" s="9">
        <v>41857</v>
      </c>
      <c r="B950" s="19">
        <v>356</v>
      </c>
    </row>
    <row r="951" spans="1:6" x14ac:dyDescent="0.2">
      <c r="A951" s="9">
        <v>41858</v>
      </c>
      <c r="B951" s="19">
        <v>270</v>
      </c>
    </row>
    <row r="952" spans="1:6" x14ac:dyDescent="0.2">
      <c r="A952" s="9">
        <v>41859</v>
      </c>
      <c r="B952" s="19">
        <v>193</v>
      </c>
    </row>
    <row r="953" spans="1:6" x14ac:dyDescent="0.2">
      <c r="A953" s="9">
        <v>41860</v>
      </c>
      <c r="B953" s="19">
        <v>96</v>
      </c>
    </row>
    <row r="954" spans="1:6" x14ac:dyDescent="0.2">
      <c r="A954" s="9">
        <v>41861</v>
      </c>
      <c r="B954" s="19">
        <v>42</v>
      </c>
    </row>
    <row r="955" spans="1:6" x14ac:dyDescent="0.2">
      <c r="A955" s="9">
        <v>41862</v>
      </c>
      <c r="B955" s="19">
        <v>456</v>
      </c>
    </row>
    <row r="956" spans="1:6" x14ac:dyDescent="0.2">
      <c r="A956" s="9">
        <v>41863</v>
      </c>
      <c r="B956" s="19">
        <v>396</v>
      </c>
      <c r="F956" s="11">
        <v>23.2</v>
      </c>
    </row>
    <row r="957" spans="1:6" x14ac:dyDescent="0.2">
      <c r="A957" s="9">
        <v>41864</v>
      </c>
      <c r="B957" s="19">
        <v>321</v>
      </c>
      <c r="F957" s="11">
        <v>18</v>
      </c>
    </row>
    <row r="958" spans="1:6" x14ac:dyDescent="0.2">
      <c r="A958" s="9">
        <v>41865</v>
      </c>
      <c r="B958" s="19">
        <v>249</v>
      </c>
    </row>
    <row r="959" spans="1:6" x14ac:dyDescent="0.2">
      <c r="A959" s="9">
        <v>41866</v>
      </c>
      <c r="B959" s="19">
        <v>205</v>
      </c>
    </row>
    <row r="960" spans="1:6" x14ac:dyDescent="0.2">
      <c r="A960" s="9">
        <v>41867</v>
      </c>
      <c r="B960" s="19">
        <v>66</v>
      </c>
    </row>
    <row r="961" spans="1:6" x14ac:dyDescent="0.2">
      <c r="A961" s="9">
        <v>41868</v>
      </c>
      <c r="B961" s="19">
        <v>30</v>
      </c>
      <c r="F961" s="11">
        <v>29</v>
      </c>
    </row>
    <row r="962" spans="1:6" x14ac:dyDescent="0.2">
      <c r="A962" s="9">
        <v>41869</v>
      </c>
      <c r="B962" s="19">
        <v>414</v>
      </c>
      <c r="F962" s="11">
        <v>2</v>
      </c>
    </row>
    <row r="963" spans="1:6" x14ac:dyDescent="0.2">
      <c r="A963" s="9">
        <v>41870</v>
      </c>
      <c r="B963" s="19">
        <v>306</v>
      </c>
      <c r="F963" s="11">
        <v>37</v>
      </c>
    </row>
    <row r="964" spans="1:6" x14ac:dyDescent="0.2">
      <c r="A964" s="9">
        <v>41871</v>
      </c>
      <c r="B964" s="19">
        <v>320</v>
      </c>
      <c r="F964" s="11">
        <v>9.8000000000000007</v>
      </c>
    </row>
    <row r="965" spans="1:6" x14ac:dyDescent="0.2">
      <c r="A965" s="9">
        <v>41872</v>
      </c>
      <c r="B965" s="19">
        <v>313</v>
      </c>
      <c r="F965" s="11">
        <v>12.2</v>
      </c>
    </row>
    <row r="966" spans="1:6" x14ac:dyDescent="0.2">
      <c r="A966" s="9">
        <v>41873</v>
      </c>
      <c r="B966" s="19">
        <v>285</v>
      </c>
      <c r="F966" s="11">
        <v>1.8</v>
      </c>
    </row>
    <row r="967" spans="1:6" x14ac:dyDescent="0.2">
      <c r="A967" s="9">
        <v>41874</v>
      </c>
      <c r="B967" s="19">
        <v>75</v>
      </c>
      <c r="F967" s="11">
        <v>5</v>
      </c>
    </row>
    <row r="968" spans="1:6" x14ac:dyDescent="0.2">
      <c r="A968" s="9">
        <v>41875</v>
      </c>
      <c r="B968" s="19">
        <v>44</v>
      </c>
      <c r="F968" s="11">
        <v>5.2</v>
      </c>
    </row>
    <row r="969" spans="1:6" x14ac:dyDescent="0.2">
      <c r="A969" s="9">
        <v>41876</v>
      </c>
      <c r="B969" s="19">
        <v>410</v>
      </c>
    </row>
    <row r="970" spans="1:6" x14ac:dyDescent="0.2">
      <c r="A970" s="9">
        <v>41877</v>
      </c>
      <c r="B970" s="19">
        <v>270</v>
      </c>
      <c r="F970" s="11">
        <v>13.4</v>
      </c>
    </row>
    <row r="971" spans="1:6" x14ac:dyDescent="0.2">
      <c r="A971" s="9">
        <v>41878</v>
      </c>
      <c r="B971" s="19">
        <v>230</v>
      </c>
      <c r="F971" s="11">
        <v>14.6</v>
      </c>
    </row>
    <row r="972" spans="1:6" x14ac:dyDescent="0.2">
      <c r="A972" s="9">
        <v>41879</v>
      </c>
      <c r="B972" s="19">
        <v>222</v>
      </c>
      <c r="F972" s="11">
        <v>16</v>
      </c>
    </row>
    <row r="973" spans="1:6" x14ac:dyDescent="0.2">
      <c r="A973" s="9">
        <v>41880</v>
      </c>
      <c r="B973" s="19">
        <v>214</v>
      </c>
    </row>
    <row r="974" spans="1:6" x14ac:dyDescent="0.2">
      <c r="A974" s="9">
        <v>41881</v>
      </c>
      <c r="B974" s="19">
        <v>59</v>
      </c>
    </row>
    <row r="975" spans="1:6" x14ac:dyDescent="0.2">
      <c r="A975" s="9">
        <v>41882</v>
      </c>
      <c r="B975" s="19">
        <v>30</v>
      </c>
    </row>
    <row r="976" spans="1:6" x14ac:dyDescent="0.2">
      <c r="A976" s="9">
        <v>41883</v>
      </c>
      <c r="B976" s="19">
        <v>245</v>
      </c>
    </row>
    <row r="977" spans="1:6" x14ac:dyDescent="0.2">
      <c r="A977" s="9">
        <v>41884</v>
      </c>
      <c r="B977" s="19">
        <v>301</v>
      </c>
    </row>
    <row r="978" spans="1:6" x14ac:dyDescent="0.2">
      <c r="A978" s="9">
        <v>41885</v>
      </c>
      <c r="B978" s="19">
        <v>334</v>
      </c>
      <c r="F978" s="11">
        <v>5.8</v>
      </c>
    </row>
    <row r="979" spans="1:6" x14ac:dyDescent="0.2">
      <c r="A979" s="9">
        <v>41886</v>
      </c>
      <c r="B979" s="19">
        <v>169</v>
      </c>
      <c r="F979" s="11">
        <v>0.4</v>
      </c>
    </row>
    <row r="980" spans="1:6" x14ac:dyDescent="0.2">
      <c r="A980" s="9">
        <v>41887</v>
      </c>
      <c r="B980" s="19">
        <v>150</v>
      </c>
      <c r="F980" s="11">
        <v>5.2</v>
      </c>
    </row>
    <row r="981" spans="1:6" x14ac:dyDescent="0.2">
      <c r="A981" s="9">
        <v>41888</v>
      </c>
      <c r="B981" s="19">
        <v>73</v>
      </c>
      <c r="F981" s="11">
        <v>1.8</v>
      </c>
    </row>
    <row r="982" spans="1:6" x14ac:dyDescent="0.2">
      <c r="A982" s="9">
        <v>41889</v>
      </c>
      <c r="B982" s="19">
        <v>26</v>
      </c>
      <c r="F982" s="11">
        <v>17.8</v>
      </c>
    </row>
    <row r="983" spans="1:6" x14ac:dyDescent="0.2">
      <c r="A983" s="9">
        <v>41890</v>
      </c>
      <c r="B983" s="19">
        <v>376</v>
      </c>
      <c r="F983" s="11">
        <v>1</v>
      </c>
    </row>
    <row r="984" spans="1:6" x14ac:dyDescent="0.2">
      <c r="A984" s="9">
        <v>41891</v>
      </c>
      <c r="B984" s="19">
        <v>227</v>
      </c>
    </row>
    <row r="985" spans="1:6" x14ac:dyDescent="0.2">
      <c r="A985" s="9">
        <v>41892</v>
      </c>
      <c r="B985" s="19">
        <v>173</v>
      </c>
      <c r="F985" s="11">
        <v>6.2</v>
      </c>
    </row>
    <row r="986" spans="1:6" x14ac:dyDescent="0.2">
      <c r="A986" s="9">
        <v>41893</v>
      </c>
      <c r="B986" s="19">
        <v>126</v>
      </c>
    </row>
    <row r="987" spans="1:6" x14ac:dyDescent="0.2">
      <c r="A987" s="9">
        <v>41894</v>
      </c>
      <c r="B987" s="19">
        <v>157</v>
      </c>
      <c r="F987" s="11">
        <v>0.6</v>
      </c>
    </row>
    <row r="988" spans="1:6" x14ac:dyDescent="0.2">
      <c r="A988" s="9">
        <v>41895</v>
      </c>
      <c r="B988" s="19">
        <v>51</v>
      </c>
    </row>
    <row r="989" spans="1:6" x14ac:dyDescent="0.2">
      <c r="A989" s="9">
        <v>41896</v>
      </c>
      <c r="B989" s="19">
        <v>20</v>
      </c>
      <c r="F989" s="11">
        <v>1.2</v>
      </c>
    </row>
    <row r="990" spans="1:6" x14ac:dyDescent="0.2">
      <c r="A990" s="9">
        <v>41897</v>
      </c>
      <c r="B990" s="19">
        <v>310</v>
      </c>
    </row>
    <row r="991" spans="1:6" x14ac:dyDescent="0.2">
      <c r="A991" s="9">
        <v>41898</v>
      </c>
      <c r="B991" s="19">
        <v>183</v>
      </c>
      <c r="F991" s="11">
        <v>0.2</v>
      </c>
    </row>
    <row r="992" spans="1:6" x14ac:dyDescent="0.2">
      <c r="A992" s="9">
        <v>41899</v>
      </c>
      <c r="B992" s="19">
        <v>217</v>
      </c>
      <c r="F992" s="11">
        <v>0.4</v>
      </c>
    </row>
    <row r="993" spans="1:6" x14ac:dyDescent="0.2">
      <c r="A993" s="9">
        <v>41900</v>
      </c>
      <c r="B993" s="19">
        <v>138</v>
      </c>
    </row>
    <row r="994" spans="1:6" x14ac:dyDescent="0.2">
      <c r="A994" s="9">
        <v>41901</v>
      </c>
      <c r="B994" s="19">
        <v>139</v>
      </c>
    </row>
    <row r="995" spans="1:6" x14ac:dyDescent="0.2">
      <c r="A995" s="9">
        <v>41902</v>
      </c>
      <c r="B995" s="19">
        <v>64</v>
      </c>
    </row>
    <row r="996" spans="1:6" x14ac:dyDescent="0.2">
      <c r="A996" s="9">
        <v>41903</v>
      </c>
      <c r="B996" s="19">
        <v>18</v>
      </c>
      <c r="F996" s="11">
        <v>1</v>
      </c>
    </row>
    <row r="997" spans="1:6" x14ac:dyDescent="0.2">
      <c r="A997" s="9">
        <v>41904</v>
      </c>
      <c r="B997" s="19">
        <v>221</v>
      </c>
    </row>
    <row r="998" spans="1:6" x14ac:dyDescent="0.2">
      <c r="A998" s="9">
        <v>41905</v>
      </c>
      <c r="B998" s="19">
        <v>210</v>
      </c>
    </row>
    <row r="999" spans="1:6" x14ac:dyDescent="0.2">
      <c r="A999" s="9">
        <v>41906</v>
      </c>
      <c r="B999" s="19">
        <v>201</v>
      </c>
    </row>
    <row r="1000" spans="1:6" x14ac:dyDescent="0.2">
      <c r="A1000" s="9">
        <v>41907</v>
      </c>
      <c r="B1000" s="19">
        <v>119</v>
      </c>
    </row>
    <row r="1001" spans="1:6" x14ac:dyDescent="0.2">
      <c r="A1001" s="9">
        <v>41908</v>
      </c>
      <c r="B1001" s="19">
        <v>176</v>
      </c>
      <c r="F1001" s="11">
        <v>3.8</v>
      </c>
    </row>
    <row r="1002" spans="1:6" x14ac:dyDescent="0.2">
      <c r="A1002" s="9">
        <v>41909</v>
      </c>
      <c r="B1002" s="19">
        <v>53</v>
      </c>
      <c r="F1002" s="11">
        <v>0.4</v>
      </c>
    </row>
    <row r="1003" spans="1:6" x14ac:dyDescent="0.2">
      <c r="A1003" s="9">
        <v>41910</v>
      </c>
      <c r="B1003" s="19">
        <v>24</v>
      </c>
    </row>
    <row r="1004" spans="1:6" x14ac:dyDescent="0.2">
      <c r="A1004" s="9">
        <v>41911</v>
      </c>
      <c r="B1004" s="19">
        <v>197</v>
      </c>
    </row>
    <row r="1005" spans="1:6" x14ac:dyDescent="0.2">
      <c r="A1005" s="9">
        <v>41912</v>
      </c>
      <c r="B1005" s="19">
        <v>226</v>
      </c>
    </row>
    <row r="1006" spans="1:6" x14ac:dyDescent="0.2">
      <c r="A1006" s="9">
        <v>41913</v>
      </c>
      <c r="B1006" s="19">
        <v>168</v>
      </c>
    </row>
    <row r="1007" spans="1:6" x14ac:dyDescent="0.2">
      <c r="A1007" s="9">
        <v>41914</v>
      </c>
      <c r="B1007" s="19">
        <v>164</v>
      </c>
    </row>
    <row r="1008" spans="1:6" x14ac:dyDescent="0.2">
      <c r="A1008" s="9">
        <v>41915</v>
      </c>
      <c r="B1008" s="19">
        <v>108</v>
      </c>
    </row>
    <row r="1009" spans="1:6" x14ac:dyDescent="0.2">
      <c r="A1009" s="9">
        <v>41916</v>
      </c>
      <c r="B1009" s="19">
        <v>26</v>
      </c>
    </row>
    <row r="1010" spans="1:6" x14ac:dyDescent="0.2">
      <c r="A1010" s="9">
        <v>41917</v>
      </c>
      <c r="B1010" s="19">
        <v>10</v>
      </c>
    </row>
    <row r="1011" spans="1:6" x14ac:dyDescent="0.2">
      <c r="A1011" s="9">
        <v>41918</v>
      </c>
      <c r="B1011" s="19">
        <v>259</v>
      </c>
    </row>
    <row r="1012" spans="1:6" x14ac:dyDescent="0.2">
      <c r="A1012" s="9">
        <v>41919</v>
      </c>
      <c r="B1012" s="19">
        <v>201</v>
      </c>
    </row>
    <row r="1013" spans="1:6" x14ac:dyDescent="0.2">
      <c r="A1013" s="9">
        <v>41920</v>
      </c>
      <c r="B1013" s="19">
        <v>114</v>
      </c>
      <c r="F1013" s="11">
        <v>5.2</v>
      </c>
    </row>
    <row r="1014" spans="1:6" x14ac:dyDescent="0.2">
      <c r="A1014" s="9">
        <v>41921</v>
      </c>
      <c r="B1014" s="19">
        <v>134</v>
      </c>
    </row>
    <row r="1015" spans="1:6" x14ac:dyDescent="0.2">
      <c r="A1015" s="9">
        <v>41922</v>
      </c>
      <c r="B1015" s="19">
        <v>186</v>
      </c>
    </row>
    <row r="1016" spans="1:6" x14ac:dyDescent="0.2">
      <c r="A1016" s="9">
        <v>41923</v>
      </c>
      <c r="B1016" s="19">
        <v>56</v>
      </c>
    </row>
    <row r="1017" spans="1:6" x14ac:dyDescent="0.2">
      <c r="A1017" s="9">
        <v>41924</v>
      </c>
      <c r="B1017" s="19">
        <v>19</v>
      </c>
    </row>
    <row r="1018" spans="1:6" x14ac:dyDescent="0.2">
      <c r="A1018" s="9">
        <v>41925</v>
      </c>
      <c r="B1018" s="19">
        <v>335</v>
      </c>
    </row>
    <row r="1019" spans="1:6" x14ac:dyDescent="0.2">
      <c r="A1019" s="9">
        <v>41926</v>
      </c>
      <c r="B1019" s="19">
        <v>213</v>
      </c>
      <c r="F1019" s="11">
        <v>1</v>
      </c>
    </row>
    <row r="1020" spans="1:6" x14ac:dyDescent="0.2">
      <c r="A1020" s="9">
        <v>41927</v>
      </c>
      <c r="B1020" s="19">
        <v>268</v>
      </c>
      <c r="F1020" s="11">
        <v>77</v>
      </c>
    </row>
    <row r="1021" spans="1:6" x14ac:dyDescent="0.2">
      <c r="A1021" s="9">
        <v>41928</v>
      </c>
      <c r="B1021" s="19">
        <v>194</v>
      </c>
      <c r="F1021" s="11">
        <v>0.6</v>
      </c>
    </row>
    <row r="1022" spans="1:6" x14ac:dyDescent="0.2">
      <c r="A1022" s="9">
        <v>41929</v>
      </c>
      <c r="B1022" s="19">
        <v>196</v>
      </c>
    </row>
    <row r="1023" spans="1:6" x14ac:dyDescent="0.2">
      <c r="A1023" s="9">
        <v>41930</v>
      </c>
      <c r="B1023" s="19">
        <v>56</v>
      </c>
    </row>
    <row r="1024" spans="1:6" x14ac:dyDescent="0.2">
      <c r="A1024" s="9">
        <v>41931</v>
      </c>
      <c r="B1024" s="19">
        <v>32</v>
      </c>
      <c r="F1024" s="11">
        <v>0.4</v>
      </c>
    </row>
    <row r="1025" spans="1:6" x14ac:dyDescent="0.2">
      <c r="A1025" s="9">
        <v>41932</v>
      </c>
      <c r="B1025" s="19">
        <v>305</v>
      </c>
    </row>
    <row r="1026" spans="1:6" x14ac:dyDescent="0.2">
      <c r="A1026" s="9">
        <v>41933</v>
      </c>
      <c r="B1026" s="19">
        <v>353</v>
      </c>
      <c r="F1026" s="11">
        <v>1</v>
      </c>
    </row>
    <row r="1027" spans="1:6" x14ac:dyDescent="0.2">
      <c r="A1027" s="9">
        <v>41934</v>
      </c>
      <c r="B1027" s="19">
        <v>256</v>
      </c>
    </row>
    <row r="1028" spans="1:6" x14ac:dyDescent="0.2">
      <c r="A1028" s="9">
        <v>41935</v>
      </c>
      <c r="B1028" s="19">
        <v>281</v>
      </c>
    </row>
    <row r="1029" spans="1:6" x14ac:dyDescent="0.2">
      <c r="A1029" s="9">
        <v>41936</v>
      </c>
      <c r="B1029" s="19">
        <v>215</v>
      </c>
    </row>
    <row r="1030" spans="1:6" x14ac:dyDescent="0.2">
      <c r="A1030" s="9">
        <v>41937</v>
      </c>
      <c r="B1030" s="19">
        <v>59</v>
      </c>
    </row>
    <row r="1031" spans="1:6" x14ac:dyDescent="0.2">
      <c r="A1031" s="9">
        <v>41938</v>
      </c>
      <c r="B1031" s="19">
        <v>34</v>
      </c>
    </row>
    <row r="1032" spans="1:6" x14ac:dyDescent="0.2">
      <c r="A1032" s="9">
        <v>41939</v>
      </c>
      <c r="B1032" s="19">
        <v>335</v>
      </c>
    </row>
    <row r="1033" spans="1:6" x14ac:dyDescent="0.2">
      <c r="A1033" s="9">
        <v>41940</v>
      </c>
      <c r="B1033" s="19">
        <v>319</v>
      </c>
    </row>
    <row r="1034" spans="1:6" x14ac:dyDescent="0.2">
      <c r="A1034" s="9">
        <v>41941</v>
      </c>
      <c r="B1034" s="19">
        <v>237</v>
      </c>
    </row>
    <row r="1035" spans="1:6" x14ac:dyDescent="0.2">
      <c r="A1035" s="9">
        <v>41942</v>
      </c>
      <c r="B1035" s="19">
        <v>223</v>
      </c>
    </row>
    <row r="1036" spans="1:6" x14ac:dyDescent="0.2">
      <c r="A1036" s="9">
        <v>41943</v>
      </c>
      <c r="B1036" s="19">
        <v>190</v>
      </c>
    </row>
    <row r="1037" spans="1:6" x14ac:dyDescent="0.2">
      <c r="A1037" s="9">
        <v>41944</v>
      </c>
      <c r="B1037" s="19">
        <v>54</v>
      </c>
    </row>
    <row r="1038" spans="1:6" x14ac:dyDescent="0.2">
      <c r="A1038" s="9">
        <v>41945</v>
      </c>
      <c r="B1038" s="19">
        <v>29</v>
      </c>
      <c r="F1038" s="11">
        <v>4</v>
      </c>
    </row>
    <row r="1039" spans="1:6" x14ac:dyDescent="0.2">
      <c r="A1039" s="9">
        <v>41946</v>
      </c>
      <c r="B1039" s="19">
        <v>374</v>
      </c>
    </row>
    <row r="1040" spans="1:6" x14ac:dyDescent="0.2">
      <c r="A1040" s="9">
        <v>41947</v>
      </c>
      <c r="B1040" s="19">
        <v>406</v>
      </c>
    </row>
    <row r="1041" spans="1:6" x14ac:dyDescent="0.2">
      <c r="A1041" s="9">
        <v>41948</v>
      </c>
      <c r="B1041" s="19">
        <v>330</v>
      </c>
    </row>
    <row r="1042" spans="1:6" x14ac:dyDescent="0.2">
      <c r="A1042" s="9">
        <v>41949</v>
      </c>
      <c r="B1042" s="19">
        <v>317</v>
      </c>
      <c r="F1042" s="11">
        <v>3.6</v>
      </c>
    </row>
    <row r="1043" spans="1:6" x14ac:dyDescent="0.2">
      <c r="A1043" s="9">
        <v>41950</v>
      </c>
      <c r="B1043" s="19">
        <v>238</v>
      </c>
    </row>
    <row r="1044" spans="1:6" x14ac:dyDescent="0.2">
      <c r="A1044" s="9">
        <v>41951</v>
      </c>
      <c r="B1044" s="19">
        <v>87</v>
      </c>
    </row>
    <row r="1045" spans="1:6" x14ac:dyDescent="0.2">
      <c r="A1045" s="9">
        <v>41952</v>
      </c>
      <c r="B1045" s="19">
        <v>45</v>
      </c>
    </row>
    <row r="1046" spans="1:6" x14ac:dyDescent="0.2">
      <c r="A1046" s="9">
        <v>41953</v>
      </c>
      <c r="B1046" s="19">
        <v>301</v>
      </c>
    </row>
    <row r="1047" spans="1:6" x14ac:dyDescent="0.2">
      <c r="A1047" s="9">
        <v>41954</v>
      </c>
      <c r="B1047" s="19">
        <v>269</v>
      </c>
    </row>
    <row r="1048" spans="1:6" x14ac:dyDescent="0.2">
      <c r="A1048" s="9">
        <v>41955</v>
      </c>
      <c r="B1048" s="19">
        <v>242</v>
      </c>
      <c r="F1048" s="11">
        <v>0.1</v>
      </c>
    </row>
    <row r="1049" spans="1:6" x14ac:dyDescent="0.2">
      <c r="A1049" s="9">
        <v>41956</v>
      </c>
      <c r="B1049" s="19">
        <v>237</v>
      </c>
    </row>
    <row r="1050" spans="1:6" x14ac:dyDescent="0.2">
      <c r="A1050" s="9">
        <v>41957</v>
      </c>
      <c r="B1050" s="19">
        <v>188</v>
      </c>
    </row>
    <row r="1051" spans="1:6" x14ac:dyDescent="0.2">
      <c r="A1051" s="9">
        <v>41958</v>
      </c>
      <c r="B1051" s="19">
        <v>62</v>
      </c>
    </row>
    <row r="1052" spans="1:6" x14ac:dyDescent="0.2">
      <c r="A1052" s="9">
        <v>41959</v>
      </c>
      <c r="B1052" s="19">
        <v>48</v>
      </c>
      <c r="F1052" s="11">
        <v>6.8</v>
      </c>
    </row>
    <row r="1053" spans="1:6" x14ac:dyDescent="0.2">
      <c r="A1053" s="9">
        <v>41960</v>
      </c>
      <c r="B1053" s="19">
        <v>351</v>
      </c>
    </row>
    <row r="1054" spans="1:6" x14ac:dyDescent="0.2">
      <c r="A1054" s="9">
        <v>41961</v>
      </c>
      <c r="B1054" s="19">
        <v>359</v>
      </c>
    </row>
    <row r="1055" spans="1:6" x14ac:dyDescent="0.2">
      <c r="A1055" s="9">
        <v>41962</v>
      </c>
      <c r="B1055" s="19">
        <v>316</v>
      </c>
    </row>
    <row r="1056" spans="1:6" x14ac:dyDescent="0.2">
      <c r="A1056" s="9">
        <v>41963</v>
      </c>
      <c r="B1056" s="19">
        <v>207</v>
      </c>
    </row>
    <row r="1057" spans="1:6" x14ac:dyDescent="0.2">
      <c r="A1057" s="9">
        <v>41964</v>
      </c>
      <c r="B1057" s="19">
        <v>261</v>
      </c>
    </row>
    <row r="1058" spans="1:6" x14ac:dyDescent="0.2">
      <c r="A1058" s="9">
        <v>41965</v>
      </c>
      <c r="B1058" s="19">
        <v>68</v>
      </c>
    </row>
    <row r="1059" spans="1:6" x14ac:dyDescent="0.2">
      <c r="A1059" s="9">
        <v>41966</v>
      </c>
      <c r="B1059" s="19">
        <v>29</v>
      </c>
    </row>
    <row r="1060" spans="1:6" x14ac:dyDescent="0.2">
      <c r="A1060" s="9">
        <v>41967</v>
      </c>
      <c r="B1060" s="19">
        <v>367</v>
      </c>
      <c r="F1060" s="11">
        <v>0.4</v>
      </c>
    </row>
    <row r="1061" spans="1:6" x14ac:dyDescent="0.2">
      <c r="A1061" s="9">
        <v>41968</v>
      </c>
      <c r="B1061" s="19">
        <v>399</v>
      </c>
      <c r="F1061" s="11">
        <v>7.8</v>
      </c>
    </row>
    <row r="1062" spans="1:6" x14ac:dyDescent="0.2">
      <c r="A1062" s="9">
        <v>41969</v>
      </c>
      <c r="B1062" s="19">
        <v>347</v>
      </c>
    </row>
    <row r="1063" spans="1:6" x14ac:dyDescent="0.2">
      <c r="A1063" s="9">
        <v>41970</v>
      </c>
      <c r="B1063" s="19">
        <v>200</v>
      </c>
      <c r="F1063" s="11">
        <v>0.6</v>
      </c>
    </row>
    <row r="1064" spans="1:6" x14ac:dyDescent="0.2">
      <c r="A1064" s="9">
        <v>41971</v>
      </c>
      <c r="B1064" s="19">
        <v>248</v>
      </c>
      <c r="F1064" s="11">
        <v>0.4</v>
      </c>
    </row>
    <row r="1065" spans="1:6" x14ac:dyDescent="0.2">
      <c r="A1065" s="9">
        <v>41972</v>
      </c>
      <c r="B1065" s="19">
        <v>79</v>
      </c>
    </row>
    <row r="1066" spans="1:6" x14ac:dyDescent="0.2">
      <c r="A1066" s="9">
        <v>41973</v>
      </c>
      <c r="B1066" s="19">
        <v>36</v>
      </c>
    </row>
    <row r="1067" spans="1:6" x14ac:dyDescent="0.2">
      <c r="A1067" s="9">
        <v>41974</v>
      </c>
      <c r="B1067" s="19">
        <v>283</v>
      </c>
      <c r="F1067" s="11">
        <v>3.2</v>
      </c>
    </row>
    <row r="1068" spans="1:6" x14ac:dyDescent="0.2">
      <c r="A1068" s="9">
        <v>41975</v>
      </c>
      <c r="B1068" s="19">
        <v>364</v>
      </c>
      <c r="F1068" s="11">
        <v>8.8000000000000007</v>
      </c>
    </row>
    <row r="1069" spans="1:6" x14ac:dyDescent="0.2">
      <c r="A1069" s="9">
        <v>41976</v>
      </c>
      <c r="B1069" s="19">
        <v>336</v>
      </c>
      <c r="F1069" s="11">
        <v>1</v>
      </c>
    </row>
    <row r="1070" spans="1:6" x14ac:dyDescent="0.2">
      <c r="A1070" s="9">
        <v>41977</v>
      </c>
      <c r="B1070" s="19">
        <v>278</v>
      </c>
      <c r="F1070" s="11">
        <v>23.2</v>
      </c>
    </row>
    <row r="1071" spans="1:6" x14ac:dyDescent="0.2">
      <c r="A1071" s="9">
        <v>41978</v>
      </c>
      <c r="B1071" s="19">
        <v>176</v>
      </c>
      <c r="F1071" s="11">
        <v>12.8</v>
      </c>
    </row>
    <row r="1072" spans="1:6" x14ac:dyDescent="0.2">
      <c r="A1072" s="9">
        <v>41979</v>
      </c>
      <c r="B1072" s="19">
        <v>66</v>
      </c>
      <c r="F1072" s="11">
        <v>1.6</v>
      </c>
    </row>
    <row r="1073" spans="1:6" x14ac:dyDescent="0.2">
      <c r="A1073" s="9">
        <v>41980</v>
      </c>
      <c r="B1073" s="19">
        <v>22</v>
      </c>
      <c r="F1073" s="11">
        <v>7</v>
      </c>
    </row>
    <row r="1074" spans="1:6" x14ac:dyDescent="0.2">
      <c r="A1074" s="9">
        <v>41981</v>
      </c>
      <c r="B1074" s="19">
        <v>328</v>
      </c>
      <c r="F1074" s="11">
        <v>2</v>
      </c>
    </row>
    <row r="1075" spans="1:6" x14ac:dyDescent="0.2">
      <c r="A1075" s="9">
        <v>41982</v>
      </c>
      <c r="B1075" s="19">
        <v>288</v>
      </c>
      <c r="F1075" s="11">
        <v>0.3</v>
      </c>
    </row>
    <row r="1076" spans="1:6" x14ac:dyDescent="0.2">
      <c r="A1076" s="9">
        <v>41983</v>
      </c>
      <c r="B1076" s="19">
        <v>169</v>
      </c>
    </row>
    <row r="1077" spans="1:6" x14ac:dyDescent="0.2">
      <c r="A1077" s="9">
        <v>41984</v>
      </c>
      <c r="B1077" s="19">
        <v>169</v>
      </c>
      <c r="F1077" s="11">
        <v>12.4</v>
      </c>
    </row>
    <row r="1078" spans="1:6" x14ac:dyDescent="0.2">
      <c r="A1078" s="9">
        <v>41985</v>
      </c>
      <c r="B1078" s="19">
        <v>101</v>
      </c>
      <c r="F1078" s="11">
        <v>9.8000000000000007</v>
      </c>
    </row>
    <row r="1079" spans="1:6" x14ac:dyDescent="0.2">
      <c r="A1079" s="9">
        <v>41986</v>
      </c>
      <c r="B1079" s="19">
        <v>65</v>
      </c>
    </row>
    <row r="1080" spans="1:6" x14ac:dyDescent="0.2">
      <c r="A1080" s="9">
        <v>41987</v>
      </c>
      <c r="B1080" s="19">
        <v>27</v>
      </c>
    </row>
    <row r="1081" spans="1:6" x14ac:dyDescent="0.2">
      <c r="A1081" s="9">
        <v>41988</v>
      </c>
      <c r="B1081" s="19">
        <v>164</v>
      </c>
    </row>
    <row r="1082" spans="1:6" x14ac:dyDescent="0.2">
      <c r="A1082" s="9">
        <v>41989</v>
      </c>
      <c r="B1082" s="19">
        <v>285</v>
      </c>
    </row>
    <row r="1083" spans="1:6" x14ac:dyDescent="0.2">
      <c r="A1083" s="9">
        <v>41990</v>
      </c>
      <c r="B1083" s="19">
        <v>121</v>
      </c>
    </row>
    <row r="1084" spans="1:6" x14ac:dyDescent="0.2">
      <c r="A1084" s="9">
        <v>41991</v>
      </c>
      <c r="B1084" s="19">
        <v>190</v>
      </c>
    </row>
    <row r="1085" spans="1:6" x14ac:dyDescent="0.2">
      <c r="A1085" s="9">
        <v>41992</v>
      </c>
      <c r="B1085" s="19">
        <v>131</v>
      </c>
    </row>
    <row r="1086" spans="1:6" x14ac:dyDescent="0.2">
      <c r="A1086" s="9">
        <v>41993</v>
      </c>
      <c r="B1086" s="19">
        <v>55</v>
      </c>
    </row>
    <row r="1087" spans="1:6" x14ac:dyDescent="0.2">
      <c r="A1087" s="9">
        <v>41994</v>
      </c>
      <c r="B1087" s="19">
        <v>25</v>
      </c>
    </row>
    <row r="1088" spans="1:6" x14ac:dyDescent="0.2">
      <c r="A1088" s="9">
        <v>41995</v>
      </c>
      <c r="B1088" s="19">
        <v>214</v>
      </c>
    </row>
    <row r="1089" spans="1:6" x14ac:dyDescent="0.2">
      <c r="A1089" s="9">
        <v>41996</v>
      </c>
      <c r="B1089" s="19">
        <v>134</v>
      </c>
      <c r="F1089" s="11">
        <v>0.4</v>
      </c>
    </row>
    <row r="1090" spans="1:6" x14ac:dyDescent="0.2">
      <c r="A1090" s="9">
        <v>41997</v>
      </c>
      <c r="B1090" s="19">
        <v>197</v>
      </c>
      <c r="F1090" s="11">
        <v>2.2000000000000002</v>
      </c>
    </row>
    <row r="1091" spans="1:6" x14ac:dyDescent="0.2">
      <c r="A1091" s="9">
        <v>41998</v>
      </c>
      <c r="B1091" s="19">
        <v>92</v>
      </c>
    </row>
    <row r="1092" spans="1:6" x14ac:dyDescent="0.2">
      <c r="A1092" s="9">
        <v>41999</v>
      </c>
      <c r="B1092" s="19">
        <v>144</v>
      </c>
      <c r="F1092" s="11">
        <v>34</v>
      </c>
    </row>
    <row r="1093" spans="1:6" x14ac:dyDescent="0.2">
      <c r="A1093" s="9">
        <v>42000</v>
      </c>
      <c r="B1093" s="19">
        <v>23</v>
      </c>
    </row>
    <row r="1094" spans="1:6" x14ac:dyDescent="0.2">
      <c r="A1094" s="9">
        <v>42001</v>
      </c>
      <c r="B1094" s="19">
        <v>28</v>
      </c>
      <c r="F1094" s="11">
        <v>3</v>
      </c>
    </row>
    <row r="1095" spans="1:6" x14ac:dyDescent="0.2">
      <c r="A1095" s="9">
        <v>42002</v>
      </c>
      <c r="B1095" s="19">
        <v>122</v>
      </c>
    </row>
    <row r="1096" spans="1:6" x14ac:dyDescent="0.2">
      <c r="A1096" s="9">
        <v>42003</v>
      </c>
      <c r="B1096" s="19">
        <v>160</v>
      </c>
    </row>
    <row r="1097" spans="1:6" x14ac:dyDescent="0.2">
      <c r="A1097" s="9">
        <v>42004</v>
      </c>
      <c r="B1097" s="19">
        <v>122</v>
      </c>
    </row>
    <row r="1098" spans="1:6" x14ac:dyDescent="0.2">
      <c r="A1098" s="9">
        <v>42005</v>
      </c>
      <c r="B1098" s="19">
        <v>187</v>
      </c>
    </row>
    <row r="1099" spans="1:6" x14ac:dyDescent="0.2">
      <c r="A1099" s="9">
        <v>42006</v>
      </c>
      <c r="B1099" s="19">
        <v>147</v>
      </c>
    </row>
    <row r="1100" spans="1:6" x14ac:dyDescent="0.2">
      <c r="A1100" s="9">
        <v>42007</v>
      </c>
      <c r="B1100" s="19">
        <v>60</v>
      </c>
    </row>
    <row r="1101" spans="1:6" x14ac:dyDescent="0.2">
      <c r="A1101" s="9">
        <v>42008</v>
      </c>
      <c r="B1101" s="19">
        <v>15</v>
      </c>
    </row>
    <row r="1102" spans="1:6" x14ac:dyDescent="0.2">
      <c r="A1102" s="9">
        <v>42009</v>
      </c>
      <c r="B1102" s="19">
        <v>124</v>
      </c>
    </row>
    <row r="1103" spans="1:6" x14ac:dyDescent="0.2">
      <c r="A1103" s="9">
        <v>42010</v>
      </c>
      <c r="B1103" s="19">
        <v>147</v>
      </c>
    </row>
    <row r="1104" spans="1:6" x14ac:dyDescent="0.2">
      <c r="A1104" s="9">
        <v>42011</v>
      </c>
      <c r="B1104" s="19">
        <v>251</v>
      </c>
    </row>
    <row r="1105" spans="1:6" x14ac:dyDescent="0.2">
      <c r="A1105" s="9">
        <v>42012</v>
      </c>
      <c r="B1105" s="19">
        <v>118</v>
      </c>
    </row>
    <row r="1106" spans="1:6" x14ac:dyDescent="0.2">
      <c r="A1106" s="9">
        <v>42013</v>
      </c>
      <c r="B1106" s="19">
        <v>188</v>
      </c>
    </row>
    <row r="1107" spans="1:6" x14ac:dyDescent="0.2">
      <c r="A1107" s="9">
        <v>42014</v>
      </c>
      <c r="B1107" s="19">
        <v>55</v>
      </c>
    </row>
    <row r="1108" spans="1:6" x14ac:dyDescent="0.2">
      <c r="A1108" s="9">
        <v>42015</v>
      </c>
      <c r="B1108" s="19">
        <v>22</v>
      </c>
      <c r="F1108" s="11">
        <v>22</v>
      </c>
    </row>
    <row r="1109" spans="1:6" x14ac:dyDescent="0.2">
      <c r="A1109" s="9">
        <v>42016</v>
      </c>
      <c r="B1109" s="19">
        <v>195</v>
      </c>
      <c r="F1109" s="11">
        <v>8</v>
      </c>
    </row>
    <row r="1110" spans="1:6" x14ac:dyDescent="0.2">
      <c r="A1110" s="9">
        <v>42017</v>
      </c>
      <c r="B1110" s="19">
        <v>280</v>
      </c>
      <c r="F1110" s="11">
        <v>4.8</v>
      </c>
    </row>
    <row r="1111" spans="1:6" x14ac:dyDescent="0.2">
      <c r="A1111" s="9">
        <v>42018</v>
      </c>
      <c r="B1111" s="19">
        <v>275</v>
      </c>
      <c r="F1111" s="11">
        <v>0.2</v>
      </c>
    </row>
    <row r="1112" spans="1:6" x14ac:dyDescent="0.2">
      <c r="A1112" s="9">
        <v>42019</v>
      </c>
      <c r="B1112" s="19">
        <v>233</v>
      </c>
    </row>
    <row r="1113" spans="1:6" x14ac:dyDescent="0.2">
      <c r="A1113" s="9">
        <v>42020</v>
      </c>
      <c r="B1113" s="19">
        <v>116</v>
      </c>
    </row>
    <row r="1114" spans="1:6" x14ac:dyDescent="0.2">
      <c r="A1114" s="9">
        <v>42021</v>
      </c>
      <c r="B1114" s="19">
        <v>67</v>
      </c>
    </row>
    <row r="1115" spans="1:6" x14ac:dyDescent="0.2">
      <c r="A1115" s="9">
        <v>42022</v>
      </c>
      <c r="B1115" s="19">
        <v>37</v>
      </c>
    </row>
    <row r="1116" spans="1:6" x14ac:dyDescent="0.2">
      <c r="A1116" s="9">
        <v>42023</v>
      </c>
      <c r="B1116" s="19">
        <v>362</v>
      </c>
      <c r="F1116" s="11">
        <v>0.2</v>
      </c>
    </row>
    <row r="1117" spans="1:6" x14ac:dyDescent="0.2">
      <c r="A1117" s="9">
        <v>42024</v>
      </c>
      <c r="B1117" s="19">
        <v>336</v>
      </c>
      <c r="F1117" s="11">
        <v>8.6</v>
      </c>
    </row>
    <row r="1118" spans="1:6" x14ac:dyDescent="0.2">
      <c r="A1118" s="9">
        <v>42025</v>
      </c>
      <c r="B1118" s="19">
        <v>201</v>
      </c>
      <c r="F1118" s="11">
        <v>24.8</v>
      </c>
    </row>
    <row r="1119" spans="1:6" x14ac:dyDescent="0.2">
      <c r="A1119" s="9">
        <v>42026</v>
      </c>
      <c r="B1119" s="19">
        <v>165</v>
      </c>
      <c r="F1119" s="11">
        <v>0.4</v>
      </c>
    </row>
    <row r="1120" spans="1:6" x14ac:dyDescent="0.2">
      <c r="A1120" s="9">
        <v>42027</v>
      </c>
      <c r="B1120" s="19">
        <v>217</v>
      </c>
    </row>
    <row r="1121" spans="1:6" x14ac:dyDescent="0.2">
      <c r="A1121" s="9">
        <v>42028</v>
      </c>
      <c r="B1121" s="19">
        <v>79</v>
      </c>
    </row>
    <row r="1122" spans="1:6" x14ac:dyDescent="0.2">
      <c r="A1122" s="9">
        <v>42029</v>
      </c>
      <c r="B1122" s="19">
        <v>31</v>
      </c>
      <c r="F1122" s="11">
        <v>1.2</v>
      </c>
    </row>
    <row r="1123" spans="1:6" x14ac:dyDescent="0.2">
      <c r="A1123" s="9">
        <v>42030</v>
      </c>
      <c r="B1123" s="19">
        <v>432</v>
      </c>
    </row>
    <row r="1124" spans="1:6" x14ac:dyDescent="0.2">
      <c r="A1124" s="9">
        <v>42031</v>
      </c>
      <c r="B1124" s="19">
        <v>283</v>
      </c>
      <c r="F1124" s="11">
        <v>38</v>
      </c>
    </row>
    <row r="1125" spans="1:6" x14ac:dyDescent="0.2">
      <c r="A1125" s="9">
        <v>42032</v>
      </c>
      <c r="B1125" s="19">
        <v>304</v>
      </c>
      <c r="F1125" s="11">
        <v>75</v>
      </c>
    </row>
    <row r="1126" spans="1:6" x14ac:dyDescent="0.2">
      <c r="A1126" s="9">
        <v>42033</v>
      </c>
      <c r="B1126" s="19">
        <v>228</v>
      </c>
      <c r="F1126" s="11">
        <v>17.399999999999999</v>
      </c>
    </row>
    <row r="1127" spans="1:6" x14ac:dyDescent="0.2">
      <c r="A1127" s="9">
        <v>42034</v>
      </c>
      <c r="B1127" s="19">
        <v>165</v>
      </c>
    </row>
    <row r="1128" spans="1:6" x14ac:dyDescent="0.2">
      <c r="A1128" s="9">
        <v>42035</v>
      </c>
      <c r="B1128" s="19">
        <v>89</v>
      </c>
    </row>
    <row r="1129" spans="1:6" x14ac:dyDescent="0.2">
      <c r="A1129" s="9">
        <v>42036</v>
      </c>
      <c r="B1129" s="19">
        <v>27</v>
      </c>
    </row>
    <row r="1130" spans="1:6" x14ac:dyDescent="0.2">
      <c r="A1130" s="9">
        <v>42037</v>
      </c>
      <c r="B1130" s="19">
        <v>309</v>
      </c>
      <c r="F1130" s="11">
        <v>3.8</v>
      </c>
    </row>
    <row r="1131" spans="1:6" x14ac:dyDescent="0.2">
      <c r="A1131" s="9">
        <v>42038</v>
      </c>
      <c r="B1131" s="19">
        <v>258</v>
      </c>
      <c r="F1131" s="11">
        <v>1.4</v>
      </c>
    </row>
    <row r="1132" spans="1:6" x14ac:dyDescent="0.2">
      <c r="A1132" s="9">
        <v>42039</v>
      </c>
      <c r="B1132" s="19">
        <v>290</v>
      </c>
      <c r="F1132" s="11">
        <v>1.6</v>
      </c>
    </row>
    <row r="1133" spans="1:6" x14ac:dyDescent="0.2">
      <c r="A1133" s="9">
        <v>42040</v>
      </c>
      <c r="B1133" s="19">
        <v>233</v>
      </c>
      <c r="F1133" s="11">
        <v>8.8000000000000007</v>
      </c>
    </row>
    <row r="1134" spans="1:6" x14ac:dyDescent="0.2">
      <c r="A1134" s="9">
        <v>42041</v>
      </c>
      <c r="B1134" s="19">
        <v>270</v>
      </c>
      <c r="F1134" s="11">
        <v>0.4</v>
      </c>
    </row>
    <row r="1135" spans="1:6" x14ac:dyDescent="0.2">
      <c r="A1135" s="9">
        <v>42042</v>
      </c>
      <c r="B1135" s="19">
        <v>93</v>
      </c>
    </row>
    <row r="1136" spans="1:6" x14ac:dyDescent="0.2">
      <c r="A1136" s="9">
        <v>42043</v>
      </c>
      <c r="B1136" s="19">
        <v>36</v>
      </c>
    </row>
    <row r="1137" spans="1:6" x14ac:dyDescent="0.2">
      <c r="A1137" s="9">
        <v>42044</v>
      </c>
      <c r="B1137" s="19">
        <v>430</v>
      </c>
    </row>
    <row r="1138" spans="1:6" x14ac:dyDescent="0.2">
      <c r="A1138" s="9">
        <v>42045</v>
      </c>
      <c r="B1138" s="19">
        <v>425</v>
      </c>
      <c r="F1138" s="11">
        <v>0.8</v>
      </c>
    </row>
    <row r="1139" spans="1:6" x14ac:dyDescent="0.2">
      <c r="A1139" s="9">
        <v>42046</v>
      </c>
      <c r="B1139" s="19">
        <v>390</v>
      </c>
    </row>
    <row r="1140" spans="1:6" x14ac:dyDescent="0.2">
      <c r="A1140" s="9">
        <v>42047</v>
      </c>
      <c r="B1140" s="19">
        <v>237</v>
      </c>
    </row>
    <row r="1141" spans="1:6" x14ac:dyDescent="0.2">
      <c r="A1141" s="9">
        <v>42048</v>
      </c>
      <c r="B1141" s="19">
        <v>263</v>
      </c>
      <c r="F1141" s="11">
        <v>4.8</v>
      </c>
    </row>
    <row r="1142" spans="1:6" x14ac:dyDescent="0.2">
      <c r="A1142" s="9">
        <v>42049</v>
      </c>
      <c r="B1142" s="19">
        <v>62</v>
      </c>
      <c r="F1142" s="11">
        <v>4.8</v>
      </c>
    </row>
    <row r="1143" spans="1:6" x14ac:dyDescent="0.2">
      <c r="A1143" s="9">
        <v>42050</v>
      </c>
      <c r="B1143" s="19">
        <v>46</v>
      </c>
      <c r="F1143" s="11">
        <v>0.8</v>
      </c>
    </row>
    <row r="1144" spans="1:6" x14ac:dyDescent="0.2">
      <c r="A1144" s="9">
        <v>42051</v>
      </c>
      <c r="B1144" s="19">
        <v>322</v>
      </c>
    </row>
    <row r="1145" spans="1:6" x14ac:dyDescent="0.2">
      <c r="A1145" s="9">
        <v>42052</v>
      </c>
      <c r="B1145" s="19">
        <v>379</v>
      </c>
    </row>
    <row r="1146" spans="1:6" x14ac:dyDescent="0.2">
      <c r="A1146" s="9">
        <v>42053</v>
      </c>
      <c r="B1146" s="19">
        <v>294</v>
      </c>
    </row>
    <row r="1147" spans="1:6" x14ac:dyDescent="0.2">
      <c r="A1147" s="9">
        <v>42054</v>
      </c>
      <c r="B1147" s="19">
        <v>244</v>
      </c>
      <c r="F1147" s="11">
        <v>0.4</v>
      </c>
    </row>
    <row r="1148" spans="1:6" x14ac:dyDescent="0.2">
      <c r="A1148" s="9">
        <v>42055</v>
      </c>
      <c r="B1148" s="19">
        <v>276</v>
      </c>
    </row>
    <row r="1149" spans="1:6" x14ac:dyDescent="0.2">
      <c r="A1149" s="9">
        <v>42056</v>
      </c>
      <c r="B1149" s="19">
        <v>72</v>
      </c>
      <c r="F1149" s="11">
        <v>2.5</v>
      </c>
    </row>
    <row r="1150" spans="1:6" x14ac:dyDescent="0.2">
      <c r="A1150" s="9">
        <v>42057</v>
      </c>
      <c r="B1150" s="19">
        <v>47</v>
      </c>
      <c r="F1150" s="11">
        <v>2</v>
      </c>
    </row>
    <row r="1151" spans="1:6" x14ac:dyDescent="0.2">
      <c r="A1151" s="9">
        <v>42058</v>
      </c>
      <c r="B1151" s="19">
        <v>395</v>
      </c>
      <c r="F1151" s="11">
        <v>0.6</v>
      </c>
    </row>
    <row r="1152" spans="1:6" x14ac:dyDescent="0.2">
      <c r="A1152" s="9">
        <v>42059</v>
      </c>
      <c r="B1152" s="19">
        <v>389</v>
      </c>
      <c r="F1152" s="11">
        <v>0.6</v>
      </c>
    </row>
    <row r="1153" spans="1:6" x14ac:dyDescent="0.2">
      <c r="A1153" s="9">
        <v>42060</v>
      </c>
      <c r="B1153" s="19">
        <v>354</v>
      </c>
    </row>
    <row r="1154" spans="1:6" x14ac:dyDescent="0.2">
      <c r="A1154" s="9">
        <v>42061</v>
      </c>
      <c r="B1154" s="19">
        <v>283</v>
      </c>
      <c r="F1154" s="11">
        <v>9.4</v>
      </c>
    </row>
    <row r="1155" spans="1:6" x14ac:dyDescent="0.2">
      <c r="A1155" s="9">
        <v>42062</v>
      </c>
      <c r="B1155" s="19">
        <v>239</v>
      </c>
      <c r="F1155" s="11">
        <v>15</v>
      </c>
    </row>
    <row r="1156" spans="1:6" x14ac:dyDescent="0.2">
      <c r="A1156" s="9">
        <v>42063</v>
      </c>
      <c r="B1156" s="19">
        <v>58</v>
      </c>
    </row>
    <row r="1157" spans="1:6" x14ac:dyDescent="0.2">
      <c r="A1157" s="9">
        <v>42064</v>
      </c>
      <c r="B1157" s="19">
        <v>35</v>
      </c>
    </row>
    <row r="1158" spans="1:6" x14ac:dyDescent="0.2">
      <c r="A1158" s="9">
        <v>42065</v>
      </c>
      <c r="B1158" s="19">
        <v>404</v>
      </c>
      <c r="F1158" s="11">
        <v>15.4</v>
      </c>
    </row>
    <row r="1159" spans="1:6" x14ac:dyDescent="0.2">
      <c r="A1159" s="9">
        <v>42066</v>
      </c>
      <c r="B1159" s="19">
        <v>214</v>
      </c>
    </row>
    <row r="1160" spans="1:6" x14ac:dyDescent="0.2">
      <c r="A1160" s="9">
        <v>42067</v>
      </c>
      <c r="B1160" s="19">
        <v>232</v>
      </c>
    </row>
    <row r="1161" spans="1:6" x14ac:dyDescent="0.2">
      <c r="A1161" s="9">
        <v>42068</v>
      </c>
      <c r="B1161" s="19">
        <v>256</v>
      </c>
    </row>
    <row r="1162" spans="1:6" x14ac:dyDescent="0.2">
      <c r="A1162" s="9">
        <v>42069</v>
      </c>
      <c r="B1162" s="19">
        <v>196</v>
      </c>
    </row>
    <row r="1163" spans="1:6" x14ac:dyDescent="0.2">
      <c r="A1163" s="9">
        <v>42070</v>
      </c>
      <c r="B1163" s="19">
        <v>43</v>
      </c>
      <c r="F1163" s="11">
        <v>1.6</v>
      </c>
    </row>
    <row r="1164" spans="1:6" x14ac:dyDescent="0.2">
      <c r="A1164" s="9">
        <v>42071</v>
      </c>
      <c r="B1164" s="19">
        <v>36</v>
      </c>
    </row>
    <row r="1165" spans="1:6" x14ac:dyDescent="0.2">
      <c r="A1165" s="9">
        <v>42072</v>
      </c>
      <c r="B1165" s="19">
        <v>334</v>
      </c>
    </row>
    <row r="1166" spans="1:6" x14ac:dyDescent="0.2">
      <c r="A1166" s="9">
        <v>42073</v>
      </c>
      <c r="B1166" s="19">
        <v>162</v>
      </c>
    </row>
    <row r="1167" spans="1:6" x14ac:dyDescent="0.2">
      <c r="A1167" s="9">
        <v>42074</v>
      </c>
      <c r="B1167" s="19">
        <v>171</v>
      </c>
    </row>
    <row r="1168" spans="1:6" x14ac:dyDescent="0.2">
      <c r="A1168" s="9">
        <v>42075</v>
      </c>
      <c r="B1168" s="19">
        <v>136</v>
      </c>
      <c r="F1168" s="11">
        <v>0.4</v>
      </c>
    </row>
    <row r="1169" spans="1:6" x14ac:dyDescent="0.2">
      <c r="A1169" s="9">
        <v>42076</v>
      </c>
      <c r="B1169" s="19">
        <v>169</v>
      </c>
      <c r="F1169" s="11">
        <v>2.4</v>
      </c>
    </row>
    <row r="1170" spans="1:6" x14ac:dyDescent="0.2">
      <c r="A1170" s="9">
        <v>42077</v>
      </c>
      <c r="B1170" s="19">
        <v>65</v>
      </c>
      <c r="F1170" s="11">
        <v>3</v>
      </c>
    </row>
    <row r="1171" spans="1:6" x14ac:dyDescent="0.2">
      <c r="A1171" s="9">
        <v>42078</v>
      </c>
      <c r="B1171" s="19">
        <v>24</v>
      </c>
    </row>
    <row r="1172" spans="1:6" x14ac:dyDescent="0.2">
      <c r="A1172" s="9">
        <v>42079</v>
      </c>
      <c r="B1172" s="19">
        <v>281</v>
      </c>
      <c r="F1172" s="11">
        <v>7.6</v>
      </c>
    </row>
    <row r="1173" spans="1:6" x14ac:dyDescent="0.2">
      <c r="A1173" s="9">
        <v>42080</v>
      </c>
      <c r="B1173" s="19">
        <v>160</v>
      </c>
    </row>
    <row r="1174" spans="1:6" x14ac:dyDescent="0.2">
      <c r="A1174" s="9">
        <v>42081</v>
      </c>
      <c r="B1174" s="19">
        <v>242</v>
      </c>
    </row>
    <row r="1175" spans="1:6" x14ac:dyDescent="0.2">
      <c r="A1175" s="9">
        <v>42082</v>
      </c>
      <c r="B1175" s="19">
        <v>184</v>
      </c>
      <c r="F1175" s="11">
        <v>1</v>
      </c>
    </row>
    <row r="1176" spans="1:6" x14ac:dyDescent="0.2">
      <c r="A1176" s="9">
        <v>42083</v>
      </c>
      <c r="B1176" s="19">
        <v>162</v>
      </c>
    </row>
    <row r="1177" spans="1:6" x14ac:dyDescent="0.2">
      <c r="A1177" s="9">
        <v>42084</v>
      </c>
      <c r="B1177" s="19">
        <v>48</v>
      </c>
    </row>
    <row r="1178" spans="1:6" x14ac:dyDescent="0.2">
      <c r="A1178" s="9">
        <v>42085</v>
      </c>
      <c r="B1178" s="19">
        <v>12</v>
      </c>
      <c r="F1178" s="11">
        <v>0.2</v>
      </c>
    </row>
    <row r="1179" spans="1:6" x14ac:dyDescent="0.2">
      <c r="A1179" s="9">
        <v>42086</v>
      </c>
      <c r="B1179" s="19">
        <v>193</v>
      </c>
      <c r="F1179" s="11">
        <v>0.8</v>
      </c>
    </row>
    <row r="1180" spans="1:6" x14ac:dyDescent="0.2">
      <c r="A1180" s="9">
        <v>42087</v>
      </c>
      <c r="B1180" s="19">
        <v>254</v>
      </c>
    </row>
    <row r="1181" spans="1:6" x14ac:dyDescent="0.2">
      <c r="A1181" s="9">
        <v>42088</v>
      </c>
      <c r="B1181" s="19">
        <v>157</v>
      </c>
      <c r="F1181" s="11">
        <v>27</v>
      </c>
    </row>
    <row r="1182" spans="1:6" x14ac:dyDescent="0.2">
      <c r="A1182" s="9">
        <v>42089</v>
      </c>
      <c r="B1182" s="19">
        <v>122</v>
      </c>
      <c r="F1182" s="11">
        <v>0.1</v>
      </c>
    </row>
    <row r="1183" spans="1:6" x14ac:dyDescent="0.2">
      <c r="A1183" s="9">
        <v>42090</v>
      </c>
      <c r="B1183" s="19">
        <v>71</v>
      </c>
    </row>
    <row r="1184" spans="1:6" x14ac:dyDescent="0.2">
      <c r="A1184" s="9">
        <v>42091</v>
      </c>
      <c r="B1184" s="19">
        <v>34</v>
      </c>
    </row>
    <row r="1185" spans="1:6" x14ac:dyDescent="0.2">
      <c r="A1185" s="9">
        <v>42092</v>
      </c>
      <c r="B1185" s="19">
        <v>18</v>
      </c>
    </row>
    <row r="1186" spans="1:6" x14ac:dyDescent="0.2">
      <c r="A1186" s="9">
        <v>42093</v>
      </c>
      <c r="B1186" s="19">
        <v>196</v>
      </c>
    </row>
    <row r="1187" spans="1:6" x14ac:dyDescent="0.2">
      <c r="A1187" s="9">
        <v>42094</v>
      </c>
      <c r="B1187" s="19">
        <v>130</v>
      </c>
      <c r="F1187" s="11">
        <v>23</v>
      </c>
    </row>
    <row r="1188" spans="1:6" x14ac:dyDescent="0.2">
      <c r="A1188" s="9">
        <v>42095</v>
      </c>
      <c r="B1188" s="19">
        <v>130</v>
      </c>
      <c r="F1188" s="11">
        <v>4.5999999999999996</v>
      </c>
    </row>
    <row r="1189" spans="1:6" x14ac:dyDescent="0.2">
      <c r="A1189" s="9">
        <v>42096</v>
      </c>
      <c r="B1189" s="19">
        <v>142</v>
      </c>
      <c r="F1189" s="11">
        <v>0.1</v>
      </c>
    </row>
    <row r="1190" spans="1:6" x14ac:dyDescent="0.2">
      <c r="A1190" s="9">
        <v>42097</v>
      </c>
      <c r="B1190" s="19">
        <v>120</v>
      </c>
      <c r="F1190" s="11">
        <v>0.2</v>
      </c>
    </row>
    <row r="1191" spans="1:6" x14ac:dyDescent="0.2">
      <c r="A1191" s="9">
        <v>42098</v>
      </c>
      <c r="B1191" s="19">
        <v>48</v>
      </c>
      <c r="F1191" s="11">
        <v>26</v>
      </c>
    </row>
    <row r="1192" spans="1:6" x14ac:dyDescent="0.2">
      <c r="A1192" s="9">
        <v>42099</v>
      </c>
      <c r="B1192" s="19">
        <v>20</v>
      </c>
      <c r="F1192" s="11">
        <v>21.6</v>
      </c>
    </row>
    <row r="1193" spans="1:6" x14ac:dyDescent="0.2">
      <c r="A1193" s="9">
        <v>42100</v>
      </c>
      <c r="B1193" s="19">
        <v>301</v>
      </c>
    </row>
    <row r="1194" spans="1:6" x14ac:dyDescent="0.2">
      <c r="A1194" s="9">
        <v>42101</v>
      </c>
      <c r="B1194" s="19">
        <v>264</v>
      </c>
      <c r="F1194" s="11">
        <v>0.6</v>
      </c>
    </row>
    <row r="1195" spans="1:6" x14ac:dyDescent="0.2">
      <c r="A1195" s="9">
        <v>42102</v>
      </c>
      <c r="B1195" s="19">
        <v>247</v>
      </c>
      <c r="F1195" s="11">
        <v>2.6</v>
      </c>
    </row>
    <row r="1196" spans="1:6" x14ac:dyDescent="0.2">
      <c r="A1196" s="9">
        <v>42103</v>
      </c>
      <c r="B1196" s="19">
        <v>128</v>
      </c>
    </row>
    <row r="1197" spans="1:6" x14ac:dyDescent="0.2">
      <c r="A1197" s="9">
        <v>42104</v>
      </c>
      <c r="B1197" s="19">
        <v>140</v>
      </c>
      <c r="F1197" s="11">
        <v>0.8</v>
      </c>
    </row>
    <row r="1198" spans="1:6" x14ac:dyDescent="0.2">
      <c r="A1198" s="9">
        <v>42105</v>
      </c>
      <c r="B1198" s="19">
        <v>37</v>
      </c>
      <c r="F1198" s="11">
        <v>6.6</v>
      </c>
    </row>
    <row r="1199" spans="1:6" x14ac:dyDescent="0.2">
      <c r="A1199" s="9">
        <v>42106</v>
      </c>
      <c r="B1199" s="19">
        <v>19</v>
      </c>
    </row>
    <row r="1200" spans="1:6" x14ac:dyDescent="0.2">
      <c r="A1200" s="9">
        <v>42107</v>
      </c>
      <c r="B1200" s="19">
        <v>189</v>
      </c>
    </row>
    <row r="1201" spans="1:6" x14ac:dyDescent="0.2">
      <c r="A1201" s="9">
        <v>42108</v>
      </c>
      <c r="B1201" s="19">
        <v>242</v>
      </c>
    </row>
    <row r="1202" spans="1:6" x14ac:dyDescent="0.2">
      <c r="A1202" s="9">
        <v>42109</v>
      </c>
      <c r="B1202" s="19">
        <v>286</v>
      </c>
    </row>
    <row r="1203" spans="1:6" x14ac:dyDescent="0.2">
      <c r="A1203" s="9">
        <v>42110</v>
      </c>
      <c r="B1203" s="19">
        <v>212</v>
      </c>
      <c r="F1203" s="11">
        <v>0.8</v>
      </c>
    </row>
    <row r="1204" spans="1:6" x14ac:dyDescent="0.2">
      <c r="A1204" s="9">
        <v>42111</v>
      </c>
      <c r="B1204" s="19">
        <v>130</v>
      </c>
      <c r="F1204" s="11">
        <v>2</v>
      </c>
    </row>
    <row r="1205" spans="1:6" x14ac:dyDescent="0.2">
      <c r="A1205" s="9">
        <v>42112</v>
      </c>
      <c r="B1205" s="19">
        <v>44</v>
      </c>
      <c r="F1205" s="11">
        <v>1</v>
      </c>
    </row>
    <row r="1206" spans="1:6" x14ac:dyDescent="0.2">
      <c r="A1206" s="9">
        <v>42113</v>
      </c>
      <c r="B1206" s="19">
        <v>20</v>
      </c>
      <c r="F1206" s="11">
        <v>2.8</v>
      </c>
    </row>
    <row r="1207" spans="1:6" x14ac:dyDescent="0.2">
      <c r="A1207" s="9">
        <v>42114</v>
      </c>
      <c r="B1207" s="19">
        <v>387</v>
      </c>
      <c r="F1207" s="11">
        <v>17</v>
      </c>
    </row>
    <row r="1208" spans="1:6" x14ac:dyDescent="0.2">
      <c r="A1208" s="9">
        <v>42115</v>
      </c>
      <c r="B1208" s="19">
        <v>267</v>
      </c>
      <c r="F1208" s="11">
        <v>126.4</v>
      </c>
    </row>
    <row r="1209" spans="1:6" x14ac:dyDescent="0.2">
      <c r="A1209" s="9">
        <v>42116</v>
      </c>
      <c r="B1209" s="19">
        <v>254</v>
      </c>
      <c r="F1209" s="11">
        <v>118</v>
      </c>
    </row>
    <row r="1210" spans="1:6" x14ac:dyDescent="0.2">
      <c r="A1210" s="9">
        <v>42117</v>
      </c>
      <c r="B1210" s="19">
        <v>210</v>
      </c>
      <c r="F1210" s="11">
        <v>29.2</v>
      </c>
    </row>
    <row r="1211" spans="1:6" x14ac:dyDescent="0.2">
      <c r="A1211" s="9">
        <v>42118</v>
      </c>
      <c r="B1211" s="19">
        <v>246</v>
      </c>
    </row>
    <row r="1212" spans="1:6" x14ac:dyDescent="0.2">
      <c r="A1212" s="9">
        <v>42119</v>
      </c>
      <c r="B1212" s="19">
        <v>68</v>
      </c>
    </row>
    <row r="1213" spans="1:6" x14ac:dyDescent="0.2">
      <c r="A1213" s="9">
        <v>42120</v>
      </c>
      <c r="B1213" s="19">
        <v>36</v>
      </c>
      <c r="F1213" s="11">
        <v>3.4</v>
      </c>
    </row>
    <row r="1214" spans="1:6" x14ac:dyDescent="0.2">
      <c r="A1214" s="9">
        <v>42121</v>
      </c>
      <c r="B1214" s="19">
        <v>426</v>
      </c>
      <c r="F1214" s="11">
        <v>5.2</v>
      </c>
    </row>
    <row r="1215" spans="1:6" x14ac:dyDescent="0.2">
      <c r="A1215" s="9">
        <v>42122</v>
      </c>
      <c r="B1215" s="19">
        <v>377</v>
      </c>
    </row>
    <row r="1216" spans="1:6" x14ac:dyDescent="0.2">
      <c r="A1216" s="9">
        <v>42123</v>
      </c>
      <c r="B1216" s="19">
        <v>231</v>
      </c>
    </row>
    <row r="1217" spans="1:6" x14ac:dyDescent="0.2">
      <c r="A1217" s="9">
        <v>42124</v>
      </c>
      <c r="B1217" s="19">
        <v>289</v>
      </c>
      <c r="F1217" s="11">
        <v>1.2</v>
      </c>
    </row>
    <row r="1218" spans="1:6" x14ac:dyDescent="0.2">
      <c r="A1218" s="9">
        <v>42125</v>
      </c>
      <c r="B1218" s="19">
        <v>264</v>
      </c>
      <c r="F1218" s="11">
        <v>27.6</v>
      </c>
    </row>
    <row r="1219" spans="1:6" x14ac:dyDescent="0.2">
      <c r="A1219" s="9">
        <v>42126</v>
      </c>
      <c r="B1219" s="19">
        <v>91</v>
      </c>
      <c r="F1219" s="11">
        <v>9</v>
      </c>
    </row>
    <row r="1220" spans="1:6" x14ac:dyDescent="0.2">
      <c r="A1220" s="9">
        <v>42127</v>
      </c>
      <c r="B1220" s="19">
        <v>42</v>
      </c>
      <c r="F1220" s="11">
        <v>23</v>
      </c>
    </row>
    <row r="1221" spans="1:6" x14ac:dyDescent="0.2">
      <c r="A1221" s="9">
        <v>42128</v>
      </c>
      <c r="B1221" s="19">
        <v>471</v>
      </c>
      <c r="F1221" s="11">
        <v>0.6</v>
      </c>
    </row>
    <row r="1222" spans="1:6" x14ac:dyDescent="0.2">
      <c r="A1222" s="9">
        <v>42129</v>
      </c>
      <c r="B1222" s="19">
        <v>435</v>
      </c>
    </row>
    <row r="1223" spans="1:6" x14ac:dyDescent="0.2">
      <c r="A1223" s="9">
        <v>42130</v>
      </c>
      <c r="B1223" s="19">
        <v>307</v>
      </c>
    </row>
    <row r="1224" spans="1:6" x14ac:dyDescent="0.2">
      <c r="A1224" s="9">
        <v>42131</v>
      </c>
      <c r="B1224" s="19">
        <v>269</v>
      </c>
    </row>
    <row r="1225" spans="1:6" x14ac:dyDescent="0.2">
      <c r="A1225" s="9">
        <v>42132</v>
      </c>
      <c r="B1225" s="19">
        <v>255</v>
      </c>
    </row>
    <row r="1226" spans="1:6" x14ac:dyDescent="0.2">
      <c r="A1226" s="9">
        <v>42133</v>
      </c>
      <c r="B1226" s="19">
        <v>98</v>
      </c>
    </row>
    <row r="1227" spans="1:6" x14ac:dyDescent="0.2">
      <c r="A1227" s="9">
        <v>42134</v>
      </c>
      <c r="B1227" s="19">
        <v>42</v>
      </c>
    </row>
    <row r="1228" spans="1:6" x14ac:dyDescent="0.2">
      <c r="A1228" s="9">
        <v>42135</v>
      </c>
      <c r="B1228" s="19">
        <v>299</v>
      </c>
    </row>
    <row r="1229" spans="1:6" x14ac:dyDescent="0.2">
      <c r="A1229" s="9">
        <v>42136</v>
      </c>
      <c r="B1229" s="19">
        <v>383</v>
      </c>
    </row>
    <row r="1230" spans="1:6" x14ac:dyDescent="0.2">
      <c r="A1230" s="9">
        <v>42137</v>
      </c>
      <c r="B1230" s="19">
        <v>399</v>
      </c>
    </row>
    <row r="1231" spans="1:6" x14ac:dyDescent="0.2">
      <c r="A1231" s="9">
        <v>42138</v>
      </c>
      <c r="B1231" s="19">
        <v>267</v>
      </c>
      <c r="F1231" s="11">
        <v>3.8</v>
      </c>
    </row>
    <row r="1232" spans="1:6" x14ac:dyDescent="0.2">
      <c r="A1232" s="9">
        <v>42139</v>
      </c>
      <c r="B1232" s="19">
        <v>262</v>
      </c>
    </row>
    <row r="1233" spans="1:6" x14ac:dyDescent="0.2">
      <c r="A1233" s="9">
        <v>42140</v>
      </c>
      <c r="B1233" s="19">
        <v>61</v>
      </c>
      <c r="F1233" s="11">
        <v>2</v>
      </c>
    </row>
    <row r="1234" spans="1:6" x14ac:dyDescent="0.2">
      <c r="A1234" s="9">
        <v>42141</v>
      </c>
      <c r="B1234" s="19">
        <v>29</v>
      </c>
      <c r="F1234" s="11">
        <v>0.8</v>
      </c>
    </row>
    <row r="1235" spans="1:6" x14ac:dyDescent="0.2">
      <c r="A1235" s="9">
        <v>42142</v>
      </c>
      <c r="B1235" s="19">
        <v>423</v>
      </c>
      <c r="F1235" s="11">
        <v>0.2</v>
      </c>
    </row>
    <row r="1236" spans="1:6" x14ac:dyDescent="0.2">
      <c r="A1236" s="9">
        <v>42143</v>
      </c>
      <c r="B1236" s="19">
        <v>346</v>
      </c>
      <c r="F1236" s="11">
        <v>0.6</v>
      </c>
    </row>
    <row r="1237" spans="1:6" x14ac:dyDescent="0.2">
      <c r="A1237" s="9">
        <v>42144</v>
      </c>
      <c r="B1237" s="19">
        <v>236</v>
      </c>
      <c r="F1237" s="11">
        <v>1</v>
      </c>
    </row>
    <row r="1238" spans="1:6" x14ac:dyDescent="0.2">
      <c r="A1238" s="9">
        <v>42145</v>
      </c>
      <c r="B1238" s="19">
        <v>281</v>
      </c>
      <c r="F1238" s="11">
        <v>0.2</v>
      </c>
    </row>
    <row r="1239" spans="1:6" x14ac:dyDescent="0.2">
      <c r="A1239" s="9">
        <v>42146</v>
      </c>
      <c r="B1239" s="19">
        <v>214</v>
      </c>
      <c r="F1239" s="11">
        <v>11.2</v>
      </c>
    </row>
    <row r="1240" spans="1:6" x14ac:dyDescent="0.2">
      <c r="A1240" s="9">
        <v>42147</v>
      </c>
      <c r="B1240" s="19">
        <v>74</v>
      </c>
      <c r="F1240" s="11">
        <v>22</v>
      </c>
    </row>
    <row r="1241" spans="1:6" x14ac:dyDescent="0.2">
      <c r="A1241" s="9">
        <v>42148</v>
      </c>
      <c r="B1241" s="19">
        <v>34</v>
      </c>
      <c r="F1241" s="11">
        <v>0.1</v>
      </c>
    </row>
    <row r="1242" spans="1:6" x14ac:dyDescent="0.2">
      <c r="A1242" s="9">
        <v>42149</v>
      </c>
      <c r="B1242" s="19">
        <v>382</v>
      </c>
    </row>
    <row r="1243" spans="1:6" x14ac:dyDescent="0.2">
      <c r="A1243" s="9">
        <v>42150</v>
      </c>
      <c r="B1243" s="19">
        <v>346</v>
      </c>
    </row>
    <row r="1244" spans="1:6" x14ac:dyDescent="0.2">
      <c r="A1244" s="9">
        <v>42151</v>
      </c>
      <c r="B1244" s="19">
        <v>277</v>
      </c>
    </row>
    <row r="1245" spans="1:6" x14ac:dyDescent="0.2">
      <c r="A1245" s="9">
        <v>42152</v>
      </c>
      <c r="B1245" s="19">
        <v>298</v>
      </c>
    </row>
    <row r="1246" spans="1:6" x14ac:dyDescent="0.2">
      <c r="A1246" s="9">
        <v>42153</v>
      </c>
      <c r="B1246" s="19">
        <v>241</v>
      </c>
      <c r="F1246" s="11">
        <v>0.4</v>
      </c>
    </row>
    <row r="1247" spans="1:6" x14ac:dyDescent="0.2">
      <c r="A1247" s="9">
        <v>42154</v>
      </c>
      <c r="B1247" s="19">
        <v>73</v>
      </c>
    </row>
    <row r="1248" spans="1:6" x14ac:dyDescent="0.2">
      <c r="A1248" s="9">
        <v>42155</v>
      </c>
      <c r="B1248" s="19">
        <v>41</v>
      </c>
    </row>
    <row r="1249" spans="1:6" x14ac:dyDescent="0.2">
      <c r="A1249" s="9">
        <v>42156</v>
      </c>
      <c r="B1249" s="19">
        <v>280</v>
      </c>
    </row>
    <row r="1250" spans="1:6" x14ac:dyDescent="0.2">
      <c r="A1250" s="9">
        <v>42157</v>
      </c>
      <c r="B1250" s="19">
        <v>323</v>
      </c>
    </row>
    <row r="1251" spans="1:6" x14ac:dyDescent="0.2">
      <c r="A1251" s="9">
        <v>42158</v>
      </c>
      <c r="B1251" s="19">
        <v>216</v>
      </c>
    </row>
    <row r="1252" spans="1:6" x14ac:dyDescent="0.2">
      <c r="A1252" s="9">
        <v>42159</v>
      </c>
      <c r="B1252" s="19">
        <v>171</v>
      </c>
    </row>
    <row r="1253" spans="1:6" x14ac:dyDescent="0.2">
      <c r="A1253" s="9">
        <v>42160</v>
      </c>
      <c r="B1253" s="19">
        <v>142</v>
      </c>
    </row>
    <row r="1254" spans="1:6" x14ac:dyDescent="0.2">
      <c r="A1254" s="9">
        <v>42161</v>
      </c>
      <c r="B1254" s="19">
        <v>71</v>
      </c>
      <c r="F1254" s="11">
        <v>1.8</v>
      </c>
    </row>
    <row r="1255" spans="1:6" x14ac:dyDescent="0.2">
      <c r="A1255" s="9">
        <v>42162</v>
      </c>
      <c r="B1255" s="19">
        <v>18</v>
      </c>
    </row>
    <row r="1256" spans="1:6" x14ac:dyDescent="0.2">
      <c r="A1256" s="9">
        <v>42163</v>
      </c>
      <c r="B1256" s="19">
        <v>342</v>
      </c>
    </row>
    <row r="1257" spans="1:6" x14ac:dyDescent="0.2">
      <c r="A1257" s="9">
        <v>42164</v>
      </c>
      <c r="B1257" s="19">
        <v>259</v>
      </c>
    </row>
    <row r="1258" spans="1:6" x14ac:dyDescent="0.2">
      <c r="A1258" s="9">
        <v>42165</v>
      </c>
      <c r="B1258" s="19">
        <v>280</v>
      </c>
      <c r="F1258" s="11">
        <v>1.8</v>
      </c>
    </row>
    <row r="1259" spans="1:6" x14ac:dyDescent="0.2">
      <c r="A1259" s="9">
        <v>42166</v>
      </c>
      <c r="B1259" s="19">
        <v>123</v>
      </c>
      <c r="F1259" s="11">
        <v>7.6</v>
      </c>
    </row>
    <row r="1260" spans="1:6" x14ac:dyDescent="0.2">
      <c r="A1260" s="9">
        <v>42167</v>
      </c>
      <c r="B1260" s="19">
        <v>186</v>
      </c>
      <c r="F1260" s="11">
        <v>0.4</v>
      </c>
    </row>
    <row r="1261" spans="1:6" x14ac:dyDescent="0.2">
      <c r="A1261" s="9">
        <v>42168</v>
      </c>
      <c r="B1261" s="19">
        <v>30</v>
      </c>
    </row>
    <row r="1262" spans="1:6" x14ac:dyDescent="0.2">
      <c r="A1262" s="9">
        <v>42169</v>
      </c>
      <c r="B1262" s="19">
        <v>25</v>
      </c>
    </row>
    <row r="1263" spans="1:6" x14ac:dyDescent="0.2">
      <c r="A1263" s="9">
        <v>42170</v>
      </c>
      <c r="B1263" s="19">
        <v>238</v>
      </c>
    </row>
    <row r="1264" spans="1:6" x14ac:dyDescent="0.2">
      <c r="A1264" s="9">
        <v>42171</v>
      </c>
      <c r="B1264" s="19">
        <v>145</v>
      </c>
      <c r="F1264" s="11">
        <v>4</v>
      </c>
    </row>
    <row r="1265" spans="1:6" x14ac:dyDescent="0.2">
      <c r="A1265" s="9">
        <v>42172</v>
      </c>
      <c r="B1265" s="19">
        <v>177</v>
      </c>
      <c r="F1265" s="11">
        <v>11.4</v>
      </c>
    </row>
    <row r="1266" spans="1:6" x14ac:dyDescent="0.2">
      <c r="A1266" s="9">
        <v>42173</v>
      </c>
      <c r="B1266" s="19">
        <v>185</v>
      </c>
      <c r="F1266" s="11">
        <v>2.4</v>
      </c>
    </row>
    <row r="1267" spans="1:6" x14ac:dyDescent="0.2">
      <c r="A1267" s="9">
        <v>42174</v>
      </c>
      <c r="B1267" s="19">
        <v>109</v>
      </c>
      <c r="F1267" s="11">
        <v>75.599999999999994</v>
      </c>
    </row>
    <row r="1268" spans="1:6" x14ac:dyDescent="0.2">
      <c r="A1268" s="9">
        <v>42175</v>
      </c>
      <c r="B1268" s="19">
        <v>52</v>
      </c>
      <c r="F1268" s="11">
        <v>7.5</v>
      </c>
    </row>
    <row r="1269" spans="1:6" x14ac:dyDescent="0.2">
      <c r="A1269" s="9">
        <v>42176</v>
      </c>
      <c r="B1269" s="19">
        <v>28</v>
      </c>
      <c r="F1269" s="11">
        <v>0.2</v>
      </c>
    </row>
    <row r="1270" spans="1:6" x14ac:dyDescent="0.2">
      <c r="A1270" s="9">
        <v>42177</v>
      </c>
      <c r="B1270" s="19">
        <v>232</v>
      </c>
      <c r="F1270" s="11">
        <v>4.4000000000000004</v>
      </c>
    </row>
    <row r="1271" spans="1:6" x14ac:dyDescent="0.2">
      <c r="A1271" s="9">
        <v>42178</v>
      </c>
      <c r="B1271" s="19">
        <v>215</v>
      </c>
    </row>
    <row r="1272" spans="1:6" x14ac:dyDescent="0.2">
      <c r="A1272" s="9">
        <v>42179</v>
      </c>
      <c r="B1272" s="19">
        <v>235</v>
      </c>
    </row>
    <row r="1273" spans="1:6" x14ac:dyDescent="0.2">
      <c r="A1273" s="9">
        <v>42180</v>
      </c>
      <c r="B1273" s="19">
        <v>204</v>
      </c>
    </row>
    <row r="1274" spans="1:6" x14ac:dyDescent="0.2">
      <c r="A1274" s="9">
        <v>42181</v>
      </c>
      <c r="B1274" s="19">
        <v>103</v>
      </c>
      <c r="F1274" s="11">
        <v>9.1999999999999993</v>
      </c>
    </row>
    <row r="1275" spans="1:6" x14ac:dyDescent="0.2">
      <c r="A1275" s="9">
        <v>42182</v>
      </c>
      <c r="B1275" s="19">
        <v>39</v>
      </c>
    </row>
    <row r="1276" spans="1:6" x14ac:dyDescent="0.2">
      <c r="A1276" s="9">
        <v>42183</v>
      </c>
      <c r="B1276" s="19">
        <v>20</v>
      </c>
    </row>
    <row r="1277" spans="1:6" x14ac:dyDescent="0.2">
      <c r="A1277" s="9">
        <v>42184</v>
      </c>
      <c r="B1277" s="19">
        <v>218</v>
      </c>
    </row>
    <row r="1278" spans="1:6" x14ac:dyDescent="0.2">
      <c r="A1278" s="9">
        <v>42185</v>
      </c>
      <c r="B1278" s="19">
        <v>235</v>
      </c>
    </row>
    <row r="1279" spans="1:6" x14ac:dyDescent="0.2">
      <c r="A1279" s="9">
        <v>42186</v>
      </c>
      <c r="B1279" s="19">
        <v>168</v>
      </c>
      <c r="F1279" s="11">
        <v>1</v>
      </c>
    </row>
    <row r="1280" spans="1:6" x14ac:dyDescent="0.2">
      <c r="A1280" s="9">
        <v>42187</v>
      </c>
      <c r="B1280" s="19">
        <v>165</v>
      </c>
    </row>
    <row r="1281" spans="1:6" x14ac:dyDescent="0.2">
      <c r="A1281" s="9">
        <v>42188</v>
      </c>
      <c r="B1281" s="19">
        <v>115</v>
      </c>
    </row>
    <row r="1282" spans="1:6" x14ac:dyDescent="0.2">
      <c r="A1282" s="9">
        <v>42189</v>
      </c>
      <c r="B1282" s="19">
        <v>25</v>
      </c>
    </row>
    <row r="1283" spans="1:6" x14ac:dyDescent="0.2">
      <c r="A1283" s="9">
        <v>42190</v>
      </c>
      <c r="B1283" s="19">
        <v>20</v>
      </c>
    </row>
    <row r="1284" spans="1:6" x14ac:dyDescent="0.2">
      <c r="A1284" s="9">
        <v>42191</v>
      </c>
      <c r="B1284" s="19">
        <v>256</v>
      </c>
    </row>
    <row r="1285" spans="1:6" x14ac:dyDescent="0.2">
      <c r="A1285" s="9">
        <v>42192</v>
      </c>
      <c r="B1285" s="19">
        <v>145</v>
      </c>
    </row>
    <row r="1286" spans="1:6" x14ac:dyDescent="0.2">
      <c r="A1286" s="9">
        <v>42193</v>
      </c>
      <c r="B1286" s="19">
        <v>139</v>
      </c>
      <c r="F1286" s="11">
        <v>9.6</v>
      </c>
    </row>
    <row r="1287" spans="1:6" x14ac:dyDescent="0.2">
      <c r="A1287" s="9">
        <v>42194</v>
      </c>
      <c r="B1287" s="19">
        <v>96</v>
      </c>
    </row>
    <row r="1288" spans="1:6" x14ac:dyDescent="0.2">
      <c r="A1288" s="9">
        <v>42195</v>
      </c>
      <c r="B1288" s="19">
        <v>162</v>
      </c>
    </row>
    <row r="1289" spans="1:6" x14ac:dyDescent="0.2">
      <c r="A1289" s="9">
        <v>42196</v>
      </c>
      <c r="B1289" s="19">
        <v>64</v>
      </c>
      <c r="F1289" s="11">
        <v>0.8</v>
      </c>
    </row>
    <row r="1290" spans="1:6" x14ac:dyDescent="0.2">
      <c r="A1290" s="9">
        <v>42197</v>
      </c>
      <c r="B1290" s="19">
        <v>26</v>
      </c>
      <c r="F1290" s="11">
        <v>2.8</v>
      </c>
    </row>
    <row r="1291" spans="1:6" x14ac:dyDescent="0.2">
      <c r="A1291" s="9">
        <v>42198</v>
      </c>
      <c r="B1291" s="19">
        <v>246</v>
      </c>
      <c r="F1291" s="11">
        <v>6.6</v>
      </c>
    </row>
    <row r="1292" spans="1:6" x14ac:dyDescent="0.2">
      <c r="A1292" s="9">
        <v>42199</v>
      </c>
      <c r="B1292" s="19">
        <v>193</v>
      </c>
      <c r="F1292" s="11">
        <v>0.4</v>
      </c>
    </row>
    <row r="1293" spans="1:6" x14ac:dyDescent="0.2">
      <c r="A1293" s="9">
        <v>42200</v>
      </c>
      <c r="B1293" s="19">
        <v>156</v>
      </c>
    </row>
    <row r="1294" spans="1:6" x14ac:dyDescent="0.2">
      <c r="A1294" s="9">
        <v>42201</v>
      </c>
      <c r="B1294" s="19">
        <v>183</v>
      </c>
      <c r="F1294" s="11">
        <v>6.2</v>
      </c>
    </row>
    <row r="1295" spans="1:6" x14ac:dyDescent="0.2">
      <c r="A1295" s="9">
        <v>42202</v>
      </c>
      <c r="B1295" s="19">
        <v>181</v>
      </c>
      <c r="F1295" s="11">
        <v>17</v>
      </c>
    </row>
    <row r="1296" spans="1:6" x14ac:dyDescent="0.2">
      <c r="A1296" s="9">
        <v>42203</v>
      </c>
      <c r="B1296" s="19">
        <v>75</v>
      </c>
      <c r="F1296" s="11">
        <v>1.2</v>
      </c>
    </row>
    <row r="1297" spans="1:6" x14ac:dyDescent="0.2">
      <c r="A1297" s="9">
        <v>42204</v>
      </c>
      <c r="B1297" s="19">
        <v>35</v>
      </c>
    </row>
    <row r="1298" spans="1:6" x14ac:dyDescent="0.2">
      <c r="A1298" s="9">
        <v>42205</v>
      </c>
      <c r="B1298" s="19">
        <v>359</v>
      </c>
    </row>
    <row r="1299" spans="1:6" x14ac:dyDescent="0.2">
      <c r="A1299" s="9">
        <v>42206</v>
      </c>
      <c r="B1299" s="19">
        <v>333</v>
      </c>
      <c r="F1299" s="11">
        <v>1.6</v>
      </c>
    </row>
    <row r="1300" spans="1:6" x14ac:dyDescent="0.2">
      <c r="A1300" s="9">
        <v>42207</v>
      </c>
      <c r="B1300" s="19">
        <v>307</v>
      </c>
    </row>
    <row r="1301" spans="1:6" x14ac:dyDescent="0.2">
      <c r="A1301" s="9">
        <v>42208</v>
      </c>
      <c r="B1301" s="19">
        <v>243</v>
      </c>
      <c r="F1301" s="11">
        <v>1.8</v>
      </c>
    </row>
    <row r="1302" spans="1:6" x14ac:dyDescent="0.2">
      <c r="A1302" s="9">
        <v>42209</v>
      </c>
      <c r="B1302" s="19">
        <v>201</v>
      </c>
    </row>
    <row r="1303" spans="1:6" x14ac:dyDescent="0.2">
      <c r="A1303" s="9">
        <v>42210</v>
      </c>
      <c r="B1303" s="19">
        <v>70</v>
      </c>
    </row>
    <row r="1304" spans="1:6" x14ac:dyDescent="0.2">
      <c r="A1304" s="9">
        <v>42211</v>
      </c>
      <c r="B1304" s="19">
        <v>43</v>
      </c>
    </row>
    <row r="1305" spans="1:6" x14ac:dyDescent="0.2">
      <c r="A1305" s="9">
        <v>42212</v>
      </c>
      <c r="B1305" s="19">
        <v>343</v>
      </c>
    </row>
    <row r="1306" spans="1:6" x14ac:dyDescent="0.2">
      <c r="A1306" s="9">
        <v>42213</v>
      </c>
      <c r="B1306" s="19">
        <v>261</v>
      </c>
    </row>
    <row r="1307" spans="1:6" x14ac:dyDescent="0.2">
      <c r="A1307" s="9">
        <v>42214</v>
      </c>
      <c r="B1307" s="19">
        <v>236</v>
      </c>
    </row>
    <row r="1308" spans="1:6" x14ac:dyDescent="0.2">
      <c r="A1308" s="9">
        <v>42215</v>
      </c>
      <c r="B1308" s="19">
        <v>246</v>
      </c>
    </row>
    <row r="1309" spans="1:6" x14ac:dyDescent="0.2">
      <c r="A1309" s="9">
        <v>42216</v>
      </c>
      <c r="B1309" s="19">
        <v>171</v>
      </c>
    </row>
    <row r="1310" spans="1:6" x14ac:dyDescent="0.2">
      <c r="A1310" s="9">
        <v>42217</v>
      </c>
      <c r="B1310" s="19">
        <v>79</v>
      </c>
    </row>
    <row r="1311" spans="1:6" x14ac:dyDescent="0.2">
      <c r="A1311" s="9">
        <v>42218</v>
      </c>
      <c r="B1311" s="19">
        <v>28</v>
      </c>
    </row>
    <row r="1312" spans="1:6" x14ac:dyDescent="0.2">
      <c r="A1312" s="9">
        <v>42219</v>
      </c>
      <c r="B1312" s="19">
        <v>422</v>
      </c>
    </row>
    <row r="1313" spans="1:6" x14ac:dyDescent="0.2">
      <c r="A1313" s="9">
        <v>42220</v>
      </c>
      <c r="B1313" s="19">
        <v>270</v>
      </c>
    </row>
    <row r="1314" spans="1:6" x14ac:dyDescent="0.2">
      <c r="A1314" s="9">
        <v>42221</v>
      </c>
      <c r="B1314" s="19">
        <v>262</v>
      </c>
    </row>
    <row r="1315" spans="1:6" x14ac:dyDescent="0.2">
      <c r="A1315" s="9">
        <v>42222</v>
      </c>
      <c r="B1315" s="19">
        <v>230</v>
      </c>
    </row>
    <row r="1316" spans="1:6" x14ac:dyDescent="0.2">
      <c r="A1316" s="9">
        <v>42223</v>
      </c>
      <c r="B1316" s="19">
        <v>229</v>
      </c>
    </row>
    <row r="1317" spans="1:6" x14ac:dyDescent="0.2">
      <c r="A1317" s="9">
        <v>42224</v>
      </c>
      <c r="B1317" s="19">
        <v>64</v>
      </c>
    </row>
    <row r="1318" spans="1:6" x14ac:dyDescent="0.2">
      <c r="A1318" s="9">
        <v>42225</v>
      </c>
      <c r="B1318" s="19">
        <v>33</v>
      </c>
    </row>
    <row r="1319" spans="1:6" x14ac:dyDescent="0.2">
      <c r="A1319" s="9">
        <v>42226</v>
      </c>
      <c r="B1319" s="19">
        <v>487</v>
      </c>
    </row>
    <row r="1320" spans="1:6" x14ac:dyDescent="0.2">
      <c r="A1320" s="9">
        <v>42227</v>
      </c>
      <c r="B1320" s="19">
        <v>350</v>
      </c>
    </row>
    <row r="1321" spans="1:6" x14ac:dyDescent="0.2">
      <c r="A1321" s="9">
        <v>42228</v>
      </c>
      <c r="B1321" s="19">
        <v>328</v>
      </c>
    </row>
    <row r="1322" spans="1:6" x14ac:dyDescent="0.2">
      <c r="A1322" s="9">
        <v>42229</v>
      </c>
      <c r="B1322" s="19">
        <v>237</v>
      </c>
    </row>
    <row r="1323" spans="1:6" x14ac:dyDescent="0.2">
      <c r="A1323" s="9">
        <v>42230</v>
      </c>
      <c r="B1323" s="19">
        <v>241</v>
      </c>
    </row>
    <row r="1324" spans="1:6" x14ac:dyDescent="0.2">
      <c r="A1324" s="9">
        <v>42231</v>
      </c>
      <c r="B1324" s="19">
        <v>80</v>
      </c>
    </row>
    <row r="1325" spans="1:6" x14ac:dyDescent="0.2">
      <c r="A1325" s="9">
        <v>42232</v>
      </c>
      <c r="B1325" s="19">
        <v>36</v>
      </c>
    </row>
    <row r="1326" spans="1:6" x14ac:dyDescent="0.2">
      <c r="A1326" s="9">
        <v>42233</v>
      </c>
      <c r="B1326" s="19">
        <v>319</v>
      </c>
      <c r="F1326" s="11">
        <v>6</v>
      </c>
    </row>
    <row r="1327" spans="1:6" x14ac:dyDescent="0.2">
      <c r="A1327" s="9">
        <v>42234</v>
      </c>
      <c r="B1327" s="19">
        <v>386</v>
      </c>
    </row>
    <row r="1328" spans="1:6" x14ac:dyDescent="0.2">
      <c r="A1328" s="9">
        <v>42235</v>
      </c>
      <c r="B1328" s="19">
        <v>325</v>
      </c>
    </row>
    <row r="1329" spans="1:6" x14ac:dyDescent="0.2">
      <c r="A1329" s="9">
        <v>42236</v>
      </c>
      <c r="B1329" s="19">
        <v>334</v>
      </c>
    </row>
    <row r="1330" spans="1:6" x14ac:dyDescent="0.2">
      <c r="A1330" s="9">
        <v>42237</v>
      </c>
      <c r="B1330" s="19">
        <v>207</v>
      </c>
    </row>
    <row r="1331" spans="1:6" x14ac:dyDescent="0.2">
      <c r="A1331" s="9">
        <v>42238</v>
      </c>
      <c r="B1331" s="19">
        <v>86</v>
      </c>
    </row>
    <row r="1332" spans="1:6" x14ac:dyDescent="0.2">
      <c r="A1332" s="9">
        <v>42239</v>
      </c>
      <c r="B1332" s="19">
        <v>28</v>
      </c>
      <c r="F1332" s="11">
        <v>3</v>
      </c>
    </row>
    <row r="1333" spans="1:6" x14ac:dyDescent="0.2">
      <c r="A1333" s="9">
        <v>42240</v>
      </c>
      <c r="B1333" s="19">
        <v>429</v>
      </c>
      <c r="F1333" s="11">
        <v>5</v>
      </c>
    </row>
    <row r="1334" spans="1:6" x14ac:dyDescent="0.2">
      <c r="A1334" s="9">
        <v>42241</v>
      </c>
      <c r="B1334" s="19">
        <v>404</v>
      </c>
      <c r="F1334" s="11">
        <v>75.2</v>
      </c>
    </row>
    <row r="1335" spans="1:6" x14ac:dyDescent="0.2">
      <c r="A1335" s="9">
        <v>42242</v>
      </c>
      <c r="B1335" s="19">
        <v>314</v>
      </c>
      <c r="F1335" s="11">
        <v>4.8</v>
      </c>
    </row>
    <row r="1336" spans="1:6" x14ac:dyDescent="0.2">
      <c r="A1336" s="9">
        <v>42243</v>
      </c>
      <c r="B1336" s="19">
        <v>269</v>
      </c>
    </row>
    <row r="1337" spans="1:6" x14ac:dyDescent="0.2">
      <c r="A1337" s="9">
        <v>42244</v>
      </c>
      <c r="B1337" s="19">
        <v>156</v>
      </c>
    </row>
    <row r="1338" spans="1:6" x14ac:dyDescent="0.2">
      <c r="A1338" s="9">
        <v>42245</v>
      </c>
      <c r="B1338" s="19">
        <v>79</v>
      </c>
    </row>
    <row r="1339" spans="1:6" x14ac:dyDescent="0.2">
      <c r="A1339" s="9">
        <v>42246</v>
      </c>
      <c r="B1339" s="19">
        <v>32</v>
      </c>
    </row>
    <row r="1340" spans="1:6" x14ac:dyDescent="0.2">
      <c r="A1340" s="9">
        <v>42247</v>
      </c>
      <c r="B1340" s="19">
        <v>323</v>
      </c>
    </row>
    <row r="1341" spans="1:6" x14ac:dyDescent="0.2">
      <c r="A1341" s="9">
        <v>42248</v>
      </c>
      <c r="B1341" s="19">
        <v>342</v>
      </c>
    </row>
    <row r="1342" spans="1:6" x14ac:dyDescent="0.2">
      <c r="A1342" s="9">
        <v>42249</v>
      </c>
      <c r="B1342" s="19">
        <v>276</v>
      </c>
    </row>
    <row r="1343" spans="1:6" x14ac:dyDescent="0.2">
      <c r="A1343" s="9">
        <v>42250</v>
      </c>
      <c r="B1343" s="19">
        <v>141</v>
      </c>
      <c r="F1343" s="11">
        <v>3.2</v>
      </c>
    </row>
    <row r="1344" spans="1:6" x14ac:dyDescent="0.2">
      <c r="A1344" s="9">
        <v>42251</v>
      </c>
      <c r="B1344" s="19">
        <v>194</v>
      </c>
      <c r="F1344" s="11">
        <v>25.2</v>
      </c>
    </row>
    <row r="1345" spans="1:6" x14ac:dyDescent="0.2">
      <c r="A1345" s="9">
        <v>42252</v>
      </c>
      <c r="B1345" s="19">
        <v>64</v>
      </c>
    </row>
    <row r="1346" spans="1:6" x14ac:dyDescent="0.2">
      <c r="A1346" s="9">
        <v>42253</v>
      </c>
      <c r="B1346" s="19">
        <v>26</v>
      </c>
      <c r="F1346" s="11">
        <v>0.8</v>
      </c>
    </row>
    <row r="1347" spans="1:6" x14ac:dyDescent="0.2">
      <c r="A1347" s="9">
        <v>42254</v>
      </c>
      <c r="B1347" s="19">
        <v>246</v>
      </c>
    </row>
    <row r="1348" spans="1:6" x14ac:dyDescent="0.2">
      <c r="A1348" s="9">
        <v>42255</v>
      </c>
      <c r="B1348" s="19">
        <v>150</v>
      </c>
      <c r="F1348" s="11">
        <v>0.3</v>
      </c>
    </row>
    <row r="1349" spans="1:6" x14ac:dyDescent="0.2">
      <c r="A1349" s="9">
        <v>42256</v>
      </c>
      <c r="B1349" s="19">
        <v>275</v>
      </c>
    </row>
    <row r="1350" spans="1:6" x14ac:dyDescent="0.2">
      <c r="A1350" s="9">
        <v>42257</v>
      </c>
      <c r="B1350" s="19">
        <v>236</v>
      </c>
      <c r="F1350" s="11">
        <v>1.2</v>
      </c>
    </row>
    <row r="1351" spans="1:6" x14ac:dyDescent="0.2">
      <c r="A1351" s="9">
        <v>42258</v>
      </c>
      <c r="B1351" s="19">
        <v>195</v>
      </c>
      <c r="F1351" s="11">
        <v>0.6</v>
      </c>
    </row>
    <row r="1352" spans="1:6" x14ac:dyDescent="0.2">
      <c r="A1352" s="9">
        <v>42259</v>
      </c>
      <c r="B1352" s="19">
        <v>67</v>
      </c>
    </row>
    <row r="1353" spans="1:6" x14ac:dyDescent="0.2">
      <c r="A1353" s="9">
        <v>42260</v>
      </c>
      <c r="B1353" s="19">
        <v>25</v>
      </c>
    </row>
    <row r="1354" spans="1:6" x14ac:dyDescent="0.2">
      <c r="A1354" s="9">
        <v>42261</v>
      </c>
      <c r="B1354" s="19">
        <v>318</v>
      </c>
    </row>
    <row r="1355" spans="1:6" x14ac:dyDescent="0.2">
      <c r="A1355" s="9">
        <v>42262</v>
      </c>
      <c r="B1355" s="19">
        <v>195</v>
      </c>
    </row>
    <row r="1356" spans="1:6" x14ac:dyDescent="0.2">
      <c r="A1356" s="9">
        <v>42263</v>
      </c>
      <c r="B1356" s="19">
        <v>107</v>
      </c>
    </row>
    <row r="1357" spans="1:6" x14ac:dyDescent="0.2">
      <c r="A1357" s="9">
        <v>42264</v>
      </c>
      <c r="B1357" s="19">
        <v>110</v>
      </c>
    </row>
    <row r="1358" spans="1:6" x14ac:dyDescent="0.2">
      <c r="A1358" s="9">
        <v>42265</v>
      </c>
      <c r="B1358" s="19">
        <v>122</v>
      </c>
      <c r="F1358" s="11">
        <v>2.4</v>
      </c>
    </row>
    <row r="1359" spans="1:6" x14ac:dyDescent="0.2">
      <c r="A1359" s="9">
        <v>42266</v>
      </c>
      <c r="B1359" s="19">
        <v>49</v>
      </c>
      <c r="F1359" s="11">
        <v>12</v>
      </c>
    </row>
    <row r="1360" spans="1:6" x14ac:dyDescent="0.2">
      <c r="A1360" s="9">
        <v>42267</v>
      </c>
      <c r="B1360" s="19">
        <v>24</v>
      </c>
    </row>
    <row r="1361" spans="1:6" x14ac:dyDescent="0.2">
      <c r="A1361" s="9">
        <v>42268</v>
      </c>
      <c r="B1361" s="19">
        <v>237</v>
      </c>
      <c r="F1361" s="11">
        <v>0.6</v>
      </c>
    </row>
    <row r="1362" spans="1:6" x14ac:dyDescent="0.2">
      <c r="A1362" s="9">
        <v>42269</v>
      </c>
      <c r="B1362" s="19">
        <v>148</v>
      </c>
    </row>
    <row r="1363" spans="1:6" x14ac:dyDescent="0.2">
      <c r="A1363" s="9">
        <v>42270</v>
      </c>
      <c r="B1363" s="19">
        <v>164</v>
      </c>
      <c r="F1363" s="11">
        <v>1.2</v>
      </c>
    </row>
    <row r="1364" spans="1:6" x14ac:dyDescent="0.2">
      <c r="A1364" s="9">
        <v>42271</v>
      </c>
      <c r="B1364" s="19">
        <v>127</v>
      </c>
      <c r="F1364" s="11">
        <v>3</v>
      </c>
    </row>
    <row r="1365" spans="1:6" x14ac:dyDescent="0.2">
      <c r="A1365" s="9">
        <v>42272</v>
      </c>
      <c r="B1365" s="19">
        <v>172</v>
      </c>
      <c r="F1365" s="11">
        <v>33.799999999999997</v>
      </c>
    </row>
    <row r="1366" spans="1:6" x14ac:dyDescent="0.2">
      <c r="A1366" s="9">
        <v>42273</v>
      </c>
      <c r="B1366" s="19">
        <v>48</v>
      </c>
      <c r="F1366" s="11">
        <v>4</v>
      </c>
    </row>
    <row r="1367" spans="1:6" x14ac:dyDescent="0.2">
      <c r="A1367" s="9">
        <v>42274</v>
      </c>
      <c r="B1367" s="19">
        <v>18</v>
      </c>
      <c r="F1367" s="11">
        <v>5.8</v>
      </c>
    </row>
    <row r="1368" spans="1:6" x14ac:dyDescent="0.2">
      <c r="A1368" s="9">
        <v>42275</v>
      </c>
      <c r="B1368" s="19">
        <v>134</v>
      </c>
    </row>
    <row r="1369" spans="1:6" x14ac:dyDescent="0.2">
      <c r="A1369" s="9">
        <v>42276</v>
      </c>
      <c r="B1369" s="19">
        <v>131</v>
      </c>
    </row>
    <row r="1370" spans="1:6" x14ac:dyDescent="0.2">
      <c r="A1370" s="9">
        <v>42277</v>
      </c>
      <c r="B1370" s="19">
        <v>95</v>
      </c>
    </row>
    <row r="1371" spans="1:6" x14ac:dyDescent="0.2">
      <c r="A1371" s="9">
        <v>42278</v>
      </c>
      <c r="B1371" s="19">
        <v>121</v>
      </c>
    </row>
    <row r="1372" spans="1:6" x14ac:dyDescent="0.2">
      <c r="A1372" s="9">
        <v>42279</v>
      </c>
      <c r="B1372" s="19">
        <v>86</v>
      </c>
    </row>
    <row r="1373" spans="1:6" x14ac:dyDescent="0.2">
      <c r="A1373" s="9">
        <v>42280</v>
      </c>
      <c r="B1373" s="19">
        <v>63</v>
      </c>
    </row>
    <row r="1374" spans="1:6" x14ac:dyDescent="0.2">
      <c r="A1374" s="9">
        <v>42281</v>
      </c>
      <c r="B1374" s="19">
        <v>17</v>
      </c>
    </row>
    <row r="1375" spans="1:6" x14ac:dyDescent="0.2">
      <c r="A1375" s="9">
        <v>42282</v>
      </c>
      <c r="B1375" s="19">
        <v>244</v>
      </c>
    </row>
    <row r="1376" spans="1:6" x14ac:dyDescent="0.2">
      <c r="A1376" s="9">
        <v>42283</v>
      </c>
      <c r="B1376" s="19">
        <v>263</v>
      </c>
    </row>
    <row r="1377" spans="1:6" x14ac:dyDescent="0.2">
      <c r="A1377" s="9">
        <v>42284</v>
      </c>
      <c r="B1377" s="19">
        <v>136</v>
      </c>
    </row>
    <row r="1378" spans="1:6" x14ac:dyDescent="0.2">
      <c r="A1378" s="9">
        <v>42285</v>
      </c>
      <c r="B1378" s="19">
        <v>183</v>
      </c>
    </row>
    <row r="1379" spans="1:6" x14ac:dyDescent="0.2">
      <c r="A1379" s="9">
        <v>42286</v>
      </c>
      <c r="B1379" s="19">
        <v>133</v>
      </c>
      <c r="F1379" s="11">
        <v>0.1</v>
      </c>
    </row>
    <row r="1380" spans="1:6" x14ac:dyDescent="0.2">
      <c r="A1380" s="9">
        <v>42287</v>
      </c>
      <c r="B1380" s="19">
        <v>34</v>
      </c>
    </row>
    <row r="1381" spans="1:6" x14ac:dyDescent="0.2">
      <c r="A1381" s="9">
        <v>42288</v>
      </c>
      <c r="B1381" s="19">
        <v>24</v>
      </c>
    </row>
    <row r="1382" spans="1:6" x14ac:dyDescent="0.2">
      <c r="A1382" s="9">
        <v>42289</v>
      </c>
      <c r="B1382" s="19">
        <v>234</v>
      </c>
      <c r="F1382" s="11">
        <v>3.6</v>
      </c>
    </row>
    <row r="1383" spans="1:6" x14ac:dyDescent="0.2">
      <c r="A1383" s="9">
        <v>42290</v>
      </c>
      <c r="B1383" s="19">
        <v>172</v>
      </c>
      <c r="F1383" s="11">
        <v>3.8</v>
      </c>
    </row>
    <row r="1384" spans="1:6" x14ac:dyDescent="0.2">
      <c r="A1384" s="9">
        <v>42291</v>
      </c>
      <c r="B1384" s="19">
        <v>237</v>
      </c>
      <c r="F1384" s="11">
        <v>6.4</v>
      </c>
    </row>
    <row r="1385" spans="1:6" x14ac:dyDescent="0.2">
      <c r="A1385" s="9">
        <v>42292</v>
      </c>
      <c r="B1385" s="19">
        <v>147</v>
      </c>
    </row>
    <row r="1386" spans="1:6" x14ac:dyDescent="0.2">
      <c r="A1386" s="9">
        <v>42293</v>
      </c>
      <c r="B1386" s="19">
        <v>174</v>
      </c>
    </row>
    <row r="1387" spans="1:6" x14ac:dyDescent="0.2">
      <c r="A1387" s="9">
        <v>42294</v>
      </c>
      <c r="B1387" s="19">
        <v>78</v>
      </c>
    </row>
    <row r="1388" spans="1:6" x14ac:dyDescent="0.2">
      <c r="A1388" s="9">
        <v>42295</v>
      </c>
      <c r="B1388" s="19">
        <v>40</v>
      </c>
      <c r="F1388" s="11">
        <v>2</v>
      </c>
    </row>
    <row r="1389" spans="1:6" x14ac:dyDescent="0.2">
      <c r="A1389" s="9">
        <v>42296</v>
      </c>
      <c r="B1389" s="19">
        <v>347</v>
      </c>
      <c r="F1389" s="11">
        <v>0.6</v>
      </c>
    </row>
    <row r="1390" spans="1:6" x14ac:dyDescent="0.2">
      <c r="A1390" s="9">
        <v>42297</v>
      </c>
      <c r="B1390" s="19">
        <v>375</v>
      </c>
    </row>
    <row r="1391" spans="1:6" x14ac:dyDescent="0.2">
      <c r="A1391" s="9">
        <v>42298</v>
      </c>
      <c r="B1391" s="19">
        <v>209</v>
      </c>
      <c r="F1391" s="11">
        <v>1.2</v>
      </c>
    </row>
    <row r="1392" spans="1:6" x14ac:dyDescent="0.2">
      <c r="A1392" s="9">
        <v>42299</v>
      </c>
      <c r="B1392" s="19">
        <v>299</v>
      </c>
      <c r="F1392" s="11">
        <v>11.8</v>
      </c>
    </row>
    <row r="1393" spans="1:6" x14ac:dyDescent="0.2">
      <c r="A1393" s="9">
        <v>42300</v>
      </c>
      <c r="B1393" s="19">
        <v>214</v>
      </c>
      <c r="F1393" s="11">
        <v>14</v>
      </c>
    </row>
    <row r="1394" spans="1:6" x14ac:dyDescent="0.2">
      <c r="A1394" s="9">
        <v>42301</v>
      </c>
      <c r="B1394" s="19">
        <v>64</v>
      </c>
    </row>
    <row r="1395" spans="1:6" x14ac:dyDescent="0.2">
      <c r="A1395" s="9">
        <v>42302</v>
      </c>
      <c r="B1395" s="19">
        <v>39</v>
      </c>
    </row>
    <row r="1396" spans="1:6" x14ac:dyDescent="0.2">
      <c r="A1396" s="9">
        <v>42303</v>
      </c>
      <c r="B1396" s="19">
        <v>407</v>
      </c>
    </row>
    <row r="1397" spans="1:6" x14ac:dyDescent="0.2">
      <c r="A1397" s="9">
        <v>42304</v>
      </c>
      <c r="B1397" s="19">
        <v>298</v>
      </c>
      <c r="F1397" s="11">
        <v>9.5</v>
      </c>
    </row>
    <row r="1398" spans="1:6" x14ac:dyDescent="0.2">
      <c r="A1398" s="9">
        <v>42305</v>
      </c>
      <c r="B1398" s="19">
        <v>361</v>
      </c>
      <c r="F1398" s="11">
        <v>0.1</v>
      </c>
    </row>
    <row r="1399" spans="1:6" x14ac:dyDescent="0.2">
      <c r="A1399" s="9">
        <v>42306</v>
      </c>
      <c r="B1399" s="19">
        <v>237</v>
      </c>
    </row>
    <row r="1400" spans="1:6" x14ac:dyDescent="0.2">
      <c r="A1400" s="9">
        <v>42307</v>
      </c>
      <c r="B1400" s="19">
        <v>206</v>
      </c>
    </row>
    <row r="1401" spans="1:6" x14ac:dyDescent="0.2">
      <c r="A1401" s="9">
        <v>42308</v>
      </c>
      <c r="B1401" s="19">
        <v>76</v>
      </c>
    </row>
    <row r="1402" spans="1:6" x14ac:dyDescent="0.2">
      <c r="A1402" s="9">
        <v>42309</v>
      </c>
      <c r="B1402" s="19">
        <v>31</v>
      </c>
    </row>
    <row r="1403" spans="1:6" x14ac:dyDescent="0.2">
      <c r="A1403" s="9">
        <v>42310</v>
      </c>
      <c r="B1403" s="19">
        <v>452</v>
      </c>
      <c r="F1403" s="11">
        <v>23.4</v>
      </c>
    </row>
    <row r="1404" spans="1:6" x14ac:dyDescent="0.2">
      <c r="A1404" s="9">
        <v>42311</v>
      </c>
      <c r="B1404" s="19">
        <v>320</v>
      </c>
      <c r="F1404" s="11">
        <v>1.2</v>
      </c>
    </row>
    <row r="1405" spans="1:6" x14ac:dyDescent="0.2">
      <c r="A1405" s="9">
        <v>42312</v>
      </c>
      <c r="B1405" s="19">
        <v>260</v>
      </c>
      <c r="F1405" s="11">
        <v>4.4000000000000004</v>
      </c>
    </row>
    <row r="1406" spans="1:6" x14ac:dyDescent="0.2">
      <c r="A1406" s="9">
        <v>42313</v>
      </c>
      <c r="B1406" s="19">
        <v>247</v>
      </c>
      <c r="F1406" s="11">
        <v>18</v>
      </c>
    </row>
    <row r="1407" spans="1:6" x14ac:dyDescent="0.2">
      <c r="A1407" s="9">
        <v>42314</v>
      </c>
      <c r="B1407" s="19">
        <v>293</v>
      </c>
      <c r="F1407" s="11">
        <v>15.4</v>
      </c>
    </row>
    <row r="1408" spans="1:6" x14ac:dyDescent="0.2">
      <c r="A1408" s="9">
        <v>42315</v>
      </c>
      <c r="B1408" s="19">
        <v>64</v>
      </c>
      <c r="F1408" s="11">
        <v>9.8000000000000007</v>
      </c>
    </row>
    <row r="1409" spans="1:6" x14ac:dyDescent="0.2">
      <c r="A1409" s="9">
        <v>42316</v>
      </c>
      <c r="B1409" s="19">
        <v>45</v>
      </c>
      <c r="F1409" s="11">
        <v>0.4</v>
      </c>
    </row>
    <row r="1410" spans="1:6" x14ac:dyDescent="0.2">
      <c r="A1410" s="9">
        <v>42317</v>
      </c>
      <c r="B1410" s="19">
        <v>311</v>
      </c>
    </row>
    <row r="1411" spans="1:6" x14ac:dyDescent="0.2">
      <c r="A1411" s="9">
        <v>42318</v>
      </c>
      <c r="B1411" s="19">
        <v>334</v>
      </c>
    </row>
    <row r="1412" spans="1:6" x14ac:dyDescent="0.2">
      <c r="A1412" s="9">
        <v>42319</v>
      </c>
      <c r="B1412" s="19">
        <v>379</v>
      </c>
    </row>
    <row r="1413" spans="1:6" x14ac:dyDescent="0.2">
      <c r="A1413" s="9">
        <v>42320</v>
      </c>
      <c r="B1413" s="19">
        <v>210</v>
      </c>
      <c r="F1413" s="11">
        <v>3.8</v>
      </c>
    </row>
    <row r="1414" spans="1:6" x14ac:dyDescent="0.2">
      <c r="A1414" s="9">
        <v>42321</v>
      </c>
      <c r="B1414" s="19">
        <v>236</v>
      </c>
      <c r="F1414" s="11">
        <v>0.8</v>
      </c>
    </row>
    <row r="1415" spans="1:6" x14ac:dyDescent="0.2">
      <c r="A1415" s="9">
        <v>42322</v>
      </c>
      <c r="B1415" s="19">
        <v>64</v>
      </c>
      <c r="F1415" s="11">
        <v>21</v>
      </c>
    </row>
    <row r="1416" spans="1:6" x14ac:dyDescent="0.2">
      <c r="A1416" s="9">
        <v>42323</v>
      </c>
      <c r="B1416" s="19">
        <v>36</v>
      </c>
      <c r="F1416" s="11">
        <v>27</v>
      </c>
    </row>
    <row r="1417" spans="1:6" x14ac:dyDescent="0.2">
      <c r="A1417" s="9">
        <v>42324</v>
      </c>
      <c r="B1417" s="19">
        <v>404</v>
      </c>
      <c r="F1417" s="11">
        <v>2.2000000000000002</v>
      </c>
    </row>
    <row r="1418" spans="1:6" x14ac:dyDescent="0.2">
      <c r="A1418" s="9">
        <v>42325</v>
      </c>
      <c r="B1418" s="19">
        <v>292</v>
      </c>
    </row>
    <row r="1419" spans="1:6" x14ac:dyDescent="0.2">
      <c r="A1419" s="9">
        <v>42326</v>
      </c>
      <c r="B1419" s="19">
        <v>287</v>
      </c>
    </row>
    <row r="1420" spans="1:6" x14ac:dyDescent="0.2">
      <c r="A1420" s="9">
        <v>42327</v>
      </c>
      <c r="B1420" s="19">
        <v>280</v>
      </c>
    </row>
    <row r="1421" spans="1:6" x14ac:dyDescent="0.2">
      <c r="A1421" s="9">
        <v>42328</v>
      </c>
      <c r="B1421" s="19">
        <v>170</v>
      </c>
    </row>
    <row r="1422" spans="1:6" x14ac:dyDescent="0.2">
      <c r="A1422" s="9">
        <v>42329</v>
      </c>
      <c r="B1422" s="19">
        <v>68</v>
      </c>
    </row>
    <row r="1423" spans="1:6" x14ac:dyDescent="0.2">
      <c r="A1423" s="9">
        <v>42330</v>
      </c>
      <c r="B1423" s="19">
        <v>31</v>
      </c>
    </row>
    <row r="1424" spans="1:6" x14ac:dyDescent="0.2">
      <c r="A1424" s="9">
        <v>42331</v>
      </c>
      <c r="B1424" s="19">
        <v>410</v>
      </c>
    </row>
    <row r="1425" spans="1:6" x14ac:dyDescent="0.2">
      <c r="A1425" s="9">
        <v>42332</v>
      </c>
      <c r="B1425" s="19">
        <v>265</v>
      </c>
    </row>
    <row r="1426" spans="1:6" x14ac:dyDescent="0.2">
      <c r="A1426" s="9">
        <v>42333</v>
      </c>
      <c r="B1426" s="19">
        <v>238</v>
      </c>
    </row>
    <row r="1427" spans="1:6" x14ac:dyDescent="0.2">
      <c r="A1427" s="9">
        <v>42334</v>
      </c>
      <c r="B1427" s="19">
        <v>226</v>
      </c>
    </row>
    <row r="1428" spans="1:6" x14ac:dyDescent="0.2">
      <c r="A1428" s="9">
        <v>42335</v>
      </c>
      <c r="B1428" s="19">
        <v>143</v>
      </c>
      <c r="F1428" s="11">
        <v>0.2</v>
      </c>
    </row>
    <row r="1429" spans="1:6" x14ac:dyDescent="0.2">
      <c r="A1429" s="9">
        <v>42336</v>
      </c>
      <c r="B1429" s="19">
        <v>81</v>
      </c>
    </row>
    <row r="1430" spans="1:6" x14ac:dyDescent="0.2">
      <c r="A1430" s="9">
        <v>42337</v>
      </c>
      <c r="B1430" s="19">
        <v>26</v>
      </c>
      <c r="F1430" s="11">
        <v>0.3</v>
      </c>
    </row>
    <row r="1431" spans="1:6" x14ac:dyDescent="0.2">
      <c r="A1431" s="9">
        <v>42338</v>
      </c>
      <c r="B1431" s="19">
        <v>230</v>
      </c>
    </row>
    <row r="1432" spans="1:6" x14ac:dyDescent="0.2">
      <c r="A1432" s="9">
        <v>42339</v>
      </c>
      <c r="B1432" s="19">
        <v>343</v>
      </c>
    </row>
    <row r="1433" spans="1:6" x14ac:dyDescent="0.2">
      <c r="A1433" s="9">
        <v>42340</v>
      </c>
      <c r="B1433" s="19">
        <v>195</v>
      </c>
    </row>
    <row r="1434" spans="1:6" x14ac:dyDescent="0.2">
      <c r="A1434" s="9">
        <v>42341</v>
      </c>
      <c r="B1434" s="19">
        <v>154</v>
      </c>
    </row>
    <row r="1435" spans="1:6" x14ac:dyDescent="0.2">
      <c r="A1435" s="9">
        <v>42342</v>
      </c>
      <c r="B1435" s="19">
        <v>171</v>
      </c>
    </row>
    <row r="1436" spans="1:6" x14ac:dyDescent="0.2">
      <c r="A1436" s="9">
        <v>42343</v>
      </c>
      <c r="B1436" s="19">
        <v>65</v>
      </c>
    </row>
    <row r="1437" spans="1:6" x14ac:dyDescent="0.2">
      <c r="A1437" s="9">
        <v>42344</v>
      </c>
      <c r="B1437" s="19">
        <v>35</v>
      </c>
    </row>
    <row r="1438" spans="1:6" x14ac:dyDescent="0.2">
      <c r="A1438" s="9">
        <v>42345</v>
      </c>
      <c r="B1438" s="19">
        <v>212</v>
      </c>
    </row>
    <row r="1439" spans="1:6" x14ac:dyDescent="0.2">
      <c r="A1439" s="9">
        <v>42346</v>
      </c>
      <c r="B1439" s="19">
        <v>250</v>
      </c>
    </row>
    <row r="1440" spans="1:6" x14ac:dyDescent="0.2">
      <c r="A1440" s="9">
        <v>42347</v>
      </c>
      <c r="B1440" s="19">
        <v>252</v>
      </c>
      <c r="F1440" s="11">
        <v>1.4</v>
      </c>
    </row>
    <row r="1441" spans="1:6" x14ac:dyDescent="0.2">
      <c r="A1441" s="9">
        <v>42348</v>
      </c>
      <c r="B1441" s="19">
        <v>128</v>
      </c>
      <c r="F1441" s="11">
        <v>21</v>
      </c>
    </row>
    <row r="1442" spans="1:6" x14ac:dyDescent="0.2">
      <c r="A1442" s="9">
        <v>42349</v>
      </c>
      <c r="B1442" s="19">
        <v>124</v>
      </c>
      <c r="F1442" s="11">
        <v>2</v>
      </c>
    </row>
    <row r="1443" spans="1:6" x14ac:dyDescent="0.2">
      <c r="A1443" s="9">
        <v>42350</v>
      </c>
      <c r="B1443" s="19">
        <v>41</v>
      </c>
    </row>
    <row r="1444" spans="1:6" x14ac:dyDescent="0.2">
      <c r="A1444" s="9">
        <v>42351</v>
      </c>
      <c r="B1444" s="19">
        <v>29</v>
      </c>
    </row>
    <row r="1445" spans="1:6" x14ac:dyDescent="0.2">
      <c r="A1445" s="9">
        <v>42352</v>
      </c>
      <c r="B1445" s="19">
        <v>270</v>
      </c>
    </row>
    <row r="1446" spans="1:6" x14ac:dyDescent="0.2">
      <c r="A1446" s="9">
        <v>42353</v>
      </c>
      <c r="B1446" s="19">
        <v>247</v>
      </c>
    </row>
    <row r="1447" spans="1:6" x14ac:dyDescent="0.2">
      <c r="A1447" s="9">
        <v>42354</v>
      </c>
      <c r="B1447" s="19">
        <v>118</v>
      </c>
      <c r="F1447" s="11">
        <v>1.2</v>
      </c>
    </row>
    <row r="1448" spans="1:6" x14ac:dyDescent="0.2">
      <c r="A1448" s="9">
        <v>42355</v>
      </c>
      <c r="B1448" s="19">
        <v>122</v>
      </c>
      <c r="F1448" s="11">
        <v>2</v>
      </c>
    </row>
    <row r="1449" spans="1:6" x14ac:dyDescent="0.2">
      <c r="A1449" s="9">
        <v>42356</v>
      </c>
      <c r="B1449" s="19">
        <v>69</v>
      </c>
    </row>
    <row r="1450" spans="1:6" x14ac:dyDescent="0.2">
      <c r="A1450" s="9">
        <v>42357</v>
      </c>
      <c r="B1450" s="19">
        <v>38</v>
      </c>
    </row>
    <row r="1451" spans="1:6" x14ac:dyDescent="0.2">
      <c r="A1451" s="9">
        <v>42358</v>
      </c>
      <c r="B1451" s="19">
        <v>15</v>
      </c>
    </row>
    <row r="1452" spans="1:6" x14ac:dyDescent="0.2">
      <c r="A1452" s="9">
        <v>42359</v>
      </c>
      <c r="B1452" s="19">
        <v>166</v>
      </c>
    </row>
    <row r="1453" spans="1:6" x14ac:dyDescent="0.2">
      <c r="A1453" s="9">
        <v>42360</v>
      </c>
      <c r="B1453" s="19">
        <v>184</v>
      </c>
      <c r="F1453" s="11">
        <v>27.6</v>
      </c>
    </row>
    <row r="1454" spans="1:6" x14ac:dyDescent="0.2">
      <c r="A1454" s="9">
        <v>42361</v>
      </c>
      <c r="B1454" s="19">
        <v>96</v>
      </c>
      <c r="F1454" s="11">
        <v>35.200000000000003</v>
      </c>
    </row>
    <row r="1455" spans="1:6" x14ac:dyDescent="0.2">
      <c r="A1455" s="9">
        <v>42362</v>
      </c>
      <c r="B1455" s="19">
        <v>97</v>
      </c>
      <c r="F1455" s="11">
        <v>1</v>
      </c>
    </row>
    <row r="1456" spans="1:6" x14ac:dyDescent="0.2">
      <c r="A1456" s="9">
        <v>42363</v>
      </c>
      <c r="B1456" s="19">
        <v>116</v>
      </c>
    </row>
    <row r="1457" spans="1:6" x14ac:dyDescent="0.2">
      <c r="A1457" s="9">
        <v>42364</v>
      </c>
      <c r="B1457" s="19">
        <v>44</v>
      </c>
      <c r="F1457" s="11">
        <v>1.2</v>
      </c>
    </row>
    <row r="1458" spans="1:6" x14ac:dyDescent="0.2">
      <c r="A1458" s="9">
        <v>42365</v>
      </c>
      <c r="B1458" s="19">
        <v>12</v>
      </c>
      <c r="F1458" s="11">
        <v>2.4</v>
      </c>
    </row>
    <row r="1459" spans="1:6" x14ac:dyDescent="0.2">
      <c r="A1459" s="9">
        <v>42366</v>
      </c>
      <c r="B1459" s="19">
        <v>266</v>
      </c>
      <c r="F1459" s="11">
        <v>3.8</v>
      </c>
    </row>
    <row r="1460" spans="1:6" x14ac:dyDescent="0.2">
      <c r="A1460" s="9">
        <v>42367</v>
      </c>
      <c r="B1460" s="19">
        <v>99</v>
      </c>
    </row>
    <row r="1461" spans="1:6" x14ac:dyDescent="0.2">
      <c r="A1461" s="9">
        <v>42368</v>
      </c>
      <c r="B1461" s="19">
        <v>156</v>
      </c>
    </row>
    <row r="1462" spans="1:6" x14ac:dyDescent="0.2">
      <c r="A1462" s="9">
        <v>42369</v>
      </c>
      <c r="B1462" s="19">
        <v>209</v>
      </c>
    </row>
    <row r="1463" spans="1:6" x14ac:dyDescent="0.2">
      <c r="A1463" s="9">
        <v>42370</v>
      </c>
      <c r="B1463" s="19">
        <v>159</v>
      </c>
    </row>
    <row r="1464" spans="1:6" x14ac:dyDescent="0.2">
      <c r="A1464" s="9">
        <v>42371</v>
      </c>
      <c r="B1464" s="19">
        <v>58</v>
      </c>
    </row>
    <row r="1465" spans="1:6" x14ac:dyDescent="0.2">
      <c r="A1465" s="9">
        <v>42372</v>
      </c>
      <c r="B1465" s="19">
        <v>17</v>
      </c>
    </row>
    <row r="1466" spans="1:6" x14ac:dyDescent="0.2">
      <c r="A1466" s="9">
        <v>42373</v>
      </c>
      <c r="B1466" s="19">
        <v>292</v>
      </c>
      <c r="F1466" s="11">
        <v>15</v>
      </c>
    </row>
    <row r="1467" spans="1:6" x14ac:dyDescent="0.2">
      <c r="A1467" s="9">
        <v>42374</v>
      </c>
      <c r="B1467" s="19">
        <v>164</v>
      </c>
      <c r="F1467" s="11">
        <v>36.6</v>
      </c>
    </row>
    <row r="1468" spans="1:6" x14ac:dyDescent="0.2">
      <c r="A1468" s="9">
        <v>42375</v>
      </c>
      <c r="B1468" s="19">
        <v>117</v>
      </c>
      <c r="F1468" s="11">
        <v>55.2</v>
      </c>
    </row>
    <row r="1469" spans="1:6" x14ac:dyDescent="0.2">
      <c r="A1469" s="9">
        <v>42376</v>
      </c>
      <c r="B1469" s="19">
        <v>168</v>
      </c>
      <c r="F1469" s="11">
        <v>47.6</v>
      </c>
    </row>
    <row r="1470" spans="1:6" x14ac:dyDescent="0.2">
      <c r="A1470" s="9">
        <v>42377</v>
      </c>
      <c r="B1470" s="19">
        <v>91</v>
      </c>
      <c r="F1470" s="11">
        <v>1</v>
      </c>
    </row>
    <row r="1471" spans="1:6" x14ac:dyDescent="0.2">
      <c r="A1471" s="9">
        <v>42378</v>
      </c>
      <c r="B1471" s="19">
        <v>59</v>
      </c>
    </row>
    <row r="1472" spans="1:6" x14ac:dyDescent="0.2">
      <c r="A1472" s="9">
        <v>42379</v>
      </c>
      <c r="B1472" s="19">
        <v>31</v>
      </c>
    </row>
    <row r="1473" spans="1:6" x14ac:dyDescent="0.2">
      <c r="A1473" s="9">
        <v>42380</v>
      </c>
      <c r="B1473" s="19">
        <v>204</v>
      </c>
    </row>
    <row r="1474" spans="1:6" x14ac:dyDescent="0.2">
      <c r="A1474" s="9">
        <v>42381</v>
      </c>
      <c r="B1474" s="19">
        <v>269</v>
      </c>
      <c r="F1474" s="11">
        <v>0.1</v>
      </c>
    </row>
    <row r="1475" spans="1:6" x14ac:dyDescent="0.2">
      <c r="A1475" s="9">
        <v>42382</v>
      </c>
      <c r="B1475" s="19">
        <v>260</v>
      </c>
    </row>
    <row r="1476" spans="1:6" x14ac:dyDescent="0.2">
      <c r="A1476" s="9">
        <v>42383</v>
      </c>
      <c r="B1476" s="19">
        <v>137</v>
      </c>
    </row>
    <row r="1477" spans="1:6" x14ac:dyDescent="0.2">
      <c r="A1477" s="9">
        <v>42384</v>
      </c>
      <c r="B1477" s="19">
        <v>212</v>
      </c>
      <c r="F1477" s="11">
        <v>35</v>
      </c>
    </row>
    <row r="1478" spans="1:6" x14ac:dyDescent="0.2">
      <c r="A1478" s="9">
        <v>42385</v>
      </c>
      <c r="B1478" s="19">
        <v>37</v>
      </c>
      <c r="F1478" s="11">
        <v>0.2</v>
      </c>
    </row>
    <row r="1479" spans="1:6" x14ac:dyDescent="0.2">
      <c r="A1479" s="9">
        <v>42386</v>
      </c>
      <c r="B1479" s="19">
        <v>22</v>
      </c>
    </row>
    <row r="1480" spans="1:6" x14ac:dyDescent="0.2">
      <c r="A1480" s="9">
        <v>42387</v>
      </c>
      <c r="B1480" s="19">
        <v>367</v>
      </c>
    </row>
    <row r="1481" spans="1:6" x14ac:dyDescent="0.2">
      <c r="A1481" s="9">
        <v>42388</v>
      </c>
      <c r="B1481" s="19">
        <v>170</v>
      </c>
    </row>
    <row r="1482" spans="1:6" x14ac:dyDescent="0.2">
      <c r="A1482" s="9">
        <v>42389</v>
      </c>
      <c r="B1482" s="19">
        <v>233</v>
      </c>
    </row>
    <row r="1483" spans="1:6" x14ac:dyDescent="0.2">
      <c r="A1483" s="9">
        <v>42390</v>
      </c>
      <c r="B1483" s="19">
        <v>170</v>
      </c>
    </row>
    <row r="1484" spans="1:6" x14ac:dyDescent="0.2">
      <c r="A1484" s="9">
        <v>42391</v>
      </c>
      <c r="B1484" s="19">
        <v>143</v>
      </c>
      <c r="F1484" s="11">
        <v>29.6</v>
      </c>
    </row>
    <row r="1485" spans="1:6" x14ac:dyDescent="0.2">
      <c r="A1485" s="9">
        <v>42392</v>
      </c>
      <c r="B1485" s="19">
        <v>64</v>
      </c>
      <c r="F1485" s="11">
        <v>14.4</v>
      </c>
    </row>
    <row r="1486" spans="1:6" x14ac:dyDescent="0.2">
      <c r="A1486" s="9">
        <v>42393</v>
      </c>
      <c r="B1486" s="19">
        <v>39</v>
      </c>
    </row>
    <row r="1487" spans="1:6" x14ac:dyDescent="0.2">
      <c r="A1487" s="9">
        <v>42394</v>
      </c>
      <c r="B1487" s="19">
        <v>331</v>
      </c>
    </row>
    <row r="1488" spans="1:6" x14ac:dyDescent="0.2">
      <c r="A1488" s="9">
        <v>42395</v>
      </c>
      <c r="B1488" s="19">
        <v>320</v>
      </c>
      <c r="F1488" s="11">
        <v>0.5</v>
      </c>
    </row>
    <row r="1489" spans="1:6" x14ac:dyDescent="0.2">
      <c r="A1489" s="9">
        <v>42396</v>
      </c>
      <c r="B1489" s="19">
        <v>198</v>
      </c>
      <c r="F1489" s="11">
        <v>3.8</v>
      </c>
    </row>
    <row r="1490" spans="1:6" x14ac:dyDescent="0.2">
      <c r="A1490" s="9">
        <v>42397</v>
      </c>
      <c r="B1490" s="19">
        <v>303</v>
      </c>
      <c r="F1490" s="11">
        <v>3.4</v>
      </c>
    </row>
    <row r="1491" spans="1:6" x14ac:dyDescent="0.2">
      <c r="A1491" s="9">
        <v>42398</v>
      </c>
      <c r="B1491" s="19">
        <v>197</v>
      </c>
    </row>
    <row r="1492" spans="1:6" x14ac:dyDescent="0.2">
      <c r="A1492" s="9">
        <v>42399</v>
      </c>
      <c r="B1492" s="19">
        <v>81</v>
      </c>
      <c r="F1492" s="11">
        <v>7.4</v>
      </c>
    </row>
    <row r="1493" spans="1:6" x14ac:dyDescent="0.2">
      <c r="A1493" s="9">
        <v>42400</v>
      </c>
      <c r="B1493" s="19">
        <v>26</v>
      </c>
      <c r="F1493" s="11">
        <v>18.399999999999999</v>
      </c>
    </row>
    <row r="1494" spans="1:6" x14ac:dyDescent="0.2">
      <c r="A1494" s="9">
        <v>42401</v>
      </c>
      <c r="B1494" s="19">
        <v>451</v>
      </c>
    </row>
    <row r="1495" spans="1:6" x14ac:dyDescent="0.2">
      <c r="A1495" s="9">
        <v>42402</v>
      </c>
      <c r="B1495" s="19">
        <v>397</v>
      </c>
      <c r="F1495" s="11">
        <v>3.8</v>
      </c>
    </row>
    <row r="1496" spans="1:6" x14ac:dyDescent="0.2">
      <c r="A1496" s="9">
        <v>42403</v>
      </c>
      <c r="B1496" s="19">
        <v>237</v>
      </c>
    </row>
    <row r="1497" spans="1:6" x14ac:dyDescent="0.2">
      <c r="A1497" s="9">
        <v>42404</v>
      </c>
      <c r="B1497" s="19">
        <v>298</v>
      </c>
      <c r="F1497" s="11">
        <v>13.4</v>
      </c>
    </row>
    <row r="1498" spans="1:6" x14ac:dyDescent="0.2">
      <c r="A1498" s="9">
        <v>42405</v>
      </c>
      <c r="B1498" s="19">
        <v>267</v>
      </c>
      <c r="F1498" s="11">
        <v>4.4000000000000004</v>
      </c>
    </row>
    <row r="1499" spans="1:6" x14ac:dyDescent="0.2">
      <c r="A1499" s="9">
        <v>42406</v>
      </c>
      <c r="B1499" s="19">
        <v>93</v>
      </c>
      <c r="F1499" s="11">
        <v>2.5</v>
      </c>
    </row>
    <row r="1500" spans="1:6" x14ac:dyDescent="0.2">
      <c r="A1500" s="9">
        <v>42407</v>
      </c>
      <c r="B1500" s="19">
        <v>45</v>
      </c>
    </row>
    <row r="1501" spans="1:6" x14ac:dyDescent="0.2">
      <c r="A1501" s="9">
        <v>42408</v>
      </c>
      <c r="B1501" s="19">
        <v>300</v>
      </c>
    </row>
    <row r="1502" spans="1:6" x14ac:dyDescent="0.2">
      <c r="A1502" s="9">
        <v>42409</v>
      </c>
      <c r="B1502" s="19">
        <v>438</v>
      </c>
    </row>
    <row r="1503" spans="1:6" x14ac:dyDescent="0.2">
      <c r="A1503" s="9">
        <v>42410</v>
      </c>
      <c r="B1503" s="19">
        <v>354</v>
      </c>
    </row>
    <row r="1504" spans="1:6" x14ac:dyDescent="0.2">
      <c r="A1504" s="9">
        <v>42411</v>
      </c>
      <c r="B1504" s="19">
        <v>274</v>
      </c>
    </row>
    <row r="1505" spans="1:6" x14ac:dyDescent="0.2">
      <c r="A1505" s="9">
        <v>42412</v>
      </c>
      <c r="B1505" s="19">
        <v>188</v>
      </c>
    </row>
    <row r="1506" spans="1:6" x14ac:dyDescent="0.2">
      <c r="A1506" s="9">
        <v>42413</v>
      </c>
      <c r="B1506" s="19">
        <v>85</v>
      </c>
    </row>
    <row r="1507" spans="1:6" x14ac:dyDescent="0.2">
      <c r="A1507" s="9">
        <v>42414</v>
      </c>
      <c r="B1507" s="19">
        <v>49</v>
      </c>
    </row>
    <row r="1508" spans="1:6" x14ac:dyDescent="0.2">
      <c r="A1508" s="9">
        <v>42415</v>
      </c>
      <c r="B1508" s="19">
        <v>416</v>
      </c>
      <c r="F1508" s="11">
        <v>0.1</v>
      </c>
    </row>
    <row r="1509" spans="1:6" x14ac:dyDescent="0.2">
      <c r="A1509" s="9">
        <v>42416</v>
      </c>
      <c r="B1509" s="19">
        <v>376</v>
      </c>
    </row>
    <row r="1510" spans="1:6" x14ac:dyDescent="0.2">
      <c r="A1510" s="9">
        <v>42417</v>
      </c>
      <c r="B1510" s="19">
        <v>309</v>
      </c>
    </row>
    <row r="1511" spans="1:6" x14ac:dyDescent="0.2">
      <c r="A1511" s="9">
        <v>42418</v>
      </c>
      <c r="B1511" s="19">
        <v>298</v>
      </c>
    </row>
    <row r="1512" spans="1:6" x14ac:dyDescent="0.2">
      <c r="A1512" s="9">
        <v>42419</v>
      </c>
      <c r="B1512" s="19">
        <v>279</v>
      </c>
    </row>
    <row r="1513" spans="1:6" x14ac:dyDescent="0.2">
      <c r="A1513" s="9">
        <v>42420</v>
      </c>
      <c r="B1513" s="19">
        <v>74</v>
      </c>
    </row>
    <row r="1514" spans="1:6" x14ac:dyDescent="0.2">
      <c r="A1514" s="9">
        <v>42421</v>
      </c>
      <c r="B1514" s="19">
        <v>28</v>
      </c>
      <c r="F1514" s="11">
        <v>6.6</v>
      </c>
    </row>
    <row r="1515" spans="1:6" x14ac:dyDescent="0.2">
      <c r="A1515" s="9">
        <v>42422</v>
      </c>
      <c r="B1515" s="19">
        <v>347</v>
      </c>
      <c r="F1515" s="11">
        <v>3.1</v>
      </c>
    </row>
    <row r="1516" spans="1:6" x14ac:dyDescent="0.2">
      <c r="A1516" s="9">
        <v>42423</v>
      </c>
      <c r="B1516" s="19">
        <v>314</v>
      </c>
    </row>
    <row r="1517" spans="1:6" x14ac:dyDescent="0.2">
      <c r="A1517" s="9">
        <v>42424</v>
      </c>
      <c r="B1517" s="19">
        <v>298</v>
      </c>
    </row>
    <row r="1518" spans="1:6" x14ac:dyDescent="0.2">
      <c r="A1518" s="9">
        <v>42425</v>
      </c>
      <c r="B1518" s="19">
        <v>290</v>
      </c>
    </row>
    <row r="1519" spans="1:6" x14ac:dyDescent="0.2">
      <c r="A1519" s="9">
        <v>42426</v>
      </c>
      <c r="B1519" s="19">
        <v>270</v>
      </c>
    </row>
    <row r="1520" spans="1:6" x14ac:dyDescent="0.2">
      <c r="A1520" s="9">
        <v>42427</v>
      </c>
      <c r="B1520" s="19">
        <v>61</v>
      </c>
    </row>
    <row r="1521" spans="1:6" x14ac:dyDescent="0.2">
      <c r="A1521" s="9">
        <v>42428</v>
      </c>
      <c r="B1521" s="19">
        <v>39</v>
      </c>
      <c r="F1521" s="11">
        <v>0.3</v>
      </c>
    </row>
    <row r="1522" spans="1:6" x14ac:dyDescent="0.2">
      <c r="A1522" s="9">
        <v>42429</v>
      </c>
      <c r="B1522" s="19">
        <v>355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workbookViewId="0"/>
  </sheetViews>
  <sheetFormatPr defaultRowHeight="12.75" x14ac:dyDescent="0.2"/>
  <cols>
    <col min="1" max="1" width="13.140625" customWidth="1"/>
    <col min="2" max="2" width="23.85546875" customWidth="1"/>
    <col min="3" max="3" width="25.7109375" customWidth="1"/>
  </cols>
  <sheetData>
    <row r="1" spans="1:3" ht="14.25" x14ac:dyDescent="0.2">
      <c r="A1" s="8" t="s">
        <v>25</v>
      </c>
      <c r="B1" s="8"/>
      <c r="C1" s="8"/>
    </row>
    <row r="2" spans="1:3" x14ac:dyDescent="0.2">
      <c r="A2" s="43" t="s">
        <v>29</v>
      </c>
      <c r="B2" s="6"/>
      <c r="C2" s="42"/>
    </row>
    <row r="3" spans="1:3" s="6" customFormat="1" x14ac:dyDescent="0.2">
      <c r="A3" s="43" t="s">
        <v>26</v>
      </c>
      <c r="C3" s="42"/>
    </row>
    <row r="4" spans="1:3" x14ac:dyDescent="0.2">
      <c r="A4" s="41"/>
      <c r="B4" s="6"/>
      <c r="C4" s="42"/>
    </row>
    <row r="5" spans="1:3" x14ac:dyDescent="0.2">
      <c r="A5" s="44" t="s">
        <v>0</v>
      </c>
      <c r="B5" s="45" t="s">
        <v>21</v>
      </c>
      <c r="C5" s="45" t="s">
        <v>27</v>
      </c>
    </row>
    <row r="6" spans="1:3" s="6" customFormat="1" x14ac:dyDescent="0.2">
      <c r="A6" s="46">
        <v>41268</v>
      </c>
      <c r="B6" s="47" t="s">
        <v>22</v>
      </c>
      <c r="C6" s="42"/>
    </row>
    <row r="7" spans="1:3" s="6" customFormat="1" x14ac:dyDescent="0.2">
      <c r="A7" s="46">
        <v>41633</v>
      </c>
      <c r="B7" s="47" t="s">
        <v>22</v>
      </c>
      <c r="C7" s="42"/>
    </row>
    <row r="8" spans="1:3" x14ac:dyDescent="0.2">
      <c r="A8" s="46">
        <v>41998</v>
      </c>
      <c r="B8" s="47" t="s">
        <v>22</v>
      </c>
      <c r="C8" s="42"/>
    </row>
    <row r="9" spans="1:3" x14ac:dyDescent="0.2">
      <c r="A9" s="46">
        <v>42363</v>
      </c>
      <c r="B9" s="47" t="s">
        <v>22</v>
      </c>
      <c r="C9" s="42"/>
    </row>
    <row r="10" spans="1:3" x14ac:dyDescent="0.2">
      <c r="A10" s="46">
        <v>42729</v>
      </c>
      <c r="B10" s="47" t="s">
        <v>22</v>
      </c>
      <c r="C10" s="42"/>
    </row>
    <row r="11" spans="1:3" x14ac:dyDescent="0.2">
      <c r="A11" s="46">
        <v>43094</v>
      </c>
      <c r="B11" s="47" t="s">
        <v>22</v>
      </c>
      <c r="C11" s="42"/>
    </row>
    <row r="12" spans="1:3" x14ac:dyDescent="0.2">
      <c r="A12" s="46">
        <v>43459</v>
      </c>
      <c r="B12" s="47" t="s">
        <v>22</v>
      </c>
      <c r="C12" s="42"/>
    </row>
    <row r="13" spans="1:3" x14ac:dyDescent="0.2">
      <c r="A13" s="46">
        <v>43824</v>
      </c>
      <c r="B13" s="47" t="s">
        <v>22</v>
      </c>
      <c r="C13" s="42"/>
    </row>
    <row r="14" spans="1:3" x14ac:dyDescent="0.2">
      <c r="A14" s="46">
        <v>44190</v>
      </c>
      <c r="B14" s="47" t="s">
        <v>22</v>
      </c>
      <c r="C14" s="42"/>
    </row>
    <row r="15" spans="1:3" s="6" customFormat="1" x14ac:dyDescent="0.2">
      <c r="A15" s="46">
        <v>41190</v>
      </c>
      <c r="B15" s="47" t="s">
        <v>6</v>
      </c>
      <c r="C15" s="48"/>
    </row>
    <row r="16" spans="1:3" s="6" customFormat="1" x14ac:dyDescent="0.2">
      <c r="A16" s="46">
        <v>41561</v>
      </c>
      <c r="B16" s="47" t="s">
        <v>6</v>
      </c>
      <c r="C16" s="48"/>
    </row>
    <row r="17" spans="1:3" x14ac:dyDescent="0.2">
      <c r="A17" s="46">
        <v>41925</v>
      </c>
      <c r="B17" s="47" t="s">
        <v>6</v>
      </c>
      <c r="C17" s="48"/>
    </row>
    <row r="18" spans="1:3" x14ac:dyDescent="0.2">
      <c r="A18" s="46">
        <v>42289</v>
      </c>
      <c r="B18" s="47" t="s">
        <v>6</v>
      </c>
      <c r="C18" s="48"/>
    </row>
    <row r="19" spans="1:3" x14ac:dyDescent="0.2">
      <c r="A19" s="46">
        <v>42653</v>
      </c>
      <c r="B19" s="47" t="s">
        <v>6</v>
      </c>
      <c r="C19" s="48"/>
    </row>
    <row r="20" spans="1:3" x14ac:dyDescent="0.2">
      <c r="A20" s="46">
        <v>43017</v>
      </c>
      <c r="B20" s="47" t="s">
        <v>6</v>
      </c>
      <c r="C20" s="48"/>
    </row>
    <row r="21" spans="1:3" x14ac:dyDescent="0.2">
      <c r="A21" s="46">
        <v>43381</v>
      </c>
      <c r="B21" s="47" t="s">
        <v>6</v>
      </c>
      <c r="C21" s="48"/>
    </row>
    <row r="22" spans="1:3" x14ac:dyDescent="0.2">
      <c r="A22" s="46">
        <v>43752</v>
      </c>
      <c r="B22" s="47" t="s">
        <v>6</v>
      </c>
      <c r="C22" s="48"/>
    </row>
    <row r="23" spans="1:3" x14ac:dyDescent="0.2">
      <c r="A23" s="46">
        <v>44116</v>
      </c>
      <c r="B23" s="47" t="s">
        <v>6</v>
      </c>
      <c r="C23" s="48"/>
    </row>
    <row r="24" spans="1:3" s="6" customFormat="1" x14ac:dyDescent="0.2">
      <c r="A24" s="46">
        <v>41094</v>
      </c>
      <c r="B24" s="47" t="s">
        <v>11</v>
      </c>
      <c r="C24" s="48"/>
    </row>
    <row r="25" spans="1:3" s="6" customFormat="1" x14ac:dyDescent="0.2">
      <c r="A25" s="46">
        <v>41459</v>
      </c>
      <c r="B25" s="47" t="s">
        <v>11</v>
      </c>
      <c r="C25" s="48"/>
    </row>
    <row r="26" spans="1:3" x14ac:dyDescent="0.2">
      <c r="A26" s="46">
        <v>41824</v>
      </c>
      <c r="B26" s="47" t="s">
        <v>11</v>
      </c>
      <c r="C26" s="48"/>
    </row>
    <row r="27" spans="1:3" x14ac:dyDescent="0.2">
      <c r="A27" s="46">
        <v>42189</v>
      </c>
      <c r="B27" s="47" t="s">
        <v>11</v>
      </c>
      <c r="C27" s="48"/>
    </row>
    <row r="28" spans="1:3" x14ac:dyDescent="0.2">
      <c r="A28" s="46">
        <v>42555</v>
      </c>
      <c r="B28" s="47" t="s">
        <v>11</v>
      </c>
      <c r="C28" s="48"/>
    </row>
    <row r="29" spans="1:3" x14ac:dyDescent="0.2">
      <c r="A29" s="46">
        <v>42920</v>
      </c>
      <c r="B29" s="47" t="s">
        <v>11</v>
      </c>
      <c r="C29" s="48"/>
    </row>
    <row r="30" spans="1:3" x14ac:dyDescent="0.2">
      <c r="A30" s="46">
        <v>43285</v>
      </c>
      <c r="B30" s="47" t="s">
        <v>11</v>
      </c>
      <c r="C30" s="48"/>
    </row>
    <row r="31" spans="1:3" x14ac:dyDescent="0.2">
      <c r="A31" s="46">
        <v>43650</v>
      </c>
      <c r="B31" s="47" t="s">
        <v>11</v>
      </c>
      <c r="C31" s="48"/>
    </row>
    <row r="32" spans="1:3" x14ac:dyDescent="0.2">
      <c r="A32" s="46">
        <v>44016</v>
      </c>
      <c r="B32" s="47" t="s">
        <v>11</v>
      </c>
      <c r="C32" s="48"/>
    </row>
    <row r="33" spans="1:3" s="6" customFormat="1" x14ac:dyDescent="0.2">
      <c r="A33" s="46">
        <v>41155</v>
      </c>
      <c r="B33" s="47" t="s">
        <v>5</v>
      </c>
      <c r="C33" s="48"/>
    </row>
    <row r="34" spans="1:3" s="6" customFormat="1" x14ac:dyDescent="0.2">
      <c r="A34" s="46">
        <v>41519</v>
      </c>
      <c r="B34" s="47" t="s">
        <v>5</v>
      </c>
      <c r="C34" s="48"/>
    </row>
    <row r="35" spans="1:3" x14ac:dyDescent="0.2">
      <c r="A35" s="46">
        <v>41883</v>
      </c>
      <c r="B35" s="47" t="s">
        <v>5</v>
      </c>
      <c r="C35" s="48"/>
    </row>
    <row r="36" spans="1:3" x14ac:dyDescent="0.2">
      <c r="A36" s="46">
        <v>42254</v>
      </c>
      <c r="B36" s="47" t="s">
        <v>5</v>
      </c>
      <c r="C36" s="48"/>
    </row>
    <row r="37" spans="1:3" x14ac:dyDescent="0.2">
      <c r="A37" s="46">
        <v>42618</v>
      </c>
      <c r="B37" s="47" t="s">
        <v>5</v>
      </c>
      <c r="C37" s="48"/>
    </row>
    <row r="38" spans="1:3" x14ac:dyDescent="0.2">
      <c r="A38" s="46">
        <v>42982</v>
      </c>
      <c r="B38" s="47" t="s">
        <v>5</v>
      </c>
      <c r="C38" s="48"/>
    </row>
    <row r="39" spans="1:3" x14ac:dyDescent="0.2">
      <c r="A39" s="46">
        <v>43346</v>
      </c>
      <c r="B39" s="47" t="s">
        <v>5</v>
      </c>
      <c r="C39" s="48"/>
    </row>
    <row r="40" spans="1:3" x14ac:dyDescent="0.2">
      <c r="A40" s="46">
        <v>43710</v>
      </c>
      <c r="B40" s="47" t="s">
        <v>5</v>
      </c>
      <c r="C40" s="48"/>
    </row>
    <row r="41" spans="1:3" x14ac:dyDescent="0.2">
      <c r="A41" s="46">
        <v>44081</v>
      </c>
      <c r="B41" s="47" t="s">
        <v>5</v>
      </c>
      <c r="C41" s="48"/>
    </row>
    <row r="42" spans="1:3" s="6" customFormat="1" x14ac:dyDescent="0.2">
      <c r="A42" s="46">
        <v>40924</v>
      </c>
      <c r="B42" s="47" t="s">
        <v>23</v>
      </c>
      <c r="C42" s="48"/>
    </row>
    <row r="43" spans="1:3" s="6" customFormat="1" x14ac:dyDescent="0.2">
      <c r="A43" s="46">
        <v>41295</v>
      </c>
      <c r="B43" s="47" t="s">
        <v>23</v>
      </c>
      <c r="C43" s="48"/>
    </row>
    <row r="44" spans="1:3" x14ac:dyDescent="0.2">
      <c r="A44" s="46">
        <v>41659</v>
      </c>
      <c r="B44" s="47" t="s">
        <v>23</v>
      </c>
      <c r="C44" s="48"/>
    </row>
    <row r="45" spans="1:3" x14ac:dyDescent="0.2">
      <c r="A45" s="46">
        <v>42023</v>
      </c>
      <c r="B45" s="47" t="s">
        <v>23</v>
      </c>
      <c r="C45" s="48"/>
    </row>
    <row r="46" spans="1:3" x14ac:dyDescent="0.2">
      <c r="A46" s="46">
        <v>42387</v>
      </c>
      <c r="B46" s="47" t="s">
        <v>23</v>
      </c>
      <c r="C46" s="48"/>
    </row>
    <row r="47" spans="1:3" x14ac:dyDescent="0.2">
      <c r="A47" s="46">
        <v>42751</v>
      </c>
      <c r="B47" s="47" t="s">
        <v>23</v>
      </c>
      <c r="C47" s="48"/>
    </row>
    <row r="48" spans="1:3" x14ac:dyDescent="0.2">
      <c r="A48" s="46">
        <v>43115</v>
      </c>
      <c r="B48" s="47" t="s">
        <v>23</v>
      </c>
      <c r="C48" s="48"/>
    </row>
    <row r="49" spans="1:3" x14ac:dyDescent="0.2">
      <c r="A49" s="46">
        <v>43486</v>
      </c>
      <c r="B49" s="47" t="s">
        <v>23</v>
      </c>
      <c r="C49" s="48"/>
    </row>
    <row r="50" spans="1:3" x14ac:dyDescent="0.2">
      <c r="A50" s="46">
        <v>43850</v>
      </c>
      <c r="B50" s="47" t="s">
        <v>23</v>
      </c>
      <c r="C50" s="48"/>
    </row>
    <row r="51" spans="1:3" s="6" customFormat="1" x14ac:dyDescent="0.2">
      <c r="A51" s="46">
        <v>41057</v>
      </c>
      <c r="B51" s="47" t="s">
        <v>4</v>
      </c>
      <c r="C51" s="48"/>
    </row>
    <row r="52" spans="1:3" s="6" customFormat="1" x14ac:dyDescent="0.2">
      <c r="A52" s="46">
        <v>41421</v>
      </c>
      <c r="B52" s="47" t="s">
        <v>4</v>
      </c>
      <c r="C52" s="48"/>
    </row>
    <row r="53" spans="1:3" x14ac:dyDescent="0.2">
      <c r="A53" s="46">
        <v>41785</v>
      </c>
      <c r="B53" s="47" t="s">
        <v>4</v>
      </c>
      <c r="C53" s="48"/>
    </row>
    <row r="54" spans="1:3" x14ac:dyDescent="0.2">
      <c r="A54" s="46">
        <v>42149</v>
      </c>
      <c r="B54" s="47" t="s">
        <v>4</v>
      </c>
      <c r="C54" s="48"/>
    </row>
    <row r="55" spans="1:3" x14ac:dyDescent="0.2">
      <c r="A55" s="46">
        <v>42520</v>
      </c>
      <c r="B55" s="47" t="s">
        <v>4</v>
      </c>
      <c r="C55" s="48"/>
    </row>
    <row r="56" spans="1:3" x14ac:dyDescent="0.2">
      <c r="A56" s="46">
        <v>42884</v>
      </c>
      <c r="B56" s="47" t="s">
        <v>4</v>
      </c>
      <c r="C56" s="48"/>
    </row>
    <row r="57" spans="1:3" x14ac:dyDescent="0.2">
      <c r="A57" s="46">
        <v>43248</v>
      </c>
      <c r="B57" s="47" t="s">
        <v>4</v>
      </c>
      <c r="C57" s="48"/>
    </row>
    <row r="58" spans="1:3" x14ac:dyDescent="0.2">
      <c r="A58" s="46">
        <v>43612</v>
      </c>
      <c r="B58" s="47" t="s">
        <v>4</v>
      </c>
      <c r="C58" s="48"/>
    </row>
    <row r="59" spans="1:3" x14ac:dyDescent="0.2">
      <c r="A59" s="46">
        <v>43976</v>
      </c>
      <c r="B59" s="47" t="s">
        <v>4</v>
      </c>
      <c r="C59" s="48"/>
    </row>
    <row r="60" spans="1:3" s="6" customFormat="1" x14ac:dyDescent="0.2">
      <c r="A60" s="46">
        <v>40909</v>
      </c>
      <c r="B60" s="47" t="s">
        <v>10</v>
      </c>
      <c r="C60" s="42"/>
    </row>
    <row r="61" spans="1:3" s="6" customFormat="1" x14ac:dyDescent="0.2">
      <c r="A61" s="46">
        <v>41275</v>
      </c>
      <c r="B61" s="47" t="s">
        <v>10</v>
      </c>
      <c r="C61" s="42"/>
    </row>
    <row r="62" spans="1:3" x14ac:dyDescent="0.2">
      <c r="A62" s="46">
        <v>41640</v>
      </c>
      <c r="B62" s="47" t="s">
        <v>10</v>
      </c>
      <c r="C62" s="42"/>
    </row>
    <row r="63" spans="1:3" x14ac:dyDescent="0.2">
      <c r="A63" s="46">
        <v>42005</v>
      </c>
      <c r="B63" s="47" t="s">
        <v>10</v>
      </c>
      <c r="C63" s="42"/>
    </row>
    <row r="64" spans="1:3" x14ac:dyDescent="0.2">
      <c r="A64" s="46">
        <v>42370</v>
      </c>
      <c r="B64" s="47" t="s">
        <v>10</v>
      </c>
      <c r="C64" s="42"/>
    </row>
    <row r="65" spans="1:3" x14ac:dyDescent="0.2">
      <c r="A65" s="46">
        <v>42736</v>
      </c>
      <c r="B65" s="47" t="s">
        <v>10</v>
      </c>
      <c r="C65" s="42"/>
    </row>
    <row r="66" spans="1:3" x14ac:dyDescent="0.2">
      <c r="A66" s="46">
        <v>43101</v>
      </c>
      <c r="B66" s="47" t="s">
        <v>10</v>
      </c>
      <c r="C66" s="42"/>
    </row>
    <row r="67" spans="1:3" x14ac:dyDescent="0.2">
      <c r="A67" s="46">
        <v>43466</v>
      </c>
      <c r="B67" s="47" t="s">
        <v>10</v>
      </c>
      <c r="C67" s="42"/>
    </row>
    <row r="68" spans="1:3" x14ac:dyDescent="0.2">
      <c r="A68" s="46">
        <v>43831</v>
      </c>
      <c r="B68" s="47" t="s">
        <v>10</v>
      </c>
      <c r="C68" s="42"/>
    </row>
    <row r="69" spans="1:3" s="51" customFormat="1" x14ac:dyDescent="0.2">
      <c r="A69" s="49">
        <v>40959</v>
      </c>
      <c r="B69" s="52" t="s">
        <v>3</v>
      </c>
      <c r="C69" s="50"/>
    </row>
    <row r="70" spans="1:3" s="51" customFormat="1" x14ac:dyDescent="0.2">
      <c r="A70" s="49">
        <v>41323</v>
      </c>
      <c r="B70" s="52" t="s">
        <v>3</v>
      </c>
      <c r="C70" s="50"/>
    </row>
    <row r="71" spans="1:3" x14ac:dyDescent="0.2">
      <c r="A71" s="46">
        <v>41687</v>
      </c>
      <c r="B71" s="52" t="s">
        <v>3</v>
      </c>
      <c r="C71" s="48"/>
    </row>
    <row r="72" spans="1:3" x14ac:dyDescent="0.2">
      <c r="A72" s="46">
        <v>42051</v>
      </c>
      <c r="B72" s="52" t="s">
        <v>3</v>
      </c>
      <c r="C72" s="48"/>
    </row>
    <row r="73" spans="1:3" x14ac:dyDescent="0.2">
      <c r="A73" s="46">
        <v>42415</v>
      </c>
      <c r="B73" s="52" t="s">
        <v>3</v>
      </c>
      <c r="C73" s="48"/>
    </row>
    <row r="74" spans="1:3" x14ac:dyDescent="0.2">
      <c r="A74" s="46">
        <v>42786</v>
      </c>
      <c r="B74" s="52" t="s">
        <v>3</v>
      </c>
      <c r="C74" s="48"/>
    </row>
    <row r="75" spans="1:3" x14ac:dyDescent="0.2">
      <c r="A75" s="46">
        <v>43150</v>
      </c>
      <c r="B75" s="52" t="s">
        <v>3</v>
      </c>
      <c r="C75" s="48"/>
    </row>
    <row r="76" spans="1:3" x14ac:dyDescent="0.2">
      <c r="A76" s="46">
        <v>43514</v>
      </c>
      <c r="B76" s="52" t="s">
        <v>3</v>
      </c>
      <c r="C76" s="48"/>
    </row>
    <row r="77" spans="1:3" x14ac:dyDescent="0.2">
      <c r="A77" s="46">
        <v>43878</v>
      </c>
      <c r="B77" s="52" t="s">
        <v>3</v>
      </c>
      <c r="C77" s="48"/>
    </row>
    <row r="78" spans="1:3" s="6" customFormat="1" x14ac:dyDescent="0.2">
      <c r="A78" s="46">
        <v>41235</v>
      </c>
      <c r="B78" s="47" t="s">
        <v>7</v>
      </c>
      <c r="C78" s="48"/>
    </row>
    <row r="79" spans="1:3" s="6" customFormat="1" x14ac:dyDescent="0.2">
      <c r="A79" s="46">
        <v>41606</v>
      </c>
      <c r="B79" s="47" t="s">
        <v>7</v>
      </c>
      <c r="C79" s="48"/>
    </row>
    <row r="80" spans="1:3" x14ac:dyDescent="0.2">
      <c r="A80" s="46">
        <v>41970</v>
      </c>
      <c r="B80" s="47" t="s">
        <v>7</v>
      </c>
      <c r="C80" s="48"/>
    </row>
    <row r="81" spans="1:3" x14ac:dyDescent="0.2">
      <c r="A81" s="46">
        <v>42334</v>
      </c>
      <c r="B81" s="47" t="s">
        <v>7</v>
      </c>
      <c r="C81" s="48"/>
    </row>
    <row r="82" spans="1:3" x14ac:dyDescent="0.2">
      <c r="A82" s="46">
        <v>42698</v>
      </c>
      <c r="B82" s="47" t="s">
        <v>7</v>
      </c>
      <c r="C82" s="48"/>
    </row>
    <row r="83" spans="1:3" x14ac:dyDescent="0.2">
      <c r="A83" s="46">
        <v>43062</v>
      </c>
      <c r="B83" s="47" t="s">
        <v>7</v>
      </c>
      <c r="C83" s="48"/>
    </row>
    <row r="84" spans="1:3" x14ac:dyDescent="0.2">
      <c r="A84" s="46">
        <v>43426</v>
      </c>
      <c r="B84" s="47" t="s">
        <v>7</v>
      </c>
      <c r="C84" s="48"/>
    </row>
    <row r="85" spans="1:3" x14ac:dyDescent="0.2">
      <c r="A85" s="46">
        <v>43797</v>
      </c>
      <c r="B85" s="47" t="s">
        <v>7</v>
      </c>
      <c r="C85" s="48"/>
    </row>
    <row r="86" spans="1:3" x14ac:dyDescent="0.2">
      <c r="A86" s="46">
        <v>44161</v>
      </c>
      <c r="B86" s="47" t="s">
        <v>7</v>
      </c>
      <c r="C86" s="48"/>
    </row>
    <row r="87" spans="1:3" s="6" customFormat="1" x14ac:dyDescent="0.2">
      <c r="A87" s="46">
        <v>41236</v>
      </c>
      <c r="B87" s="53" t="s">
        <v>13</v>
      </c>
      <c r="C87" s="48"/>
    </row>
    <row r="88" spans="1:3" s="6" customFormat="1" x14ac:dyDescent="0.2">
      <c r="A88" s="46">
        <v>41607</v>
      </c>
      <c r="B88" s="53" t="s">
        <v>13</v>
      </c>
      <c r="C88" s="48"/>
    </row>
    <row r="89" spans="1:3" s="6" customFormat="1" x14ac:dyDescent="0.2">
      <c r="A89" s="46">
        <v>41971</v>
      </c>
      <c r="B89" s="53" t="s">
        <v>13</v>
      </c>
      <c r="C89" s="48"/>
    </row>
    <row r="90" spans="1:3" s="6" customFormat="1" x14ac:dyDescent="0.2">
      <c r="A90" s="46">
        <v>42335</v>
      </c>
      <c r="B90" s="53" t="s">
        <v>13</v>
      </c>
      <c r="C90" s="48"/>
    </row>
    <row r="91" spans="1:3" s="6" customFormat="1" x14ac:dyDescent="0.2">
      <c r="A91" s="46">
        <v>42699</v>
      </c>
      <c r="B91" s="53" t="s">
        <v>13</v>
      </c>
      <c r="C91" s="48"/>
    </row>
    <row r="92" spans="1:3" s="6" customFormat="1" x14ac:dyDescent="0.2">
      <c r="A92" s="46">
        <v>43063</v>
      </c>
      <c r="B92" s="53" t="s">
        <v>13</v>
      </c>
      <c r="C92" s="48"/>
    </row>
    <row r="93" spans="1:3" s="6" customFormat="1" x14ac:dyDescent="0.2">
      <c r="A93" s="46">
        <v>43427</v>
      </c>
      <c r="B93" s="53" t="s">
        <v>13</v>
      </c>
      <c r="C93" s="48"/>
    </row>
    <row r="94" spans="1:3" s="6" customFormat="1" x14ac:dyDescent="0.2">
      <c r="A94" s="46">
        <v>43798</v>
      </c>
      <c r="B94" s="53" t="s">
        <v>13</v>
      </c>
      <c r="C94" s="48"/>
    </row>
    <row r="95" spans="1:3" s="6" customFormat="1" x14ac:dyDescent="0.2">
      <c r="A95" s="46">
        <v>44162</v>
      </c>
      <c r="B95" s="53" t="s">
        <v>13</v>
      </c>
      <c r="C95" s="48"/>
    </row>
    <row r="96" spans="1:3" s="6" customFormat="1" x14ac:dyDescent="0.2">
      <c r="A96" s="46">
        <v>41224</v>
      </c>
      <c r="B96" s="47" t="s">
        <v>12</v>
      </c>
      <c r="C96" s="48"/>
    </row>
    <row r="97" spans="1:3" s="6" customFormat="1" x14ac:dyDescent="0.2">
      <c r="A97" s="46">
        <v>41589</v>
      </c>
      <c r="B97" s="47" t="s">
        <v>12</v>
      </c>
      <c r="C97" s="48"/>
    </row>
    <row r="98" spans="1:3" x14ac:dyDescent="0.2">
      <c r="A98" s="46">
        <v>41954</v>
      </c>
      <c r="B98" s="47" t="s">
        <v>12</v>
      </c>
      <c r="C98" s="48"/>
    </row>
    <row r="99" spans="1:3" x14ac:dyDescent="0.2">
      <c r="A99" s="46">
        <v>42319</v>
      </c>
      <c r="B99" s="47" t="s">
        <v>12</v>
      </c>
      <c r="C99" s="48"/>
    </row>
    <row r="100" spans="1:3" x14ac:dyDescent="0.2">
      <c r="A100" s="46">
        <v>42685</v>
      </c>
      <c r="B100" s="47" t="s">
        <v>12</v>
      </c>
      <c r="C100" s="48"/>
    </row>
    <row r="101" spans="1:3" x14ac:dyDescent="0.2">
      <c r="A101" s="46">
        <v>43050</v>
      </c>
      <c r="B101" s="47" t="s">
        <v>12</v>
      </c>
      <c r="C101" s="48"/>
    </row>
    <row r="102" spans="1:3" x14ac:dyDescent="0.2">
      <c r="A102" s="46">
        <v>43415</v>
      </c>
      <c r="B102" s="47" t="s">
        <v>12</v>
      </c>
      <c r="C102" s="48"/>
    </row>
    <row r="103" spans="1:3" x14ac:dyDescent="0.2">
      <c r="A103" s="46">
        <v>43780</v>
      </c>
      <c r="B103" s="47" t="s">
        <v>12</v>
      </c>
      <c r="C103" s="48"/>
    </row>
    <row r="104" spans="1:3" x14ac:dyDescent="0.2">
      <c r="A104" s="46">
        <v>44146</v>
      </c>
      <c r="B104" s="47" t="s">
        <v>12</v>
      </c>
      <c r="C104" s="48"/>
    </row>
    <row r="105" spans="1:3" s="6" customFormat="1" x14ac:dyDescent="0.2">
      <c r="A105" s="46">
        <v>41269</v>
      </c>
      <c r="B105" s="47" t="s">
        <v>24</v>
      </c>
      <c r="C105" s="48"/>
    </row>
    <row r="106" spans="1:3" s="6" customFormat="1" x14ac:dyDescent="0.2">
      <c r="A106" s="46">
        <v>41634</v>
      </c>
      <c r="B106" s="47" t="s">
        <v>24</v>
      </c>
      <c r="C106" s="48"/>
    </row>
    <row r="107" spans="1:3" x14ac:dyDescent="0.2">
      <c r="A107" s="46">
        <v>41999</v>
      </c>
      <c r="B107" s="47" t="s">
        <v>24</v>
      </c>
      <c r="C107" s="48"/>
    </row>
    <row r="108" spans="1:3" x14ac:dyDescent="0.2">
      <c r="A108" s="46">
        <v>42364</v>
      </c>
      <c r="B108" s="47" t="s">
        <v>24</v>
      </c>
      <c r="C108" s="48"/>
    </row>
    <row r="109" spans="1:3" x14ac:dyDescent="0.2">
      <c r="A109" s="46">
        <v>42730</v>
      </c>
      <c r="B109" s="47" t="s">
        <v>24</v>
      </c>
      <c r="C109" s="48"/>
    </row>
    <row r="110" spans="1:3" x14ac:dyDescent="0.2">
      <c r="A110" s="46">
        <v>43095</v>
      </c>
      <c r="B110" s="47" t="s">
        <v>24</v>
      </c>
      <c r="C110" s="48"/>
    </row>
    <row r="111" spans="1:3" x14ac:dyDescent="0.2">
      <c r="A111" s="46">
        <v>43460</v>
      </c>
      <c r="B111" s="47" t="s">
        <v>24</v>
      </c>
      <c r="C111" s="48"/>
    </row>
    <row r="112" spans="1:3" x14ac:dyDescent="0.2">
      <c r="A112" s="46">
        <v>43825</v>
      </c>
      <c r="B112" s="47" t="s">
        <v>24</v>
      </c>
      <c r="C112" s="48"/>
    </row>
    <row r="113" spans="1:3" x14ac:dyDescent="0.2">
      <c r="A113" s="46">
        <v>44191</v>
      </c>
      <c r="B113" s="47" t="s">
        <v>24</v>
      </c>
      <c r="C113" s="48"/>
    </row>
    <row r="114" spans="1:3" s="6" customFormat="1" x14ac:dyDescent="0.2">
      <c r="A114" s="46">
        <v>41007</v>
      </c>
      <c r="B114" s="53" t="s">
        <v>8</v>
      </c>
      <c r="C114" s="48"/>
    </row>
    <row r="115" spans="1:3" s="6" customFormat="1" x14ac:dyDescent="0.2">
      <c r="A115" s="46">
        <v>41364</v>
      </c>
      <c r="B115" s="53" t="s">
        <v>8</v>
      </c>
      <c r="C115" s="48"/>
    </row>
    <row r="116" spans="1:3" x14ac:dyDescent="0.2">
      <c r="A116" s="46">
        <v>41749</v>
      </c>
      <c r="B116" s="53" t="s">
        <v>8</v>
      </c>
      <c r="C116" s="48"/>
    </row>
    <row r="117" spans="1:3" x14ac:dyDescent="0.2">
      <c r="A117" s="46">
        <v>42099</v>
      </c>
      <c r="B117" s="53" t="s">
        <v>8</v>
      </c>
      <c r="C117" s="48"/>
    </row>
    <row r="118" spans="1:3" x14ac:dyDescent="0.2">
      <c r="A118" s="46">
        <v>42456</v>
      </c>
      <c r="B118" s="53" t="s">
        <v>8</v>
      </c>
      <c r="C118" s="48"/>
    </row>
    <row r="119" spans="1:3" x14ac:dyDescent="0.2">
      <c r="A119" s="46">
        <v>42841</v>
      </c>
      <c r="B119" s="53" t="s">
        <v>8</v>
      </c>
      <c r="C119" s="48"/>
    </row>
    <row r="120" spans="1:3" x14ac:dyDescent="0.2">
      <c r="A120" s="46">
        <v>43191</v>
      </c>
      <c r="B120" s="53" t="s">
        <v>8</v>
      </c>
      <c r="C120" s="48"/>
    </row>
    <row r="121" spans="1:3" x14ac:dyDescent="0.2">
      <c r="A121" s="46">
        <v>43576</v>
      </c>
      <c r="B121" s="53" t="s">
        <v>8</v>
      </c>
      <c r="C121" s="48"/>
    </row>
    <row r="122" spans="1:3" x14ac:dyDescent="0.2">
      <c r="A122" s="46">
        <v>43933</v>
      </c>
      <c r="B122" s="53" t="s">
        <v>8</v>
      </c>
      <c r="C122" s="48"/>
    </row>
    <row r="123" spans="1:3" s="6" customFormat="1" x14ac:dyDescent="0.2">
      <c r="A123" s="46">
        <v>41005</v>
      </c>
      <c r="B123" s="47" t="s">
        <v>9</v>
      </c>
      <c r="C123" s="48"/>
    </row>
    <row r="124" spans="1:3" s="6" customFormat="1" x14ac:dyDescent="0.2">
      <c r="A124" s="46">
        <v>41362</v>
      </c>
      <c r="B124" s="47" t="s">
        <v>9</v>
      </c>
      <c r="C124" s="48"/>
    </row>
    <row r="125" spans="1:3" x14ac:dyDescent="0.2">
      <c r="A125" s="46">
        <v>41747</v>
      </c>
      <c r="B125" s="47" t="s">
        <v>9</v>
      </c>
      <c r="C125" s="48"/>
    </row>
    <row r="126" spans="1:3" x14ac:dyDescent="0.2">
      <c r="A126" s="46">
        <v>42097</v>
      </c>
      <c r="B126" s="47" t="s">
        <v>9</v>
      </c>
      <c r="C126" s="48"/>
    </row>
    <row r="127" spans="1:3" x14ac:dyDescent="0.2">
      <c r="A127" s="46">
        <v>42454</v>
      </c>
      <c r="B127" s="47" t="s">
        <v>9</v>
      </c>
      <c r="C127" s="48"/>
    </row>
    <row r="128" spans="1:3" x14ac:dyDescent="0.2">
      <c r="A128" s="46">
        <v>42839</v>
      </c>
      <c r="B128" s="47" t="s">
        <v>9</v>
      </c>
      <c r="C128" s="48"/>
    </row>
    <row r="129" spans="1:3" x14ac:dyDescent="0.2">
      <c r="A129" s="46">
        <v>43189</v>
      </c>
      <c r="B129" s="47" t="s">
        <v>9</v>
      </c>
      <c r="C129" s="48"/>
    </row>
    <row r="130" spans="1:3" x14ac:dyDescent="0.2">
      <c r="A130" s="46">
        <v>43574</v>
      </c>
      <c r="B130" s="47" t="s">
        <v>9</v>
      </c>
      <c r="C130" s="48"/>
    </row>
    <row r="131" spans="1:3" x14ac:dyDescent="0.2">
      <c r="A131" s="46">
        <v>43931</v>
      </c>
      <c r="B131" s="47" t="s">
        <v>9</v>
      </c>
      <c r="C131" s="48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4-Year</vt:lpstr>
      <vt:lpstr>1-Year</vt:lpstr>
      <vt:lpstr>Multiple</vt:lpstr>
      <vt:lpstr>Data</vt:lpstr>
      <vt:lpstr>Holidays</vt:lpstr>
      <vt:lpstr>'1-Year'!chart_date</vt:lpstr>
      <vt:lpstr>'1-Year'!chart_values</vt:lpstr>
      <vt:lpstr>data_labels</vt:lpstr>
      <vt:lpstr>holidays</vt:lpstr>
      <vt:lpstr>'1-Year'!Print_Area</vt:lpstr>
      <vt:lpstr>'4-Year'!Print_Area</vt:lpstr>
      <vt:lpstr>Multiple!Print_Area</vt:lpstr>
      <vt:lpstr>'1-Year'!Print_Titles</vt:lpstr>
      <vt:lpstr>'4-Year'!Print_Titles</vt:lpstr>
      <vt:lpstr>Multiple!Print_Titles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2016-03-10T18:03:09Z</cp:lastPrinted>
  <dcterms:created xsi:type="dcterms:W3CDTF">2008-12-11T21:42:43Z</dcterms:created>
  <dcterms:modified xsi:type="dcterms:W3CDTF">2022-11-14T15:07:35Z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2016 Vertex42 LLC</vt:lpwstr>
  </property>
  <property fmtid="{D5CDD505-2E9C-101B-9397-08002B2CF9AE}" pid="3" name="Source">
    <vt:lpwstr>https://www.vertex42.com/ExcelTemplates/calendar-chart.html</vt:lpwstr>
  </property>
  <property fmtid="{D5CDD505-2E9C-101B-9397-08002B2CF9AE}" pid="4" name="Version">
    <vt:lpwstr>1.1.1</vt:lpwstr>
  </property>
</Properties>
</file>