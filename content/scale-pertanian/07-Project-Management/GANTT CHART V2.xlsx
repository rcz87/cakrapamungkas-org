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codeName="ThisWorkbook"/>
  <mc:AlternateContent xmlns:mc="http://schemas.openxmlformats.org/markup-compatibility/2006">
    <mc:Choice Requires="x15">
      <x15ac:absPath xmlns:x15ac="http://schemas.microsoft.com/office/spreadsheetml/2010/11/ac" url="C:\Users\Bismillah\Desktop\Google sheets\(Finance) Excel Templates\Part 2 (Finance)\DATA ANALYSIS AND QUALITY CONTROL\"/>
    </mc:Choice>
  </mc:AlternateContent>
  <xr:revisionPtr revIDLastSave="0" documentId="13_ncr:1_{B9766383-8D6D-4D9F-AD5A-5AC1416FFE3B}" xr6:coauthVersionLast="47" xr6:coauthVersionMax="47" xr10:uidLastSave="{00000000-0000-0000-0000-000000000000}"/>
  <bookViews>
    <workbookView xWindow="-120" yWindow="-120" windowWidth="20730" windowHeight="11160" xr2:uid="{00000000-000D-0000-FFFF-FFFF00000000}"/>
  </bookViews>
  <sheets>
    <sheet name="GanttChart" sheetId="9" r:id="rId1"/>
    <sheet name="Help" sheetId="6" r:id="rId2"/>
  </sheets>
  <definedNames>
    <definedName name="prevWBS" localSheetId="0">GanttChart!$A1048576</definedName>
    <definedName name="_xlnm.Print_Area" localSheetId="0">GanttChart!$A$1:$BN$37</definedName>
    <definedName name="_xlnm.Print_Titles" localSheetId="0">GanttChart!$4:$7</definedName>
    <definedName name="valuevx">42.314159</definedName>
    <definedName name="vertex42_copyright" hidden="1">"© 2006-2018 Vertex42 LLC"</definedName>
    <definedName name="vertex42_id" hidden="1">"gantt-chart_L2.xlsx"</definedName>
    <definedName name="vertex42_title" hidden="1">"Gantt Chart Template"</definedName>
  </definedNames>
  <calcPr calcId="191029"/>
</workbook>
</file>

<file path=xl/calcChain.xml><?xml version="1.0" encoding="utf-8"?>
<calcChain xmlns="http://schemas.openxmlformats.org/spreadsheetml/2006/main">
  <c r="F33" i="9" l="1"/>
  <c r="F9" i="9"/>
  <c r="F23" i="9"/>
  <c r="F22" i="9"/>
  <c r="F21" i="9"/>
  <c r="F20" i="9"/>
  <c r="F19" i="9"/>
  <c r="F29" i="9"/>
  <c r="F28" i="9"/>
  <c r="F27" i="9"/>
  <c r="F26" i="9"/>
  <c r="F25" i="9"/>
  <c r="F31" i="9"/>
  <c r="F32" i="9" l="1"/>
  <c r="F42" i="9"/>
  <c r="I42" i="9" s="1"/>
  <c r="F43" i="9"/>
  <c r="I43" i="9" s="1"/>
  <c r="F41" i="9"/>
  <c r="I41" i="9" s="1"/>
  <c r="A40" i="9"/>
  <c r="A41" i="9" s="1"/>
  <c r="F10" i="9" l="1"/>
  <c r="K6" i="9"/>
  <c r="F12" i="9" l="1"/>
  <c r="F15" i="9" s="1"/>
  <c r="F16" i="9"/>
  <c r="K7" i="9"/>
  <c r="K4" i="9"/>
  <c r="A8" i="9"/>
  <c r="A42" i="9"/>
  <c r="A43" i="9" s="1"/>
  <c r="F13" i="9" l="1"/>
  <c r="F14" i="9" s="1"/>
  <c r="L6" i="9"/>
  <c r="I26" i="9" l="1"/>
  <c r="I25" i="9"/>
  <c r="I32" i="9"/>
  <c r="I19" i="9"/>
  <c r="I9" i="9"/>
  <c r="I31" i="9"/>
  <c r="M6" i="9"/>
  <c r="I20" i="9"/>
  <c r="I27" i="9" l="1"/>
  <c r="I21" i="9"/>
  <c r="N6" i="9"/>
  <c r="I33" i="9"/>
  <c r="F34" i="9"/>
  <c r="F35" i="9" l="1"/>
  <c r="I34" i="9"/>
  <c r="I12" i="9"/>
  <c r="I13" i="9"/>
  <c r="I14" i="9"/>
  <c r="O6" i="9"/>
  <c r="F17" i="9"/>
  <c r="K5" i="9"/>
  <c r="I28" i="9" l="1"/>
  <c r="I29" i="9"/>
  <c r="I22" i="9"/>
  <c r="I35" i="9"/>
  <c r="I10" i="9"/>
  <c r="F11" i="9"/>
  <c r="I15" i="9"/>
  <c r="I16" i="9"/>
  <c r="I17" i="9"/>
  <c r="P6" i="9"/>
  <c r="L7" i="9"/>
  <c r="I23" i="9" l="1"/>
  <c r="I11" i="9"/>
  <c r="Q6" i="9"/>
  <c r="M7" i="9"/>
  <c r="R6" i="9" l="1"/>
  <c r="N7" i="9"/>
  <c r="S6" i="9" l="1"/>
  <c r="O7" i="9"/>
  <c r="T6" i="9" l="1"/>
  <c r="U6" i="9" s="1"/>
  <c r="P7" i="9"/>
  <c r="V6" i="9" l="1"/>
  <c r="U7" i="9"/>
  <c r="Q7" i="9"/>
  <c r="V7" i="9" l="1"/>
  <c r="W6" i="9"/>
  <c r="W7" i="9" s="1"/>
  <c r="R7" i="9"/>
  <c r="R5" i="9"/>
  <c r="R4" i="9"/>
  <c r="S7" i="9" l="1"/>
  <c r="X6" i="9" l="1"/>
  <c r="T7" i="9"/>
  <c r="Y6" i="9" l="1"/>
  <c r="Z6" i="9" l="1"/>
  <c r="AA6" i="9" l="1"/>
  <c r="X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T6" i="9" l="1"/>
  <c r="AQ7" i="9"/>
  <c r="AU6" i="9" l="1"/>
  <c r="AR7" i="9"/>
  <c r="AV6" i="9" l="1"/>
  <c r="AS7" i="9"/>
  <c r="AW6" i="9" l="1"/>
  <c r="AT7" i="9"/>
  <c r="AT5" i="9"/>
  <c r="AT4" i="9"/>
  <c r="AX6" i="9" l="1"/>
  <c r="AU7" i="9"/>
  <c r="AY6" i="9" l="1"/>
  <c r="AV7" i="9"/>
  <c r="AZ6" i="9" l="1"/>
  <c r="AW7" i="9"/>
  <c r="BA6" i="9" l="1"/>
  <c r="AX7" i="9"/>
  <c r="BB6" i="9" l="1"/>
  <c r="AY7" i="9"/>
  <c r="BC6" i="9" l="1"/>
  <c r="AZ7" i="9"/>
  <c r="BD6" i="9" l="1"/>
  <c r="BA5" i="9"/>
  <c r="BA4" i="9"/>
  <c r="BA7" i="9"/>
  <c r="BE6" i="9" l="1"/>
  <c r="BB7" i="9"/>
  <c r="BF6" i="9" l="1"/>
  <c r="BC7" i="9"/>
  <c r="BG6" i="9" l="1"/>
  <c r="BD7" i="9"/>
  <c r="BH6" i="9" l="1"/>
  <c r="BE7" i="9"/>
  <c r="BI6" i="9" l="1"/>
  <c r="BF7" i="9"/>
  <c r="BJ6" i="9" l="1"/>
  <c r="BG7" i="9"/>
  <c r="BK6" i="9" l="1"/>
  <c r="BH4" i="9"/>
  <c r="BH7" i="9"/>
  <c r="BH5" i="9"/>
  <c r="BL6" i="9" l="1"/>
  <c r="BI7" i="9"/>
  <c r="BM6" i="9" l="1"/>
  <c r="BJ7" i="9"/>
  <c r="BN6" i="9" l="1"/>
  <c r="BK7" i="9"/>
  <c r="BL7" i="9" l="1"/>
  <c r="BM7" i="9" l="1"/>
  <c r="BN7" i="9" l="1"/>
  <c r="A9" i="9" l="1"/>
  <c r="A10" i="9" s="1"/>
  <c r="A11" i="9" s="1"/>
  <c r="A12" i="9" l="1"/>
  <c r="A13" i="9" s="1"/>
  <c r="A14" i="9" s="1"/>
  <c r="A15" i="9" s="1"/>
  <c r="A16" i="9" s="1"/>
  <c r="A17" i="9" s="1"/>
  <c r="A18" i="9" s="1"/>
  <c r="A19" i="9" s="1"/>
  <c r="A20" i="9" s="1"/>
  <c r="A21" i="9" s="1"/>
  <c r="A22" i="9" s="1"/>
  <c r="A23" i="9" l="1"/>
  <c r="A24" i="9" s="1"/>
  <c r="A25" i="9" s="1"/>
  <c r="A26" i="9" s="1"/>
  <c r="A27" i="9" s="1"/>
  <c r="A28" i="9" s="1"/>
  <c r="A29" i="9" l="1"/>
  <c r="A30" i="9" s="1"/>
  <c r="A31" i="9" s="1"/>
  <c r="A32" i="9" s="1"/>
  <c r="A33" i="9" s="1"/>
  <c r="A34" i="9" s="1"/>
  <c r="A35"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<sst xmlns="http://schemas.openxmlformats.org/spreadsheetml/2006/main" count="122" uniqueCount="91">
  <si>
    <t>[Company Name]</t>
  </si>
  <si>
    <t>WBS</t>
  </si>
  <si>
    <t>[Project Name] Project Schedule</t>
  </si>
  <si>
    <t>TEMPLATE ROWS</t>
  </si>
  <si>
    <t>Getting Started Tips</t>
  </si>
  <si>
    <t>FAQs</t>
  </si>
  <si>
    <t>Q:</t>
  </si>
  <si>
    <t>Creating Task Dependencies</t>
  </si>
  <si>
    <t>[Task Category]</t>
  </si>
  <si>
    <t>[Task]</t>
  </si>
  <si>
    <t>[Name]</t>
  </si>
  <si>
    <t>Changing the Color of the Bars in the Gantt Chart</t>
  </si>
  <si>
    <t>Using the Template Rows and Choosing a WBS Level</t>
  </si>
  <si>
    <t>A.</t>
  </si>
  <si>
    <t>Enter the date manually (e.g. 1/3/2015)</t>
  </si>
  <si>
    <t>B.</t>
  </si>
  <si>
    <t>Reference the Project Start Date (e.g. =$E$4 )</t>
  </si>
  <si>
    <t>C.</t>
  </si>
  <si>
    <t>Set the Start date to the next Work Day after another task's End date.</t>
  </si>
  <si>
    <t>D.</t>
  </si>
  <si>
    <t>Set the Start date to the next Calendar Day after another task's End date.</t>
  </si>
  <si>
    <t>E.</t>
  </si>
  <si>
    <t>Set the Start date to a number of days before or after another date.</t>
  </si>
  <si>
    <t>Find a row that works, then copy the cells that make up the gantt chart area from that row into the row that is messed up.</t>
  </si>
  <si>
    <t>[ Level 1 Task, Category, or Phase ]</t>
  </si>
  <si>
    <t xml:space="preserve"> . [ Level 2 Task ]</t>
  </si>
  <si>
    <t xml:space="preserve"> . . [ Level 3 Task ]</t>
  </si>
  <si>
    <t xml:space="preserve"> . . . [ Level 4 Task ]</t>
  </si>
  <si>
    <t>TASK</t>
  </si>
  <si>
    <t>LEAD</t>
  </si>
  <si>
    <t>START</t>
  </si>
  <si>
    <t>END</t>
  </si>
  <si>
    <t>DAYS</t>
  </si>
  <si>
    <t>% DONE</t>
  </si>
  <si>
    <t>WORK DAYS</t>
  </si>
  <si>
    <t>PREDECESSOR</t>
  </si>
  <si>
    <t>Display Week</t>
  </si>
  <si>
    <t>Project Lead</t>
  </si>
  <si>
    <t>See the Help worksheet to learn how to use these template rows. You can hide these rows before printing.</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</si>
  <si>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</si>
  <si>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</si>
  <si>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</si>
  <si>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 [Bracketed Text] is meant to be edited, like the project title and task descriptions.</t>
  </si>
  <si>
    <t>• Some of the labels include cell comments to provide extra information.</t>
  </si>
  <si>
    <t>• To adjust the range of dates shown in the Gantt chart, change the Display Week number.</t>
  </si>
  <si>
    <t>• The Project Start Date is used to define the first week shown in the gantt chart.</t>
  </si>
  <si>
    <t>• If you see "#####" in a cell, widen the column to display the cell contents.</t>
  </si>
  <si>
    <r>
      <t xml:space="preserve">• </t>
    </r>
    <r>
      <rPr>
        <b/>
        <sz val="11"/>
        <color rgb="FFFF0000"/>
        <rFont val="Arial"/>
        <family val="2"/>
      </rPr>
      <t>Backup</t>
    </r>
    <r>
      <rPr>
        <sz val="11"/>
        <color rgb="FFFF0000"/>
        <rFont val="Arial"/>
        <family val="2"/>
      </rPr>
      <t xml:space="preserve"> your file regularly to avoid losing data! Excel files get corrupted occasionally.</t>
    </r>
  </si>
  <si>
    <t>Inserting New Tasks (Rows)</t>
  </si>
  <si>
    <r>
      <t xml:space="preserve">When inserting and deleting tasks, you need to insert and delete </t>
    </r>
    <r>
      <rPr>
        <b/>
        <sz val="11"/>
        <rFont val="Arial"/>
        <family val="2"/>
      </rPr>
      <t>entire rows</t>
    </r>
    <r>
      <rPr>
        <sz val="11"/>
        <rFont val="Arial"/>
        <family val="2"/>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</si>
  <si>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</si>
  <si>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</si>
  <si>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</si>
  <si>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</si>
  <si>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</si>
  <si>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</si>
  <si>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</si>
  <si>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</si>
  <si>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</si>
  <si>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</si>
  <si>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</si>
  <si>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You can enter the Start date manually, or define task dependencies using a formula. Below are some common options for defining the Start date:</t>
  </si>
  <si>
    <r>
      <t>• Use the formula =WORKDAY(</t>
    </r>
    <r>
      <rPr>
        <i/>
        <sz val="11"/>
        <rFont val="Arial"/>
        <family val="2"/>
      </rPr>
      <t>enddate</t>
    </r>
    <r>
      <rPr>
        <sz val="11"/>
        <rFont val="Arial"/>
        <family val="2"/>
      </rPr>
      <t xml:space="preserve">,1) where </t>
    </r>
    <r>
      <rPr>
        <i/>
        <sz val="11"/>
        <rFont val="Arial"/>
        <family val="2"/>
      </rPr>
      <t>enddate</t>
    </r>
    <r>
      <rPr>
        <sz val="11"/>
        <rFont val="Arial"/>
        <family val="2"/>
      </rPr>
      <t xml:space="preserve"> is the reference to the End date of a predecessor task.</t>
    </r>
  </si>
  <si>
    <r>
      <t>• For multiple predecessors, the formula would be =MAX(WORKDAY(</t>
    </r>
    <r>
      <rPr>
        <i/>
        <sz val="11"/>
        <rFont val="Arial"/>
        <family val="2"/>
      </rPr>
      <t>enddate1</t>
    </r>
    <r>
      <rPr>
        <sz val="11"/>
        <rFont val="Arial"/>
        <family val="2"/>
      </rPr>
      <t>,1),WORKDAY(</t>
    </r>
    <r>
      <rPr>
        <i/>
        <sz val="11"/>
        <rFont val="Arial"/>
        <family val="2"/>
      </rPr>
      <t>enddate2</t>
    </r>
    <r>
      <rPr>
        <sz val="11"/>
        <rFont val="Arial"/>
        <family val="2"/>
      </rPr>
      <t>,1))</t>
    </r>
  </si>
  <si>
    <r>
      <t>• This formula is very simple: =</t>
    </r>
    <r>
      <rPr>
        <i/>
        <sz val="11"/>
        <rFont val="Arial"/>
        <family val="2"/>
      </rPr>
      <t>enddate</t>
    </r>
    <r>
      <rPr>
        <sz val="11"/>
        <rFont val="Arial"/>
        <family val="2"/>
      </rPr>
      <t>+1</t>
    </r>
  </si>
  <si>
    <r>
      <t>• For multiple predecessors, the formula would be =MAX(</t>
    </r>
    <r>
      <rPr>
        <i/>
        <sz val="11"/>
        <rFont val="Arial"/>
        <family val="2"/>
      </rPr>
      <t>enddate1</t>
    </r>
    <r>
      <rPr>
        <sz val="11"/>
        <rFont val="Arial"/>
        <family val="2"/>
      </rPr>
      <t>,</t>
    </r>
    <r>
      <rPr>
        <i/>
        <sz val="11"/>
        <rFont val="Arial"/>
        <family val="2"/>
      </rPr>
      <t>enddate2</t>
    </r>
    <r>
      <rPr>
        <sz val="11"/>
        <rFont val="Arial"/>
        <family val="2"/>
      </rPr>
      <t>,</t>
    </r>
    <r>
      <rPr>
        <i/>
        <sz val="11"/>
        <rFont val="Arial"/>
        <family val="2"/>
      </rPr>
      <t>enddate3</t>
    </r>
    <r>
      <rPr>
        <sz val="11"/>
        <rFont val="Arial"/>
        <family val="2"/>
      </rPr>
      <t>)+1</t>
    </r>
  </si>
  <si>
    <r>
      <t>• This formula is just like the one in C or D, except that in place of the "1" you enter the number of days, such as =WORKDAY(</t>
    </r>
    <r>
      <rPr>
        <i/>
        <sz val="11"/>
        <rFont val="Arial"/>
        <family val="2"/>
      </rPr>
      <t>enddate</t>
    </r>
    <r>
      <rPr>
        <sz val="11"/>
        <rFont val="Arial"/>
        <family val="2"/>
      </rPr>
      <t>,5) or =WORKDAY(</t>
    </r>
    <r>
      <rPr>
        <i/>
        <sz val="11"/>
        <rFont val="Arial"/>
        <family val="2"/>
      </rPr>
      <t>startdate</t>
    </r>
    <r>
      <rPr>
        <sz val="11"/>
        <rFont val="Arial"/>
        <family val="2"/>
      </rPr>
      <t>,-5)</t>
    </r>
  </si>
  <si>
    <t>F.</t>
  </si>
  <si>
    <t>Use a lookup formula and the Predecessor column to define the start date.</t>
  </si>
  <si>
    <t>[The formulas for using this method are built into Gantt Chart Template Pro]</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</si>
  <si>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</si>
  <si>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r>
      <t xml:space="preserve">How do I enter the </t>
    </r>
    <r>
      <rPr>
        <b/>
        <sz val="11"/>
        <color theme="4" tint="-0.249977111117893"/>
        <rFont val="Arial"/>
        <family val="2"/>
      </rPr>
      <t>Work Days</t>
    </r>
    <r>
      <rPr>
        <sz val="11"/>
        <color theme="4" tint="-0.249977111117893"/>
        <rFont val="Arial"/>
        <family val="2"/>
      </rPr>
      <t xml:space="preserve"> instead of </t>
    </r>
    <r>
      <rPr>
        <b/>
        <sz val="11"/>
        <color theme="4" tint="-0.249977111117893"/>
        <rFont val="Arial"/>
        <family val="2"/>
      </rPr>
      <t>Calendar Days</t>
    </r>
    <r>
      <rPr>
        <sz val="11"/>
        <color theme="4" tint="-0.249977111117893"/>
        <rFont val="Arial"/>
        <family val="2"/>
      </rPr>
      <t>?</t>
    </r>
  </si>
  <si>
    <t>Entering work days instead of calendar days is a feature of the Pro version. There is nothing in the free version preventing you from entering your own formulas, though.</t>
  </si>
  <si>
    <r>
      <t xml:space="preserve">How do I calculate Calendar Days after entering the </t>
    </r>
    <r>
      <rPr>
        <b/>
        <sz val="11"/>
        <color theme="4" tint="-0.249977111117893"/>
        <rFont val="Arial"/>
        <family val="2"/>
      </rPr>
      <t>Start and End Dates</t>
    </r>
    <r>
      <rPr>
        <sz val="11"/>
        <color theme="4" tint="-0.249977111117893"/>
        <rFont val="Arial"/>
        <family val="2"/>
      </rPr>
      <t>?</t>
    </r>
  </si>
  <si>
    <r>
      <t>You can calculate the duration in calendar days (including both start and end dates) using the formula =</t>
    </r>
    <r>
      <rPr>
        <i/>
        <sz val="11"/>
        <rFont val="Arial"/>
        <family val="2"/>
      </rPr>
      <t>enddate</t>
    </r>
    <r>
      <rPr>
        <sz val="11"/>
        <rFont val="Arial"/>
        <family val="2"/>
      </rPr>
      <t>-</t>
    </r>
    <r>
      <rPr>
        <i/>
        <sz val="11"/>
        <rFont val="Arial"/>
        <family val="2"/>
      </rPr>
      <t>startdate</t>
    </r>
    <r>
      <rPr>
        <sz val="11"/>
        <rFont val="Arial"/>
        <family val="2"/>
      </rPr>
      <t>+1</t>
    </r>
  </si>
  <si>
    <r>
      <t xml:space="preserve">How do I change the </t>
    </r>
    <r>
      <rPr>
        <b/>
        <sz val="11"/>
        <color theme="4" tint="-0.249977111117893"/>
        <rFont val="Arial"/>
        <family val="2"/>
      </rPr>
      <t>Print Settings</t>
    </r>
    <r>
      <rPr>
        <sz val="11"/>
        <color theme="4" tint="-0.249977111117893"/>
        <rFont val="Arial"/>
        <family val="2"/>
      </rPr>
      <t>? (Excel 2010, 2013)</t>
    </r>
  </si>
  <si>
    <t>Select the entire range of cells you want to print and go to File &gt; Print Area &gt; Set Print Area. Then go to File &gt; Page Setup or File &gt; Print Preview and adjust the Scaling, Margins, and Page Orientation as desired.</t>
  </si>
  <si>
    <r>
      <t xml:space="preserve">How do I increase the </t>
    </r>
    <r>
      <rPr>
        <b/>
        <sz val="11"/>
        <color theme="4" tint="-0.249977111117893"/>
        <rFont val="Arial"/>
        <family val="2"/>
      </rPr>
      <t>range of dates</t>
    </r>
    <r>
      <rPr>
        <sz val="11"/>
        <color theme="4" tint="-0.249977111117893"/>
        <rFont val="Arial"/>
        <family val="2"/>
      </rPr>
      <t xml:space="preserve"> displayed in the Gantt chart?</t>
    </r>
  </si>
  <si>
    <t>You will need to add columns to the right of the Gantt Chart via copy/paste. Copy and paste the columns in groups of 7. Afterwards, you will also probably need to update the print area.</t>
  </si>
  <si>
    <r>
      <t xml:space="preserve">How do I create a summary row that shows the </t>
    </r>
    <r>
      <rPr>
        <b/>
        <sz val="11"/>
        <color theme="4" tint="-0.249977111117893"/>
        <rFont val="Arial"/>
        <family val="2"/>
      </rPr>
      <t>MIN</t>
    </r>
    <r>
      <rPr>
        <sz val="11"/>
        <color theme="4" tint="-0.249977111117893"/>
        <rFont val="Arial"/>
        <family val="2"/>
      </rPr>
      <t xml:space="preserve"> and </t>
    </r>
    <r>
      <rPr>
        <b/>
        <sz val="11"/>
        <color theme="4" tint="-0.249977111117893"/>
        <rFont val="Arial"/>
        <family val="2"/>
      </rPr>
      <t>MAX</t>
    </r>
    <r>
      <rPr>
        <sz val="11"/>
        <color theme="4" tint="-0.249977111117893"/>
        <rFont val="Arial"/>
        <family val="2"/>
      </rPr>
      <t xml:space="preserve"> dates for all sub-tasks?</t>
    </r>
  </si>
  <si>
    <r>
      <t>In the Start column, use the formula =MIN(</t>
    </r>
    <r>
      <rPr>
        <i/>
        <sz val="11"/>
        <color rgb="FF000000"/>
        <rFont val="Arial"/>
        <family val="2"/>
      </rPr>
      <t>range_of_start_dates</t>
    </r>
    <r>
      <rPr>
        <sz val="11"/>
        <color rgb="FF000000"/>
        <rFont val="Arial"/>
        <family val="2"/>
      </rPr>
      <t>)</t>
    </r>
  </si>
  <si>
    <r>
      <t>In the End column, use the formula =MAX(</t>
    </r>
    <r>
      <rPr>
        <i/>
        <sz val="11"/>
        <color rgb="FF000000"/>
        <rFont val="Arial"/>
        <family val="2"/>
      </rPr>
      <t>range_of_end_dates</t>
    </r>
    <r>
      <rPr>
        <sz val="11"/>
        <color rgb="FF000000"/>
        <rFont val="Arial"/>
        <family val="2"/>
      </rPr>
      <t>)</t>
    </r>
  </si>
  <si>
    <r>
      <t>In the Days column, use the formula =</t>
    </r>
    <r>
      <rPr>
        <i/>
        <sz val="11"/>
        <color rgb="FF000000"/>
        <rFont val="Arial"/>
        <family val="2"/>
      </rPr>
      <t>end_date</t>
    </r>
    <r>
      <rPr>
        <sz val="11"/>
        <color rgb="FF000000"/>
        <rFont val="Arial"/>
        <family val="2"/>
      </rPr>
      <t>-</t>
    </r>
    <r>
      <rPr>
        <i/>
        <sz val="11"/>
        <color rgb="FF000000"/>
        <rFont val="Arial"/>
        <family val="2"/>
      </rPr>
      <t>start_date</t>
    </r>
    <r>
      <rPr>
        <sz val="11"/>
        <color rgb="FF000000"/>
        <rFont val="Arial"/>
        <family val="2"/>
      </rPr>
      <t>+1</t>
    </r>
  </si>
  <si>
    <r>
      <t xml:space="preserve">How do I calculate the </t>
    </r>
    <r>
      <rPr>
        <b/>
        <sz val="11"/>
        <color theme="4" tint="-0.249977111117893"/>
        <rFont val="Arial"/>
        <family val="2"/>
      </rPr>
      <t>%Complete</t>
    </r>
    <r>
      <rPr>
        <sz val="11"/>
        <color theme="4" tint="-0.249977111117893"/>
        <rFont val="Arial"/>
        <family val="2"/>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</si>
  <si>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</si>
  <si>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t>=SUMPRODUCT(</t>
    </r>
    <r>
      <rPr>
        <i/>
        <sz val="11"/>
        <rFont val="Arial"/>
        <family val="2"/>
      </rPr>
      <t>workdays</t>
    </r>
    <r>
      <rPr>
        <sz val="11"/>
        <rFont val="Arial"/>
        <family val="2"/>
      </rPr>
      <t>,</t>
    </r>
    <r>
      <rPr>
        <i/>
        <sz val="11"/>
        <rFont val="Arial"/>
        <family val="2"/>
      </rPr>
      <t>complete</t>
    </r>
    <r>
      <rPr>
        <sz val="11"/>
        <rFont val="Arial"/>
        <family val="2"/>
      </rPr>
      <t>)/SUM(</t>
    </r>
    <r>
      <rPr>
        <i/>
        <sz val="11"/>
        <rFont val="Arial"/>
        <family val="2"/>
      </rPr>
      <t>workdays</t>
    </r>
    <r>
      <rPr>
        <sz val="11"/>
        <rFont val="Arial"/>
        <family val="2"/>
      </rPr>
      <t>)</t>
    </r>
  </si>
  <si>
    <t>Example: Let's say you have 3 sub tasks that are 10 days, 12 days, and 14 days long, respectively. If the first subtask is 50% complete and the others are 25% complete, you could calculate the overall percent complete for the group as: =(10*50%+12*25%+14*25%)/(10+12+14).</t>
  </si>
  <si>
    <r>
      <t xml:space="preserve">I've </t>
    </r>
    <r>
      <rPr>
        <b/>
        <sz val="11"/>
        <color theme="4" tint="-0.249977111117893"/>
        <rFont val="Arial"/>
        <family val="2"/>
      </rPr>
      <t>messed up</t>
    </r>
    <r>
      <rPr>
        <sz val="11"/>
        <color theme="4" tint="-0.249977111117893"/>
        <rFont val="Arial"/>
        <family val="2"/>
      </rPr>
      <t xml:space="preserve"> the chart area somehow. How do I fix it?</t>
    </r>
  </si>
  <si>
    <t>Project Start Date</t>
  </si>
  <si>
    <t>[Sub-Task]</t>
  </si>
  <si>
    <t>• For each task, enter the Start Date and the duration of the task in Days. The End Date and Work Days columns are calculated using formulas.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</si>
</sst>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81" x14ac:knownFonts="1">
    <font>
      <sz val="10"/>
      <name val="Arial"/>
    </font>
    <font>
      <sz val="10"/>
      <name val="Arial"/>
      <family val="2"/>
    </font>
    <font>
      <u/>
      <sz val="10"/>
      <color indexed="12"/>
      <name val="Arial"/>
      <family val="2"/>
    </font>
    <font>
      <sz val="8"/>
      <name val="Arial"/>
      <family val="2"/>
    </font>
    <font>
      <sz val="10"/>
      <name val="Arial"/>
      <family val="2"/>
    </font>
    <font>
      <b/>
      <sz val="10"/>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8"/>
      <color theme="3"/>
      <name val="Arial"/>
      <family val="2"/>
    </font>
    <font>
      <sz val="18"/>
      <color theme="4" tint="-0.249977111117893"/>
      <name val="Arial"/>
      <family val="2"/>
    </font>
    <font>
      <b/>
      <sz val="12"/>
      <color theme="4" tint="-0.249977111117893"/>
      <name val="Arial"/>
      <family val="2"/>
    </font>
    <font>
      <b/>
      <sz val="11"/>
      <name val="Arial"/>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12"/>
      <name val="Arial"/>
      <family val="2"/>
      <scheme val="minor"/>
    </font>
    <font>
      <sz val="10"/>
      <name val="Arial"/>
      <family val="1"/>
      <scheme val="minor"/>
    </font>
    <font>
      <sz val="9"/>
      <name val="Arial"/>
      <family val="1"/>
      <scheme val="minor"/>
    </font>
    <font>
      <sz val="8"/>
      <name val="Arial"/>
      <family val="1"/>
      <scheme val="minor"/>
    </font>
    <font>
      <b/>
      <sz val="11"/>
      <name val="Arial"/>
      <family val="1"/>
      <scheme val="minor"/>
    </font>
    <font>
      <sz val="9"/>
      <color rgb="FF000000"/>
      <name val="Arial"/>
      <family val="1"/>
      <scheme val="minor"/>
    </font>
    <font>
      <i/>
      <sz val="9"/>
      <name val="Arial"/>
      <family val="1"/>
      <scheme val="minor"/>
    </font>
    <font>
      <b/>
      <sz val="14"/>
      <color theme="4" tint="-0.499984740745262"/>
      <name val="Arial"/>
      <family val="2"/>
      <scheme val="minor"/>
    </font>
    <font>
      <b/>
      <sz val="10"/>
      <color theme="4" tint="-0.249977111117893"/>
      <name val="Arial"/>
      <family val="2"/>
      <scheme val="minor"/>
    </font>
    <font>
      <b/>
      <sz val="14"/>
      <color theme="0"/>
      <name val="Arial"/>
      <family val="2"/>
      <scheme val="minor"/>
    </font>
    <font>
      <b/>
      <sz val="10"/>
      <color theme="0"/>
      <name val="Arial"/>
      <family val="2"/>
      <scheme val="minor"/>
    </font>
    <font>
      <b/>
      <i/>
      <sz val="8"/>
      <color theme="0"/>
      <name val="Arial"/>
      <family val="2"/>
      <scheme val="minor"/>
    </font>
    <font>
      <sz val="12"/>
      <color theme="4" tint="-0.499984740745262"/>
      <name val="Arial"/>
      <family val="2"/>
      <scheme val="minor"/>
    </font>
    <font>
      <b/>
      <sz val="8"/>
      <color theme="0"/>
      <name val="Arial"/>
      <family val="2"/>
      <scheme val="minor"/>
    </font>
    <font>
      <b/>
      <sz val="8"/>
      <color theme="4"/>
      <name val="Arial"/>
      <family val="2"/>
      <scheme val="minor"/>
    </font>
    <font>
      <sz val="8"/>
      <color theme="0"/>
      <name val="Arial"/>
      <family val="2"/>
      <scheme val="minor"/>
    </font>
    <font>
      <b/>
      <sz val="9"/>
      <color theme="4" tint="-0.249977111117893"/>
      <name val="Arial"/>
      <family val="2"/>
      <scheme val="minor"/>
    </font>
    <font>
      <b/>
      <sz val="10"/>
      <color theme="4"/>
      <name val="Arial"/>
      <family val="2"/>
      <scheme val="minor"/>
    </font>
    <font>
      <b/>
      <u/>
      <sz val="14"/>
      <color theme="4" tint="-0.499984740745262"/>
      <name val="Arial"/>
      <family val="2"/>
      <scheme val="minor"/>
    </font>
    <font>
      <b/>
      <sz val="11"/>
      <color theme="1" tint="0.34998626667073579"/>
      <name val="Arial"/>
      <family val="1"/>
      <scheme val="minor"/>
    </font>
    <font>
      <b/>
      <sz val="8"/>
      <color theme="1" tint="0.34998626667073579"/>
      <name val="Arial"/>
      <family val="1"/>
      <scheme val="minor"/>
    </font>
    <font>
      <sz val="9"/>
      <color theme="0" tint="-0.499984740745262"/>
      <name val="Arial"/>
      <family val="2"/>
      <scheme val="minor"/>
    </font>
    <font>
      <sz val="9"/>
      <color theme="1" tint="0.249977111117893"/>
      <name val="Arial"/>
      <family val="2"/>
      <scheme val="minor"/>
    </font>
    <font>
      <i/>
      <sz val="9"/>
      <name val="Arial"/>
      <family val="2"/>
      <scheme val="minor"/>
    </font>
    <font>
      <sz val="9"/>
      <name val="Arial"/>
      <family val="2"/>
      <scheme val="minor"/>
    </font>
    <font>
      <sz val="14"/>
      <name val="Arial"/>
      <family val="1"/>
      <scheme val="minor"/>
    </font>
    <font>
      <sz val="14"/>
      <color rgb="FF000000"/>
      <name val="Arial"/>
      <family val="1"/>
      <scheme val="minor"/>
    </font>
    <font>
      <b/>
      <sz val="8"/>
      <color theme="4" tint="-0.249977111117893"/>
      <name val="Arial"/>
      <family val="2"/>
      <scheme val="minor"/>
    </font>
    <font>
      <b/>
      <sz val="8"/>
      <color theme="4" tint="-0.499984740745262"/>
      <name val="Arial"/>
      <family val="2"/>
      <scheme val="minor"/>
    </font>
    <font>
      <b/>
      <u/>
      <sz val="8"/>
      <color theme="4" tint="-0.499984740745262"/>
      <name val="Arial"/>
      <family val="2"/>
      <scheme val="minor"/>
    </font>
    <font>
      <sz val="8"/>
      <color theme="4" tint="-0.499984740745262"/>
      <name val="Arial"/>
      <family val="2"/>
      <scheme val="minor"/>
    </font>
    <font>
      <sz val="8"/>
      <name val="Arial"/>
      <family val="2"/>
      <scheme val="minor"/>
    </font>
    <font>
      <sz val="11"/>
      <name val="Arial"/>
      <family val="2"/>
      <scheme val="minor"/>
    </font>
    <font>
      <sz val="12"/>
      <color theme="4" tint="-0.249977111117893"/>
      <name val="Arial"/>
      <family val="2"/>
      <scheme val="minor"/>
    </font>
    <font>
      <sz val="10"/>
      <color theme="4" tint="-0.249977111117893"/>
      <name val="Arial"/>
      <family val="2"/>
      <scheme val="minor"/>
    </font>
    <font>
      <sz val="11"/>
      <color theme="4" tint="-0.249977111117893"/>
      <name val="Arial"/>
      <family val="2"/>
      <scheme val="minor"/>
    </font>
    <font>
      <sz val="11"/>
      <color theme="4" tint="-0.499984740745262"/>
      <name val="Arial"/>
      <family val="2"/>
      <scheme val="minor"/>
    </font>
    <font>
      <sz val="8"/>
      <color theme="4" tint="-0.249977111117893"/>
      <name val="Arial"/>
      <family val="2"/>
      <scheme val="minor"/>
    </font>
    <font>
      <sz val="18"/>
      <color theme="0"/>
      <name val="Arial"/>
      <family val="2"/>
      <scheme val="minor"/>
    </font>
    <font>
      <sz val="14"/>
      <color theme="4" tint="-0.249977111117893"/>
      <name val="Arial"/>
      <family val="2"/>
    </font>
    <font>
      <sz val="11"/>
      <name val="Arial"/>
      <family val="2"/>
    </font>
    <font>
      <sz val="14"/>
      <name val="Arial"/>
      <family val="2"/>
    </font>
    <font>
      <sz val="11"/>
      <color rgb="FFFF0000"/>
      <name val="Arial"/>
      <family val="2"/>
    </font>
    <font>
      <b/>
      <sz val="11"/>
      <color rgb="FFFF0000"/>
      <name val="Arial"/>
      <family val="2"/>
    </font>
    <font>
      <b/>
      <sz val="11"/>
      <color theme="4" tint="-0.249977111117893"/>
      <name val="Arial"/>
      <family val="2"/>
    </font>
    <font>
      <sz val="11"/>
      <color rgb="FF000000"/>
      <name val="Arial"/>
      <family val="2"/>
    </font>
    <font>
      <i/>
      <sz val="11"/>
      <name val="Arial"/>
      <family val="2"/>
    </font>
    <font>
      <sz val="11"/>
      <color theme="4" tint="-0.249977111117893"/>
      <name val="Arial"/>
      <family val="2"/>
    </font>
    <font>
      <i/>
      <sz val="11"/>
      <color rgb="FF000000"/>
      <name val="Arial"/>
      <family val="2"/>
    </font>
    <font>
      <i/>
      <sz val="10"/>
      <color theme="0"/>
      <name val="Arial"/>
      <family val="2"/>
    </font>
  </fonts>
  <fills count="28">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
      <patternFill patternType="solid">
        <fgColor theme="4"/>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0" tint="-0.34998626667073579"/>
        <bgColor indexed="64"/>
      </patternFill>
    </fill>
  </fills>
  <borders count="4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right/>
      <top/>
      <bottom style="thin">
        <color indexed="22"/>
      </bottom>
      <diagonal/>
    </border>
    <border>
      <left style="thin">
        <color theme="0" tint="-0.34998626667073579"/>
      </left>
      <right style="thin">
        <color theme="0" tint="-0.34998626667073579"/>
      </right>
      <top/>
      <bottom/>
      <diagonal/>
    </border>
    <border>
      <left/>
      <right/>
      <top/>
      <bottom style="thick">
        <color theme="0" tint="-0.34998626667073579"/>
      </bottom>
      <diagonal/>
    </border>
    <border>
      <left style="thin">
        <color theme="0" tint="-0.34998626667073579"/>
      </left>
      <right style="thin">
        <color theme="0" tint="-0.34998626667073579"/>
      </right>
      <top/>
      <bottom style="thick">
        <color theme="0" tint="-0.34998626667073579"/>
      </bottom>
      <diagonal/>
    </border>
    <border>
      <left/>
      <right style="thin">
        <color theme="0" tint="-0.34998626667073579"/>
      </right>
      <top/>
      <bottom style="thick">
        <color theme="0" tint="-0.34998626667073579"/>
      </bottom>
      <diagonal/>
    </border>
    <border>
      <left style="medium">
        <color theme="0" tint="-0.34998626667073579"/>
      </left>
      <right style="thin">
        <color theme="0" tint="-0.34998626667073579"/>
      </right>
      <top/>
      <bottom style="thick">
        <color theme="0" tint="-0.34998626667073579"/>
      </bottom>
      <diagonal/>
    </border>
    <border>
      <left style="thin">
        <color theme="0" tint="-0.34998626667073579"/>
      </left>
      <right style="medium">
        <color theme="0" tint="-0.34998626667073579"/>
      </right>
      <top/>
      <bottom style="thick">
        <color theme="0" tint="-0.34998626667073579"/>
      </bottom>
      <diagonal/>
    </border>
    <border>
      <left style="thin">
        <color theme="0" tint="-0.34998626667073579"/>
      </left>
      <right/>
      <top/>
      <bottom style="thick">
        <color theme="0" tint="-0.34998626667073579"/>
      </bottom>
      <diagonal/>
    </border>
    <border>
      <left style="medium">
        <color theme="4" tint="0.39994506668294322"/>
      </left>
      <right style="thin">
        <color theme="0" tint="-0.34998626667073579"/>
      </right>
      <top/>
      <bottom/>
      <diagonal/>
    </border>
    <border>
      <left style="thin">
        <color theme="0" tint="-0.34998626667073579"/>
      </left>
      <right style="medium">
        <color theme="4" tint="0.39994506668294322"/>
      </right>
      <top/>
      <bottom/>
      <diagonal/>
    </border>
    <border>
      <left style="thin">
        <color theme="0" tint="-0.34998626667073579"/>
      </left>
      <right style="medium">
        <color theme="4" tint="0.39991454817346722"/>
      </right>
      <top/>
      <bottom/>
      <diagonal/>
    </border>
    <border>
      <left style="medium">
        <color theme="4" tint="0.39991454817346722"/>
      </left>
      <right style="thin">
        <color theme="0" tint="-0.34998626667073579"/>
      </right>
      <top/>
      <bottom/>
      <diagonal/>
    </border>
    <border>
      <left style="thin">
        <color theme="0" tint="-0.34998626667073579"/>
      </left>
      <right style="medium">
        <color theme="4" tint="0.39988402966399123"/>
      </right>
      <top/>
      <bottom/>
      <diagonal/>
    </border>
    <border>
      <left style="medium">
        <color theme="4" tint="0.39988402966399123"/>
      </left>
      <right style="thin">
        <color theme="0" tint="-0.34998626667073579"/>
      </right>
      <top/>
      <bottom/>
      <diagonal/>
    </border>
    <border>
      <left style="thin">
        <color theme="0" tint="-0.34998626667073579"/>
      </left>
      <right style="medium">
        <color theme="4" tint="0.39985351115451523"/>
      </right>
      <top/>
      <bottom/>
      <diagonal/>
    </border>
    <border>
      <left style="medium">
        <color theme="4" tint="0.39985351115451523"/>
      </left>
      <right style="thin">
        <color theme="0" tint="-0.34998626667073579"/>
      </right>
      <top/>
      <bottom/>
      <diagonal/>
    </border>
    <border>
      <left style="thin">
        <color theme="0" tint="-0.34998626667073579"/>
      </left>
      <right style="medium">
        <color theme="4" tint="0.39982299264503923"/>
      </right>
      <top/>
      <bottom/>
      <diagonal/>
    </border>
    <border>
      <left style="medium">
        <color theme="4" tint="0.39982299264503923"/>
      </left>
      <right style="thin">
        <color theme="0" tint="-0.34998626667073579"/>
      </right>
      <top/>
      <bottom/>
      <diagonal/>
    </border>
    <border>
      <left style="thin">
        <color theme="0" tint="-0.34998626667073579"/>
      </left>
      <right style="medium">
        <color theme="4" tint="0.39979247413556324"/>
      </right>
      <top/>
      <bottom/>
      <diagonal/>
    </border>
    <border>
      <left style="medium">
        <color theme="4" tint="0.39979247413556324"/>
      </left>
      <right style="thin">
        <color theme="0" tint="-0.34998626667073579"/>
      </right>
      <top/>
      <bottom/>
      <diagonal/>
    </border>
    <border>
      <left style="thin">
        <color theme="0" tint="-0.34998626667073579"/>
      </left>
      <right style="medium">
        <color theme="4" tint="0.39976195562608724"/>
      </right>
      <top/>
      <bottom/>
      <diagonal/>
    </border>
    <border>
      <left style="medium">
        <color theme="4" tint="0.39976195562608724"/>
      </left>
      <right style="thin">
        <color theme="0" tint="-0.34998626667073579"/>
      </right>
      <top/>
      <bottom/>
      <diagonal/>
    </border>
    <border>
      <left style="thin">
        <color theme="0" tint="-0.34998626667073579"/>
      </left>
      <right style="medium">
        <color theme="4" tint="0.39973143711661124"/>
      </right>
      <top/>
      <bottom/>
      <diagonal/>
    </border>
    <border>
      <left style="medium">
        <color theme="4" tint="0.79995117038483843"/>
      </left>
      <right style="medium">
        <color theme="4" tint="0.79995117038483843"/>
      </right>
      <top style="medium">
        <color theme="4" tint="0.79995117038483843"/>
      </top>
      <bottom style="medium">
        <color theme="4" tint="0.79995117038483843"/>
      </bottom>
      <diagonal/>
    </border>
    <border>
      <left style="medium">
        <color theme="4" tint="0.79995117038483843"/>
      </left>
      <right/>
      <top style="medium">
        <color theme="4" tint="0.79995117038483843"/>
      </top>
      <bottom style="medium">
        <color theme="4" tint="0.79995117038483843"/>
      </bottom>
      <diagonal/>
    </border>
    <border>
      <left/>
      <right/>
      <top style="medium">
        <color theme="4" tint="0.79995117038483843"/>
      </top>
      <bottom style="medium">
        <color theme="4" tint="0.79995117038483843"/>
      </bottom>
      <diagonal/>
    </border>
    <border>
      <left/>
      <right style="medium">
        <color theme="4" tint="0.79995117038483843"/>
      </right>
      <top style="medium">
        <color theme="4" tint="0.79995117038483843"/>
      </top>
      <bottom style="medium">
        <color theme="4" tint="0.79995117038483843"/>
      </bottom>
      <diagonal/>
    </border>
    <border>
      <left style="medium">
        <color theme="4" tint="0.39994506668294322"/>
      </left>
      <right/>
      <top/>
      <bottom/>
      <diagonal/>
    </border>
    <border>
      <left/>
      <right style="medium">
        <color theme="4" tint="0.39994506668294322"/>
      </right>
      <top/>
      <bottom/>
      <diagonal/>
    </border>
  </borders>
  <cellStyleXfs count="44">
    <xf numFmtId="0" fontId="0" fillId="0" borderId="0"/>
    <xf numFmtId="0" fontId="6" fillId="2"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8"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0"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8" fillId="16" borderId="0" applyNumberFormat="0" applyBorder="0" applyAlignment="0" applyProtection="0"/>
    <xf numFmtId="0" fontId="9" fillId="17" borderId="1" applyNumberFormat="0" applyAlignment="0" applyProtection="0"/>
    <xf numFmtId="0" fontId="10" fillId="18" borderId="2" applyNumberFormat="0" applyAlignment="0" applyProtection="0"/>
    <xf numFmtId="0" fontId="11" fillId="0" borderId="0" applyNumberFormat="0" applyFill="0" applyBorder="0" applyAlignment="0" applyProtection="0"/>
    <xf numFmtId="0" fontId="12" fillId="19" borderId="0" applyNumberFormat="0" applyBorder="0" applyAlignment="0" applyProtection="0"/>
    <xf numFmtId="0" fontId="13" fillId="0" borderId="3" applyNumberFormat="0" applyFill="0" applyAlignment="0" applyProtection="0"/>
    <xf numFmtId="0" fontId="14" fillId="0" borderId="4" applyNumberFormat="0" applyFill="0" applyAlignment="0" applyProtection="0"/>
    <xf numFmtId="0" fontId="15" fillId="0" borderId="5" applyNumberFormat="0" applyFill="0" applyAlignment="0" applyProtection="0"/>
    <xf numFmtId="0" fontId="15" fillId="0" borderId="0" applyNumberFormat="0" applyFill="0" applyBorder="0" applyAlignment="0" applyProtection="0"/>
    <xf numFmtId="0" fontId="2" fillId="0" borderId="0" applyNumberFormat="0" applyFill="0" applyBorder="0" applyAlignment="0" applyProtection="0">
      <alignment vertical="top"/>
      <protection locked="0"/>
    </xf>
    <xf numFmtId="0" fontId="16" fillId="11" borderId="1" applyNumberFormat="0" applyAlignment="0" applyProtection="0"/>
    <xf numFmtId="0" fontId="17" fillId="0" borderId="6" applyNumberFormat="0" applyFill="0" applyAlignment="0" applyProtection="0"/>
    <xf numFmtId="0" fontId="18" fillId="5" borderId="0" applyNumberFormat="0" applyBorder="0" applyAlignment="0" applyProtection="0"/>
    <xf numFmtId="0" fontId="4" fillId="5" borderId="7" applyNumberFormat="0" applyFont="0" applyAlignment="0" applyProtection="0"/>
    <xf numFmtId="0" fontId="19" fillId="17" borderId="8" applyNumberFormat="0" applyAlignment="0" applyProtection="0"/>
    <xf numFmtId="9" fontId="1" fillId="0" borderId="0" applyFont="0" applyFill="0" applyBorder="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0" borderId="0" applyNumberFormat="0" applyFill="0" applyBorder="0" applyAlignment="0" applyProtection="0"/>
  </cellStyleXfs>
  <cellXfs count="173">
    <xf numFmtId="0" fontId="0" fillId="0" borderId="0" xfId="0"/>
    <xf numFmtId="0" fontId="1" fillId="0" borderId="0" xfId="0" applyFont="1"/>
    <xf numFmtId="0" fontId="3" fillId="0" borderId="0" xfId="0" applyFont="1" applyAlignment="1">
      <alignment horizontal="right"/>
    </xf>
    <xf numFmtId="0" fontId="5" fillId="0" borderId="0" xfId="0" applyFont="1"/>
    <xf numFmtId="0" fontId="1" fillId="0" borderId="0" xfId="0" applyFont="1" applyAlignment="1">
      <alignment horizontal="left" wrapText="1" indent="1"/>
    </xf>
    <xf numFmtId="0" fontId="3" fillId="0" borderId="0" xfId="0" applyFont="1" applyAlignment="1">
      <alignment wrapText="1"/>
    </xf>
    <xf numFmtId="0" fontId="3" fillId="0" borderId="0" xfId="0" applyFont="1" applyAlignment="1">
      <alignment horizontal="left" vertical="center"/>
    </xf>
    <xf numFmtId="0" fontId="25" fillId="0" borderId="0" xfId="0" applyFont="1"/>
    <xf numFmtId="0" fontId="24" fillId="0" borderId="0" xfId="0" applyFont="1" applyAlignment="1">
      <alignment horizontal="left" vertical="center"/>
    </xf>
    <xf numFmtId="0" fontId="23" fillId="0" borderId="0" xfId="0" applyFont="1" applyAlignment="1">
      <alignment horizontal="left" vertical="center"/>
    </xf>
    <xf numFmtId="0" fontId="32" fillId="0" borderId="0" xfId="0" applyFont="1"/>
    <xf numFmtId="0" fontId="33" fillId="20" borderId="12" xfId="0" applyFont="1" applyFill="1" applyBorder="1" applyAlignment="1">
      <alignment vertical="center"/>
    </xf>
    <xf numFmtId="0" fontId="33" fillId="20" borderId="12" xfId="0" applyFont="1" applyFill="1" applyBorder="1" applyAlignment="1">
      <alignment horizontal="center" vertical="center"/>
    </xf>
    <xf numFmtId="165" fontId="33" fillId="20" borderId="12" xfId="0" applyNumberFormat="1" applyFont="1" applyFill="1" applyBorder="1" applyAlignment="1">
      <alignment horizontal="right" vertical="center"/>
    </xf>
    <xf numFmtId="1" fontId="33" fillId="20" borderId="12" xfId="40" applyNumberFormat="1" applyFont="1" applyFill="1" applyBorder="1" applyAlignment="1" applyProtection="1">
      <alignment horizontal="center" vertical="center"/>
    </xf>
    <xf numFmtId="9" fontId="33" fillId="20" borderId="12" xfId="40" applyFont="1" applyFill="1" applyBorder="1" applyAlignment="1" applyProtection="1">
      <alignment horizontal="center" vertical="center"/>
    </xf>
    <xf numFmtId="0" fontId="33" fillId="20" borderId="10" xfId="0" applyFont="1" applyFill="1" applyBorder="1" applyAlignment="1">
      <alignment vertical="center"/>
    </xf>
    <xf numFmtId="0" fontId="33" fillId="0" borderId="10" xfId="0" applyFont="1" applyBorder="1" applyAlignment="1">
      <alignment horizontal="left" vertical="center"/>
    </xf>
    <xf numFmtId="0" fontId="33" fillId="0" borderId="10" xfId="0" applyFont="1" applyBorder="1" applyAlignment="1">
      <alignment vertical="center"/>
    </xf>
    <xf numFmtId="0" fontId="36" fillId="0" borderId="11" xfId="0" applyFont="1" applyBorder="1" applyAlignment="1">
      <alignment horizontal="center" vertical="center"/>
    </xf>
    <xf numFmtId="0" fontId="33" fillId="0" borderId="10" xfId="0" applyFont="1" applyBorder="1" applyAlignment="1">
      <alignment horizontal="center" vertical="center"/>
    </xf>
    <xf numFmtId="0" fontId="33" fillId="0" borderId="10" xfId="0" applyFont="1" applyBorder="1" applyAlignment="1">
      <alignment horizontal="left" vertical="center" wrapText="1" indent="1"/>
    </xf>
    <xf numFmtId="0" fontId="33" fillId="20" borderId="10" xfId="0" applyFont="1" applyFill="1" applyBorder="1" applyAlignment="1">
      <alignment horizontal="center" vertical="center"/>
    </xf>
    <xf numFmtId="1" fontId="33" fillId="20" borderId="10" xfId="40" applyNumberFormat="1" applyFont="1" applyFill="1" applyBorder="1" applyAlignment="1" applyProtection="1">
      <alignment horizontal="center" vertical="center"/>
    </xf>
    <xf numFmtId="9" fontId="33" fillId="20" borderId="10" xfId="40" applyFont="1" applyFill="1" applyBorder="1" applyAlignment="1" applyProtection="1">
      <alignment horizontal="center" vertical="center"/>
    </xf>
    <xf numFmtId="0" fontId="37" fillId="0" borderId="10" xfId="0" applyFont="1" applyBorder="1" applyAlignment="1">
      <alignment vertical="center"/>
    </xf>
    <xf numFmtId="1" fontId="33" fillId="0" borderId="10" xfId="40" applyNumberFormat="1" applyFont="1" applyFill="1" applyBorder="1" applyAlignment="1" applyProtection="1">
      <alignment horizontal="center" vertical="center"/>
    </xf>
    <xf numFmtId="9" fontId="33" fillId="0" borderId="10" xfId="40" applyFont="1" applyFill="1" applyBorder="1" applyAlignment="1" applyProtection="1">
      <alignment horizontal="center" vertical="center"/>
    </xf>
    <xf numFmtId="0" fontId="33" fillId="0" borderId="0" xfId="0" applyFont="1" applyAlignment="1">
      <alignment vertical="center"/>
    </xf>
    <xf numFmtId="0" fontId="34" fillId="0" borderId="0" xfId="0" applyFont="1" applyAlignment="1">
      <alignment vertical="center"/>
    </xf>
    <xf numFmtId="0" fontId="32" fillId="0" borderId="0" xfId="0" applyFont="1" applyProtection="1">
      <protection locked="0"/>
    </xf>
    <xf numFmtId="0" fontId="40" fillId="24" borderId="0" xfId="0" applyFont="1" applyFill="1" applyAlignment="1" applyProtection="1">
      <alignment vertical="center"/>
      <protection locked="0"/>
    </xf>
    <xf numFmtId="0" fontId="41" fillId="24" borderId="0" xfId="0" applyFont="1" applyFill="1"/>
    <xf numFmtId="0" fontId="42" fillId="24" borderId="0" xfId="0" applyFont="1" applyFill="1" applyAlignment="1">
      <alignment vertical="center"/>
    </xf>
    <xf numFmtId="1" fontId="36" fillId="22" borderId="11" xfId="0" applyNumberFormat="1" applyFont="1" applyFill="1" applyBorder="1" applyAlignment="1">
      <alignment horizontal="center" vertical="center"/>
    </xf>
    <xf numFmtId="9" fontId="36" fillId="22" borderId="11" xfId="40" applyFont="1" applyFill="1" applyBorder="1" applyAlignment="1" applyProtection="1">
      <alignment horizontal="center" vertical="center"/>
    </xf>
    <xf numFmtId="0" fontId="46" fillId="27" borderId="14" xfId="0" applyFont="1" applyFill="1" applyBorder="1" applyAlignment="1">
      <alignment horizontal="center" vertical="center" wrapText="1"/>
    </xf>
    <xf numFmtId="0" fontId="44" fillId="27" borderId="14" xfId="0" applyFont="1" applyFill="1" applyBorder="1" applyAlignment="1">
      <alignment horizontal="left" vertical="center"/>
    </xf>
    <xf numFmtId="0" fontId="44" fillId="27" borderId="14" xfId="0" applyFont="1" applyFill="1" applyBorder="1" applyAlignment="1">
      <alignment horizontal="center" vertical="center" wrapText="1"/>
    </xf>
    <xf numFmtId="0" fontId="44" fillId="27" borderId="14" xfId="0" applyFont="1" applyFill="1" applyBorder="1" applyAlignment="1">
      <alignment horizontal="center" vertical="center"/>
    </xf>
    <xf numFmtId="0" fontId="46" fillId="26" borderId="15" xfId="0" applyFont="1" applyFill="1" applyBorder="1" applyAlignment="1">
      <alignment horizontal="center" vertical="center" shrinkToFit="1"/>
    </xf>
    <xf numFmtId="0" fontId="46" fillId="26" borderId="14" xfId="0" applyFont="1" applyFill="1" applyBorder="1"/>
    <xf numFmtId="0" fontId="46" fillId="23" borderId="14" xfId="0" applyFont="1" applyFill="1" applyBorder="1"/>
    <xf numFmtId="0" fontId="48" fillId="23" borderId="0" xfId="0" applyFont="1" applyFill="1"/>
    <xf numFmtId="166" fontId="45" fillId="23" borderId="13" xfId="0" applyNumberFormat="1" applyFont="1" applyFill="1" applyBorder="1" applyAlignment="1">
      <alignment horizontal="center" vertical="center" shrinkToFit="1"/>
    </xf>
    <xf numFmtId="0" fontId="39" fillId="23" borderId="0" xfId="0" applyFont="1" applyFill="1" applyAlignment="1">
      <alignment vertical="center"/>
    </xf>
    <xf numFmtId="0" fontId="38" fillId="25" borderId="0" xfId="0" applyFont="1" applyFill="1" applyAlignment="1" applyProtection="1">
      <alignment vertical="center"/>
      <protection locked="0"/>
    </xf>
    <xf numFmtId="0" fontId="49" fillId="25" borderId="0" xfId="34" applyNumberFormat="1" applyFont="1" applyFill="1" applyBorder="1" applyAlignment="1" applyProtection="1">
      <alignment horizontal="right" vertical="center"/>
      <protection locked="0"/>
    </xf>
    <xf numFmtId="0" fontId="43" fillId="25" borderId="0" xfId="0" applyFont="1" applyFill="1" applyAlignment="1" applyProtection="1">
      <alignment vertical="center"/>
      <protection locked="0"/>
    </xf>
    <xf numFmtId="0" fontId="31" fillId="25" borderId="0" xfId="0" applyFont="1" applyFill="1" applyAlignment="1">
      <alignment vertical="center"/>
    </xf>
    <xf numFmtId="0" fontId="46" fillId="26" borderId="16" xfId="0" applyFont="1" applyFill="1" applyBorder="1" applyAlignment="1">
      <alignment horizontal="center" vertical="center" shrinkToFit="1"/>
    </xf>
    <xf numFmtId="0" fontId="46" fillId="26" borderId="17" xfId="0" applyFont="1" applyFill="1" applyBorder="1" applyAlignment="1">
      <alignment horizontal="center" vertical="center" shrinkToFit="1"/>
    </xf>
    <xf numFmtId="0" fontId="46" fillId="26" borderId="18" xfId="0" applyFont="1" applyFill="1" applyBorder="1" applyAlignment="1">
      <alignment horizontal="center" vertical="center" shrinkToFit="1"/>
    </xf>
    <xf numFmtId="0" fontId="46" fillId="26" borderId="19" xfId="0" applyFont="1" applyFill="1" applyBorder="1" applyAlignment="1">
      <alignment horizontal="center" vertical="center" shrinkToFit="1"/>
    </xf>
    <xf numFmtId="166" fontId="45" fillId="23" borderId="20" xfId="0" applyNumberFormat="1" applyFont="1" applyFill="1" applyBorder="1" applyAlignment="1">
      <alignment horizontal="center" vertical="center" shrinkToFit="1"/>
    </xf>
    <xf numFmtId="166" fontId="45" fillId="23" borderId="21" xfId="0" applyNumberFormat="1" applyFont="1" applyFill="1" applyBorder="1" applyAlignment="1">
      <alignment horizontal="center" vertical="center" shrinkToFit="1"/>
    </xf>
    <xf numFmtId="166" fontId="45" fillId="23" borderId="22" xfId="0" applyNumberFormat="1" applyFont="1" applyFill="1" applyBorder="1" applyAlignment="1">
      <alignment horizontal="center" vertical="center" shrinkToFit="1"/>
    </xf>
    <xf numFmtId="166" fontId="45" fillId="23" borderId="23" xfId="0" applyNumberFormat="1" applyFont="1" applyFill="1" applyBorder="1" applyAlignment="1">
      <alignment horizontal="center" vertical="center" shrinkToFit="1"/>
    </xf>
    <xf numFmtId="166" fontId="45" fillId="23" borderId="24" xfId="0" applyNumberFormat="1" applyFont="1" applyFill="1" applyBorder="1" applyAlignment="1">
      <alignment horizontal="center" vertical="center" shrinkToFit="1"/>
    </xf>
    <xf numFmtId="166" fontId="45" fillId="23" borderId="25" xfId="0" applyNumberFormat="1" applyFont="1" applyFill="1" applyBorder="1" applyAlignment="1">
      <alignment horizontal="center" vertical="center" shrinkToFit="1"/>
    </xf>
    <xf numFmtId="166" fontId="45" fillId="23" borderId="26" xfId="0" applyNumberFormat="1" applyFont="1" applyFill="1" applyBorder="1" applyAlignment="1">
      <alignment horizontal="center" vertical="center" shrinkToFit="1"/>
    </xf>
    <xf numFmtId="166" fontId="45" fillId="23" borderId="27" xfId="0" applyNumberFormat="1" applyFont="1" applyFill="1" applyBorder="1" applyAlignment="1">
      <alignment horizontal="center" vertical="center" shrinkToFit="1"/>
    </xf>
    <xf numFmtId="166" fontId="45" fillId="23" borderId="28" xfId="0" applyNumberFormat="1" applyFont="1" applyFill="1" applyBorder="1" applyAlignment="1">
      <alignment horizontal="center" vertical="center" shrinkToFit="1"/>
    </xf>
    <xf numFmtId="166" fontId="45" fillId="23" borderId="29" xfId="0" applyNumberFormat="1" applyFont="1" applyFill="1" applyBorder="1" applyAlignment="1">
      <alignment horizontal="center" vertical="center" shrinkToFit="1"/>
    </xf>
    <xf numFmtId="166" fontId="45" fillId="23" borderId="30" xfId="0" applyNumberFormat="1" applyFont="1" applyFill="1" applyBorder="1" applyAlignment="1">
      <alignment horizontal="center" vertical="center" shrinkToFit="1"/>
    </xf>
    <xf numFmtId="166" fontId="45" fillId="23" borderId="31" xfId="0" applyNumberFormat="1" applyFont="1" applyFill="1" applyBorder="1" applyAlignment="1">
      <alignment horizontal="center" vertical="center" shrinkToFit="1"/>
    </xf>
    <xf numFmtId="166" fontId="45" fillId="23" borderId="32" xfId="0" applyNumberFormat="1" applyFont="1" applyFill="1" applyBorder="1" applyAlignment="1">
      <alignment horizontal="center" vertical="center" shrinkToFit="1"/>
    </xf>
    <xf numFmtId="166" fontId="45" fillId="23" borderId="33" xfId="0" applyNumberFormat="1" applyFont="1" applyFill="1" applyBorder="1" applyAlignment="1">
      <alignment horizontal="center" vertical="center" shrinkToFit="1"/>
    </xf>
    <xf numFmtId="166" fontId="45" fillId="23" borderId="34" xfId="0" applyNumberFormat="1" applyFont="1" applyFill="1" applyBorder="1" applyAlignment="1">
      <alignment horizontal="center" vertical="center" shrinkToFit="1"/>
    </xf>
    <xf numFmtId="0" fontId="35" fillId="20" borderId="12" xfId="0" applyFont="1" applyFill="1" applyBorder="1" applyAlignment="1">
      <alignment horizontal="left" vertical="center" indent="1"/>
    </xf>
    <xf numFmtId="0" fontId="35" fillId="20" borderId="10" xfId="0" applyFont="1" applyFill="1" applyBorder="1" applyAlignment="1">
      <alignment horizontal="left" vertical="center" indent="1"/>
    </xf>
    <xf numFmtId="165" fontId="52" fillId="20" borderId="10" xfId="0" applyNumberFormat="1" applyFont="1" applyFill="1" applyBorder="1" applyAlignment="1">
      <alignment horizontal="right" vertical="center"/>
    </xf>
    <xf numFmtId="165" fontId="53" fillId="20" borderId="10" xfId="0" applyNumberFormat="1" applyFont="1" applyFill="1" applyBorder="1" applyAlignment="1">
      <alignment horizontal="right" vertical="center"/>
    </xf>
    <xf numFmtId="0" fontId="44" fillId="27" borderId="14" xfId="0" applyFont="1" applyFill="1" applyBorder="1" applyAlignment="1">
      <alignment horizontal="right" vertical="center" wrapText="1"/>
    </xf>
    <xf numFmtId="165" fontId="53" fillId="21" borderId="11" xfId="0" applyNumberFormat="1" applyFont="1" applyFill="1" applyBorder="1" applyAlignment="1">
      <alignment horizontal="center" vertical="center"/>
    </xf>
    <xf numFmtId="165" fontId="52" fillId="20" borderId="10" xfId="0" applyNumberFormat="1" applyFont="1" applyFill="1" applyBorder="1" applyAlignment="1">
      <alignment horizontal="center" vertical="center"/>
    </xf>
    <xf numFmtId="165" fontId="53" fillId="20" borderId="10" xfId="0" applyNumberFormat="1" applyFont="1" applyFill="1" applyBorder="1" applyAlignment="1">
      <alignment horizontal="center" vertical="center"/>
    </xf>
    <xf numFmtId="0" fontId="54" fillId="0" borderId="10" xfId="0" applyFont="1" applyBorder="1" applyAlignment="1">
      <alignment vertical="center"/>
    </xf>
    <xf numFmtId="165" fontId="55" fillId="0" borderId="11" xfId="0" applyNumberFormat="1" applyFont="1" applyBorder="1" applyAlignment="1">
      <alignment horizontal="center" vertical="center"/>
    </xf>
    <xf numFmtId="0" fontId="55" fillId="0" borderId="10" xfId="0" applyFont="1" applyBorder="1" applyAlignment="1">
      <alignment horizontal="left" vertical="center" wrapText="1" indent="1"/>
    </xf>
    <xf numFmtId="0" fontId="55" fillId="0" borderId="10" xfId="0" applyFont="1" applyBorder="1" applyAlignment="1">
      <alignment vertical="center"/>
    </xf>
    <xf numFmtId="0" fontId="55" fillId="0" borderId="11" xfId="0" applyFont="1" applyBorder="1" applyAlignment="1">
      <alignment horizontal="center" vertical="center"/>
    </xf>
    <xf numFmtId="0" fontId="55" fillId="0" borderId="10" xfId="0" applyFont="1" applyBorder="1" applyAlignment="1">
      <alignment horizontal="left" vertical="center" wrapText="1" indent="2"/>
    </xf>
    <xf numFmtId="0" fontId="50" fillId="20" borderId="12" xfId="0" applyFont="1" applyFill="1" applyBorder="1" applyAlignment="1">
      <alignment horizontal="left" vertical="center"/>
    </xf>
    <xf numFmtId="0" fontId="51" fillId="21" borderId="10" xfId="0" applyFont="1" applyFill="1" applyBorder="1" applyAlignment="1">
      <alignment horizontal="left" vertical="center"/>
    </xf>
    <xf numFmtId="0" fontId="50" fillId="20" borderId="10" xfId="0" applyFont="1" applyFill="1" applyBorder="1" applyAlignment="1">
      <alignment horizontal="left" vertical="center"/>
    </xf>
    <xf numFmtId="1" fontId="56" fillId="20" borderId="12" xfId="0" applyNumberFormat="1" applyFont="1" applyFill="1" applyBorder="1" applyAlignment="1">
      <alignment horizontal="center" vertical="center"/>
    </xf>
    <xf numFmtId="1" fontId="57" fillId="21" borderId="11" xfId="0" applyNumberFormat="1" applyFont="1" applyFill="1" applyBorder="1" applyAlignment="1">
      <alignment horizontal="center" vertical="center"/>
    </xf>
    <xf numFmtId="1" fontId="56" fillId="20" borderId="10" xfId="0" applyNumberFormat="1" applyFont="1" applyFill="1" applyBorder="1" applyAlignment="1">
      <alignment horizontal="center" vertical="center"/>
    </xf>
    <xf numFmtId="1" fontId="56" fillId="0" borderId="10" xfId="0" applyNumberFormat="1" applyFont="1" applyBorder="1" applyAlignment="1">
      <alignment horizontal="center" vertical="center"/>
    </xf>
    <xf numFmtId="0" fontId="58" fillId="23" borderId="0" xfId="0" applyFont="1" applyFill="1"/>
    <xf numFmtId="0" fontId="59" fillId="23" borderId="0" xfId="0" applyFont="1" applyFill="1" applyAlignment="1" applyProtection="1">
      <alignment vertical="center"/>
      <protection locked="0"/>
    </xf>
    <xf numFmtId="0" fontId="60" fillId="23" borderId="0" xfId="34" applyNumberFormat="1" applyFont="1" applyFill="1" applyBorder="1" applyAlignment="1" applyProtection="1">
      <alignment horizontal="right" vertical="center"/>
      <protection locked="0"/>
    </xf>
    <xf numFmtId="0" fontId="61" fillId="23" borderId="0" xfId="0" applyFont="1" applyFill="1" applyAlignment="1" applyProtection="1">
      <alignment vertical="center"/>
      <protection locked="0"/>
    </xf>
    <xf numFmtId="0" fontId="62" fillId="23" borderId="0" xfId="0" applyFont="1" applyFill="1" applyAlignment="1">
      <alignment vertical="center"/>
    </xf>
    <xf numFmtId="0" fontId="63" fillId="20" borderId="10" xfId="0" applyFont="1" applyFill="1" applyBorder="1" applyAlignment="1">
      <alignment horizontal="left" vertical="center" indent="1"/>
    </xf>
    <xf numFmtId="1" fontId="53" fillId="21" borderId="11" xfId="0" applyNumberFormat="1" applyFont="1" applyFill="1" applyBorder="1" applyAlignment="1">
      <alignment horizontal="right" vertical="center" indent="1"/>
    </xf>
    <xf numFmtId="1" fontId="53" fillId="20" borderId="10" xfId="0" applyNumberFormat="1" applyFont="1" applyFill="1" applyBorder="1" applyAlignment="1">
      <alignment horizontal="right" vertical="center" indent="1"/>
    </xf>
    <xf numFmtId="1" fontId="53" fillId="20" borderId="12" xfId="0" applyNumberFormat="1" applyFont="1" applyFill="1" applyBorder="1" applyAlignment="1">
      <alignment horizontal="center" vertical="center"/>
    </xf>
    <xf numFmtId="1" fontId="53" fillId="0" borderId="10" xfId="0" applyNumberFormat="1" applyFont="1" applyBorder="1" applyAlignment="1">
      <alignment horizontal="center" vertical="center"/>
    </xf>
    <xf numFmtId="0" fontId="41" fillId="27" borderId="14" xfId="0" applyFont="1" applyFill="1" applyBorder="1" applyAlignment="1">
      <alignment horizontal="left" vertical="center" indent="1"/>
    </xf>
    <xf numFmtId="0" fontId="36" fillId="0" borderId="0" xfId="0" applyFont="1" applyAlignment="1">
      <alignment vertical="center"/>
    </xf>
    <xf numFmtId="0" fontId="55" fillId="0" borderId="0" xfId="0" applyFont="1" applyAlignment="1">
      <alignment vertical="center"/>
    </xf>
    <xf numFmtId="0" fontId="53" fillId="0" borderId="0" xfId="0" applyFont="1" applyAlignment="1">
      <alignment vertical="center"/>
    </xf>
    <xf numFmtId="0" fontId="56" fillId="0" borderId="0" xfId="0" applyFont="1" applyAlignment="1">
      <alignment vertical="center"/>
    </xf>
    <xf numFmtId="0" fontId="64" fillId="23" borderId="0" xfId="0" applyFont="1" applyFill="1"/>
    <xf numFmtId="0" fontId="65" fillId="23" borderId="0" xfId="0" applyFont="1" applyFill="1" applyAlignment="1">
      <alignment vertical="center"/>
    </xf>
    <xf numFmtId="0" fontId="67" fillId="25" borderId="0" xfId="0" applyFont="1" applyFill="1" applyAlignment="1" applyProtection="1">
      <alignment horizontal="left" vertical="center" indent="1"/>
      <protection locked="0"/>
    </xf>
    <xf numFmtId="0" fontId="66" fillId="23" borderId="0" xfId="0" applyFont="1" applyFill="1" applyAlignment="1">
      <alignment horizontal="right" vertical="center" indent="1"/>
    </xf>
    <xf numFmtId="0" fontId="66" fillId="22" borderId="35" xfId="0" applyFont="1" applyFill="1" applyBorder="1" applyAlignment="1" applyProtection="1">
      <alignment horizontal="center" vertical="center"/>
      <protection locked="0"/>
    </xf>
    <xf numFmtId="0" fontId="68" fillId="23" borderId="39" xfId="0" applyFont="1" applyFill="1" applyBorder="1" applyAlignment="1">
      <alignment vertical="center"/>
    </xf>
    <xf numFmtId="0" fontId="68" fillId="23" borderId="0" xfId="0" applyFont="1" applyFill="1" applyAlignment="1">
      <alignment vertical="center"/>
    </xf>
    <xf numFmtId="0" fontId="68" fillId="23" borderId="40" xfId="0" applyFont="1" applyFill="1" applyBorder="1" applyAlignment="1">
      <alignment vertical="center"/>
    </xf>
    <xf numFmtId="0" fontId="69" fillId="24" borderId="0" xfId="0" applyFont="1" applyFill="1" applyAlignment="1" applyProtection="1">
      <alignment horizontal="left" vertical="center" indent="1"/>
      <protection locked="0"/>
    </xf>
    <xf numFmtId="0" fontId="70" fillId="0" borderId="0" xfId="0" applyFont="1"/>
    <xf numFmtId="0" fontId="71" fillId="0" borderId="0" xfId="0" applyFont="1" applyAlignment="1">
      <alignment horizontal="left" wrapText="1"/>
    </xf>
    <xf numFmtId="0" fontId="71" fillId="0" borderId="0" xfId="0" applyFont="1" applyAlignment="1">
      <alignment wrapText="1"/>
    </xf>
    <xf numFmtId="0" fontId="72" fillId="0" borderId="0" xfId="0" applyFont="1" applyAlignment="1">
      <alignment vertical="center"/>
    </xf>
    <xf numFmtId="0" fontId="71" fillId="0" borderId="0" xfId="0" applyFont="1" applyAlignment="1">
      <alignment vertical="center" wrapText="1"/>
    </xf>
    <xf numFmtId="0" fontId="1" fillId="0" borderId="0" xfId="0" applyFont="1" applyAlignment="1">
      <alignment vertical="center"/>
    </xf>
    <xf numFmtId="0" fontId="72" fillId="0" borderId="0" xfId="0" applyFont="1"/>
    <xf numFmtId="0" fontId="73" fillId="0" borderId="0" xfId="0" applyFont="1" applyAlignment="1">
      <alignment vertical="center" wrapText="1"/>
    </xf>
    <xf numFmtId="0" fontId="75" fillId="0" borderId="0" xfId="0" applyFont="1"/>
    <xf numFmtId="0" fontId="76" fillId="0" borderId="0" xfId="0" applyFont="1" applyAlignment="1">
      <alignment horizontal="right"/>
    </xf>
    <xf numFmtId="0" fontId="71" fillId="0" borderId="0" xfId="0" applyFont="1"/>
    <xf numFmtId="0" fontId="75" fillId="0" borderId="0" xfId="0" applyFont="1" applyAlignment="1">
      <alignment horizontal="right"/>
    </xf>
    <xf numFmtId="0" fontId="78" fillId="0" borderId="0" xfId="0" applyFont="1" applyAlignment="1">
      <alignment vertical="center" wrapText="1"/>
    </xf>
    <xf numFmtId="0" fontId="71" fillId="0" borderId="0" xfId="0" applyFont="1" applyAlignment="1">
      <alignment horizontal="left" vertical="center" wrapText="1"/>
    </xf>
    <xf numFmtId="0" fontId="71" fillId="0" borderId="0" xfId="0" applyFont="1" applyAlignment="1">
      <alignment horizontal="left" indent="1"/>
    </xf>
    <xf numFmtId="0" fontId="78" fillId="0" borderId="0" xfId="0" applyFont="1"/>
    <xf numFmtId="0" fontId="76" fillId="0" borderId="0" xfId="0" applyFont="1" applyAlignment="1">
      <alignment horizontal="left" wrapText="1"/>
    </xf>
    <xf numFmtId="0" fontId="26" fillId="0" borderId="0" xfId="0" quotePrefix="1" applyFont="1" applyAlignment="1">
      <alignment horizontal="left" indent="1"/>
    </xf>
    <xf numFmtId="0" fontId="71" fillId="0" borderId="0" xfId="0" quotePrefix="1" applyFont="1" applyAlignment="1">
      <alignment horizontal="left" wrapText="1" indent="1"/>
    </xf>
    <xf numFmtId="0" fontId="71" fillId="0" borderId="0" xfId="0" quotePrefix="1" applyFont="1" applyAlignment="1">
      <alignment wrapText="1"/>
    </xf>
    <xf numFmtId="0" fontId="41" fillId="24" borderId="0" xfId="0" applyFont="1" applyFill="1" applyAlignment="1">
      <alignment horizontal="center" vertical="center"/>
    </xf>
    <xf numFmtId="0" fontId="2" fillId="0" borderId="0" xfId="34" applyNumberFormat="1" applyFill="1" applyBorder="1" applyAlignment="1" applyProtection="1">
      <alignment vertical="center"/>
    </xf>
    <xf numFmtId="0" fontId="66" fillId="23" borderId="33" xfId="0" applyFont="1" applyFill="1" applyBorder="1" applyAlignment="1">
      <alignment horizontal="center" vertical="center"/>
    </xf>
    <xf numFmtId="0" fontId="66" fillId="23" borderId="13" xfId="0" applyFont="1" applyFill="1" applyBorder="1" applyAlignment="1">
      <alignment horizontal="center" vertical="center"/>
    </xf>
    <xf numFmtId="0" fontId="66" fillId="23" borderId="34" xfId="0" applyFont="1" applyFill="1" applyBorder="1" applyAlignment="1">
      <alignment horizontal="center" vertical="center"/>
    </xf>
    <xf numFmtId="167" fontId="47" fillId="23" borderId="33" xfId="0" applyNumberFormat="1" applyFont="1" applyFill="1" applyBorder="1" applyAlignment="1">
      <alignment horizontal="center" vertical="center"/>
    </xf>
    <xf numFmtId="167" fontId="47" fillId="23" borderId="13" xfId="0" applyNumberFormat="1" applyFont="1" applyFill="1" applyBorder="1" applyAlignment="1">
      <alignment horizontal="center" vertical="center"/>
    </xf>
    <xf numFmtId="167" fontId="47" fillId="23" borderId="34" xfId="0" applyNumberFormat="1" applyFont="1" applyFill="1" applyBorder="1" applyAlignment="1">
      <alignment horizontal="center" vertical="center"/>
    </xf>
    <xf numFmtId="167" fontId="47" fillId="23" borderId="27" xfId="0" applyNumberFormat="1" applyFont="1" applyFill="1" applyBorder="1" applyAlignment="1">
      <alignment horizontal="center" vertical="center"/>
    </xf>
    <xf numFmtId="167" fontId="47" fillId="23" borderId="28" xfId="0" applyNumberFormat="1" applyFont="1" applyFill="1" applyBorder="1" applyAlignment="1">
      <alignment horizontal="center" vertical="center"/>
    </xf>
    <xf numFmtId="0" fontId="66" fillId="23" borderId="29" xfId="0" applyFont="1" applyFill="1" applyBorder="1" applyAlignment="1">
      <alignment horizontal="center" vertical="center"/>
    </xf>
    <xf numFmtId="0" fontId="66" fillId="23" borderId="30" xfId="0" applyFont="1" applyFill="1" applyBorder="1" applyAlignment="1">
      <alignment horizontal="center" vertical="center"/>
    </xf>
    <xf numFmtId="167" fontId="47" fillId="23" borderId="29" xfId="0" applyNumberFormat="1" applyFont="1" applyFill="1" applyBorder="1" applyAlignment="1">
      <alignment horizontal="center" vertical="center"/>
    </xf>
    <xf numFmtId="167" fontId="47" fillId="23" borderId="30" xfId="0" applyNumberFormat="1" applyFont="1" applyFill="1" applyBorder="1" applyAlignment="1">
      <alignment horizontal="center" vertical="center"/>
    </xf>
    <xf numFmtId="0" fontId="66" fillId="23" borderId="27" xfId="0" applyFont="1" applyFill="1" applyBorder="1" applyAlignment="1">
      <alignment horizontal="center" vertical="center"/>
    </xf>
    <xf numFmtId="0" fontId="66" fillId="23" borderId="28" xfId="0" applyFont="1" applyFill="1" applyBorder="1" applyAlignment="1">
      <alignment horizontal="center" vertical="center"/>
    </xf>
    <xf numFmtId="0" fontId="66" fillId="23" borderId="31" xfId="0" applyFont="1" applyFill="1" applyBorder="1" applyAlignment="1">
      <alignment horizontal="center" vertical="center"/>
    </xf>
    <xf numFmtId="0" fontId="66" fillId="23" borderId="32" xfId="0" applyFont="1" applyFill="1" applyBorder="1" applyAlignment="1">
      <alignment horizontal="center" vertical="center"/>
    </xf>
    <xf numFmtId="167" fontId="47" fillId="23" borderId="31" xfId="0" applyNumberFormat="1" applyFont="1" applyFill="1" applyBorder="1" applyAlignment="1">
      <alignment horizontal="center" vertical="center"/>
    </xf>
    <xf numFmtId="167" fontId="47" fillId="23" borderId="32" xfId="0" applyNumberFormat="1" applyFont="1" applyFill="1" applyBorder="1" applyAlignment="1">
      <alignment horizontal="center" vertical="center"/>
    </xf>
    <xf numFmtId="0" fontId="80" fillId="24" borderId="0" xfId="34" applyFont="1" applyFill="1" applyAlignment="1" applyProtection="1">
      <alignment horizontal="left" vertical="center"/>
    </xf>
    <xf numFmtId="0" fontId="66" fillId="23" borderId="25" xfId="0" applyFont="1" applyFill="1" applyBorder="1" applyAlignment="1">
      <alignment horizontal="center" vertical="center"/>
    </xf>
    <xf numFmtId="0" fontId="66" fillId="23" borderId="26" xfId="0" applyFont="1" applyFill="1" applyBorder="1" applyAlignment="1">
      <alignment horizontal="center" vertical="center"/>
    </xf>
    <xf numFmtId="167" fontId="47" fillId="23" borderId="25" xfId="0" applyNumberFormat="1" applyFont="1" applyFill="1" applyBorder="1" applyAlignment="1">
      <alignment horizontal="center" vertical="center"/>
    </xf>
    <xf numFmtId="167" fontId="47" fillId="23" borderId="26" xfId="0" applyNumberFormat="1" applyFont="1" applyFill="1" applyBorder="1" applyAlignment="1">
      <alignment horizontal="center" vertical="center"/>
    </xf>
    <xf numFmtId="0" fontId="66" fillId="23" borderId="20" xfId="0" applyFont="1" applyFill="1" applyBorder="1" applyAlignment="1">
      <alignment horizontal="center" vertical="center"/>
    </xf>
    <xf numFmtId="0" fontId="66" fillId="23" borderId="22" xfId="0" applyFont="1" applyFill="1" applyBorder="1" applyAlignment="1">
      <alignment horizontal="center" vertical="center"/>
    </xf>
    <xf numFmtId="164" fontId="66" fillId="22" borderId="36" xfId="0" applyNumberFormat="1" applyFont="1" applyFill="1" applyBorder="1" applyAlignment="1" applyProtection="1">
      <alignment horizontal="center" vertical="center" shrinkToFit="1"/>
      <protection locked="0"/>
    </xf>
    <xf numFmtId="164" fontId="66" fillId="22" borderId="37" xfId="0" applyNumberFormat="1" applyFont="1" applyFill="1" applyBorder="1" applyAlignment="1" applyProtection="1">
      <alignment horizontal="center" vertical="center" shrinkToFit="1"/>
      <protection locked="0"/>
    </xf>
    <xf numFmtId="164" fontId="66" fillId="22" borderId="38" xfId="0" applyNumberFormat="1" applyFont="1" applyFill="1" applyBorder="1" applyAlignment="1" applyProtection="1">
      <alignment horizontal="center" vertical="center" shrinkToFit="1"/>
      <protection locked="0"/>
    </xf>
    <xf numFmtId="0" fontId="66" fillId="23" borderId="21" xfId="0" applyFont="1" applyFill="1" applyBorder="1" applyAlignment="1">
      <alignment horizontal="center" vertical="center"/>
    </xf>
    <xf numFmtId="167" fontId="47" fillId="23" borderId="20" xfId="0" applyNumberFormat="1" applyFont="1" applyFill="1" applyBorder="1" applyAlignment="1">
      <alignment horizontal="center" vertical="center"/>
    </xf>
    <xf numFmtId="167" fontId="47" fillId="23" borderId="22" xfId="0" applyNumberFormat="1" applyFont="1" applyFill="1" applyBorder="1" applyAlignment="1">
      <alignment horizontal="center" vertical="center"/>
    </xf>
    <xf numFmtId="167" fontId="47" fillId="23" borderId="21" xfId="0" applyNumberFormat="1" applyFont="1" applyFill="1" applyBorder="1" applyAlignment="1">
      <alignment horizontal="center" vertical="center"/>
    </xf>
    <xf numFmtId="0" fontId="66" fillId="23" borderId="23" xfId="0" applyFont="1" applyFill="1" applyBorder="1" applyAlignment="1">
      <alignment horizontal="center" vertical="center"/>
    </xf>
    <xf numFmtId="0" fontId="66" fillId="23" borderId="24" xfId="0" applyFont="1" applyFill="1" applyBorder="1" applyAlignment="1">
      <alignment horizontal="center" vertical="center"/>
    </xf>
    <xf numFmtId="167" fontId="47" fillId="23" borderId="23" xfId="0" applyNumberFormat="1" applyFont="1" applyFill="1" applyBorder="1" applyAlignment="1">
      <alignment horizontal="center" vertical="center"/>
    </xf>
    <xf numFmtId="167" fontId="47" fillId="23" borderId="24" xfId="0" applyNumberFormat="1" applyFont="1" applyFill="1" applyBorder="1" applyAlignment="1">
      <alignment horizontal="center" vertical="center"/>
    </xf>
    <xf numFmtId="0" fontId="70" fillId="0" borderId="0" xfId="0" applyFont="1" applyAlignment="1">
      <alignment horizontal="left"/>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4">
    <dxf>
      <fill>
        <patternFill>
          <bgColor rgb="FF0070C0"/>
        </patternFill>
      </fill>
    </dxf>
    <dxf>
      <fill>
        <patternFill>
          <bgColor theme="0" tint="-0.499984740745262"/>
        </patternFill>
      </fill>
    </dxf>
    <dxf>
      <border>
        <left style="thin">
          <color theme="9" tint="-0.24994659260841701"/>
        </left>
        <right style="thin">
          <color theme="9" tint="-0.24994659260841701"/>
        </right>
        <vertical/>
        <horizontal/>
      </border>
    </dxf>
    <dxf>
      <font>
        <color theme="0"/>
      </font>
      <fill>
        <patternFill>
          <bgColor theme="9" tint="-0.24994659260841701"/>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Scroll" dx="22" fmlaLink="$I$4" horiz="1" max="100" min="1" page="0"/>
</file>

<file path=xl/drawings/drawing1.xml><?xml version="1.0" encoding="utf-8"?>
<xdr:wsDr xmlns:xdr="http://schemas.openxmlformats.org/drawingml/2006/spreadsheetDrawing" xmlns:a="http://schemas.openxmlformats.org/drawingml/2006/main">
  <xdr:twoCellAnchor editAs="absolute">
    <xdr:from>
      <xdr:col>8</xdr:col>
      <xdr:colOff>180975</xdr:colOff>
      <xdr:row>5</xdr:row>
      <xdr:rowOff>104775</xdr:rowOff>
    </xdr:from>
    <xdr:to>
      <xdr:col>29</xdr:col>
      <xdr:colOff>38100</xdr:colOff>
      <xdr:row>9</xdr:row>
      <xdr:rowOff>180975</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10</xdr:col>
          <xdr:colOff>9525</xdr:colOff>
          <xdr:row>1</xdr:row>
          <xdr:rowOff>38100</xdr:rowOff>
        </xdr:from>
        <xdr:to>
          <xdr:col>28</xdr:col>
          <xdr:colOff>95250</xdr:colOff>
          <xdr:row>1</xdr:row>
          <xdr:rowOff>228600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ET46"/>
  <sheetViews>
    <sheetView showGridLines="0" tabSelected="1" zoomScaleNormal="100" workbookViewId="0">
      <pane ySplit="7" topLeftCell="A8" activePane="bottomLeft" state="frozen"/>
      <selection pane="bottomLeft" activeCell="C5" sqref="C5:E5"/>
    </sheetView>
  </sheetViews>
  <sheetFormatPr defaultColWidth="9.140625" defaultRowHeight="12.75" x14ac:dyDescent="0.2"/>
  <cols>
    <col min="1" max="1" width="5.85546875" style="10" customWidth="1"/>
    <col min="2" max="2" width="21.140625" style="10" customWidth="1"/>
    <col min="3" max="3" width="7.85546875" style="10" customWidth="1"/>
    <col min="4" max="4" width="6.85546875" style="10" hidden="1" customWidth="1"/>
    <col min="5" max="6" width="12" style="10" customWidth="1"/>
    <col min="7" max="7" width="6" style="10" customWidth="1"/>
    <col min="8" max="8" width="6.7109375" style="10" customWidth="1"/>
    <col min="9" max="9" width="5.85546875" style="10" customWidth="1"/>
    <col min="10" max="10" width="1.42578125" style="10" customWidth="1"/>
    <col min="11" max="66" width="2.42578125" style="10" customWidth="1"/>
    <col min="67" max="16384" width="9.140625" style="10"/>
  </cols>
  <sheetData>
    <row r="1" spans="1:150" s="32" customFormat="1" ht="33" customHeight="1" x14ac:dyDescent="0.2">
      <c r="A1" s="113" t="s">
        <v>2</v>
      </c>
      <c r="B1" s="31"/>
      <c r="C1" s="31"/>
      <c r="D1" s="31"/>
      <c r="E1" s="31"/>
      <c r="F1" s="31"/>
      <c r="G1" s="134"/>
      <c r="K1" s="33"/>
      <c r="AD1" s="154"/>
      <c r="AE1" s="154"/>
      <c r="AF1" s="154"/>
      <c r="AG1" s="154"/>
      <c r="AH1" s="154"/>
      <c r="AI1" s="154"/>
      <c r="AJ1" s="154"/>
      <c r="AK1" s="154"/>
      <c r="AL1" s="154"/>
      <c r="AM1" s="154"/>
      <c r="AN1" s="154"/>
      <c r="AO1" s="154"/>
      <c r="AP1" s="154"/>
      <c r="AQ1" s="154"/>
      <c r="AR1" s="154"/>
    </row>
    <row r="2" spans="1:150" s="49" customFormat="1" ht="21" customHeight="1" x14ac:dyDescent="0.2">
      <c r="A2" s="107" t="s">
        <v>0</v>
      </c>
      <c r="B2" s="46"/>
      <c r="C2" s="46"/>
      <c r="D2" s="47"/>
      <c r="E2" s="46"/>
      <c r="F2" s="48"/>
    </row>
    <row r="3" spans="1:150" s="94" customFormat="1" ht="6.75" customHeight="1" thickBot="1" x14ac:dyDescent="0.25">
      <c r="A3" s="90"/>
      <c r="B3" s="91"/>
      <c r="C3" s="91"/>
      <c r="D3" s="92"/>
      <c r="E3" s="91"/>
      <c r="F3" s="93"/>
      <c r="K3" s="110"/>
      <c r="L3" s="111"/>
      <c r="M3" s="111"/>
      <c r="N3" s="111"/>
      <c r="O3" s="111"/>
      <c r="P3" s="111"/>
      <c r="Q3" s="112"/>
      <c r="R3" s="110"/>
      <c r="S3" s="111"/>
      <c r="T3" s="111"/>
      <c r="U3" s="111"/>
      <c r="V3" s="111"/>
      <c r="W3" s="111"/>
      <c r="X3" s="112"/>
      <c r="Y3" s="110"/>
      <c r="Z3" s="111"/>
      <c r="AA3" s="111"/>
      <c r="AB3" s="111"/>
      <c r="AC3" s="111"/>
      <c r="AD3" s="111"/>
      <c r="AE3" s="112"/>
      <c r="AF3" s="110"/>
      <c r="AG3" s="111"/>
      <c r="AH3" s="111"/>
      <c r="AI3" s="111"/>
      <c r="AJ3" s="111"/>
      <c r="AK3" s="111"/>
      <c r="AL3" s="112"/>
      <c r="AM3" s="110"/>
      <c r="AN3" s="111"/>
      <c r="AO3" s="111"/>
      <c r="AP3" s="111"/>
      <c r="AQ3" s="111"/>
      <c r="AR3" s="111"/>
      <c r="AS3" s="112"/>
      <c r="AT3" s="110"/>
      <c r="AU3" s="111"/>
      <c r="AV3" s="111"/>
      <c r="AW3" s="111"/>
      <c r="AX3" s="111"/>
      <c r="AY3" s="111"/>
      <c r="AZ3" s="112"/>
      <c r="BA3" s="110"/>
      <c r="BB3" s="111"/>
      <c r="BC3" s="111"/>
      <c r="BD3" s="111"/>
      <c r="BE3" s="111"/>
      <c r="BF3" s="111"/>
      <c r="BG3" s="112"/>
      <c r="BH3" s="110"/>
      <c r="BI3" s="111"/>
      <c r="BJ3" s="111"/>
      <c r="BK3" s="111"/>
      <c r="BL3" s="111"/>
      <c r="BM3" s="111"/>
      <c r="BN3" s="112"/>
    </row>
    <row r="4" spans="1:150" s="105" customFormat="1" ht="19.5" customHeight="1" thickBot="1" x14ac:dyDescent="0.25">
      <c r="B4" s="108" t="s">
        <v>88</v>
      </c>
      <c r="C4" s="161">
        <v>45320</v>
      </c>
      <c r="D4" s="162"/>
      <c r="E4" s="163"/>
      <c r="H4" s="108" t="s">
        <v>36</v>
      </c>
      <c r="I4" s="109">
        <v>1</v>
      </c>
      <c r="K4" s="159" t="str">
        <f>"Week "&amp;(K6-($C$4-WEEKDAY($C$4,1)+2))/7+1</f>
        <v>Week 1</v>
      </c>
      <c r="L4" s="137"/>
      <c r="M4" s="137"/>
      <c r="N4" s="137"/>
      <c r="O4" s="137"/>
      <c r="P4" s="137"/>
      <c r="Q4" s="164"/>
      <c r="R4" s="159" t="str">
        <f>"Week "&amp;(R6-($C$4-WEEKDAY($C$4,1)+2))/7+1</f>
        <v>Week 2</v>
      </c>
      <c r="S4" s="137"/>
      <c r="T4" s="137"/>
      <c r="U4" s="137"/>
      <c r="V4" s="137"/>
      <c r="W4" s="137"/>
      <c r="X4" s="160"/>
      <c r="Y4" s="168" t="str">
        <f>"Week "&amp;(Y6-($C$4-WEEKDAY($C$4,1)+2))/7+1</f>
        <v>Week 3</v>
      </c>
      <c r="Z4" s="137"/>
      <c r="AA4" s="137"/>
      <c r="AB4" s="137"/>
      <c r="AC4" s="137"/>
      <c r="AD4" s="137"/>
      <c r="AE4" s="169"/>
      <c r="AF4" s="155" t="str">
        <f>"Week "&amp;(AF6-($C$4-WEEKDAY($C$4,1)+2))/7+1</f>
        <v>Week 4</v>
      </c>
      <c r="AG4" s="137"/>
      <c r="AH4" s="137"/>
      <c r="AI4" s="137"/>
      <c r="AJ4" s="137"/>
      <c r="AK4" s="137"/>
      <c r="AL4" s="156"/>
      <c r="AM4" s="148" t="str">
        <f>"Week "&amp;(AM6-($C$4-WEEKDAY($C$4,1)+2))/7+1</f>
        <v>Week 5</v>
      </c>
      <c r="AN4" s="137"/>
      <c r="AO4" s="137"/>
      <c r="AP4" s="137"/>
      <c r="AQ4" s="137"/>
      <c r="AR4" s="137"/>
      <c r="AS4" s="149"/>
      <c r="AT4" s="144" t="str">
        <f>"Week "&amp;(AT6-($C$4-WEEKDAY($C$4,1)+2))/7+1</f>
        <v>Week 6</v>
      </c>
      <c r="AU4" s="137"/>
      <c r="AV4" s="137"/>
      <c r="AW4" s="137"/>
      <c r="AX4" s="137"/>
      <c r="AY4" s="137"/>
      <c r="AZ4" s="145"/>
      <c r="BA4" s="150" t="str">
        <f>"Week "&amp;(BA6-($C$4-WEEKDAY($C$4,1)+2))/7+1</f>
        <v>Week 7</v>
      </c>
      <c r="BB4" s="137"/>
      <c r="BC4" s="137"/>
      <c r="BD4" s="137"/>
      <c r="BE4" s="137"/>
      <c r="BF4" s="137"/>
      <c r="BG4" s="151"/>
      <c r="BH4" s="136" t="str">
        <f>"Week "&amp;(BH6-($C$4-WEEKDAY($C$4,1)+2))/7+1</f>
        <v>Week 8</v>
      </c>
      <c r="BI4" s="137"/>
      <c r="BJ4" s="137"/>
      <c r="BK4" s="137"/>
      <c r="BL4" s="137"/>
      <c r="BM4" s="137"/>
      <c r="BN4" s="138"/>
    </row>
    <row r="5" spans="1:150" s="45" customFormat="1" ht="19.5" customHeight="1" thickBot="1" x14ac:dyDescent="0.25">
      <c r="A5" s="106"/>
      <c r="B5" s="108" t="s">
        <v>37</v>
      </c>
      <c r="C5" s="161"/>
      <c r="D5" s="162"/>
      <c r="E5" s="163"/>
      <c r="F5" s="106"/>
      <c r="G5" s="106"/>
      <c r="H5" s="106"/>
      <c r="I5" s="106"/>
      <c r="K5" s="165">
        <f>K6</f>
        <v>45320</v>
      </c>
      <c r="L5" s="140"/>
      <c r="M5" s="140"/>
      <c r="N5" s="140"/>
      <c r="O5" s="140"/>
      <c r="P5" s="140"/>
      <c r="Q5" s="167"/>
      <c r="R5" s="165">
        <f>R6</f>
        <v>45327</v>
      </c>
      <c r="S5" s="140"/>
      <c r="T5" s="140"/>
      <c r="U5" s="140"/>
      <c r="V5" s="140"/>
      <c r="W5" s="140"/>
      <c r="X5" s="166"/>
      <c r="Y5" s="170">
        <f>Y6</f>
        <v>45334</v>
      </c>
      <c r="Z5" s="140"/>
      <c r="AA5" s="140"/>
      <c r="AB5" s="140"/>
      <c r="AC5" s="140"/>
      <c r="AD5" s="140"/>
      <c r="AE5" s="171"/>
      <c r="AF5" s="157">
        <f>AF6</f>
        <v>45341</v>
      </c>
      <c r="AG5" s="140"/>
      <c r="AH5" s="140"/>
      <c r="AI5" s="140"/>
      <c r="AJ5" s="140"/>
      <c r="AK5" s="140"/>
      <c r="AL5" s="158"/>
      <c r="AM5" s="142">
        <f>AM6</f>
        <v>45348</v>
      </c>
      <c r="AN5" s="140"/>
      <c r="AO5" s="140"/>
      <c r="AP5" s="140"/>
      <c r="AQ5" s="140"/>
      <c r="AR5" s="140"/>
      <c r="AS5" s="143"/>
      <c r="AT5" s="146">
        <f>AT6</f>
        <v>45355</v>
      </c>
      <c r="AU5" s="140"/>
      <c r="AV5" s="140"/>
      <c r="AW5" s="140"/>
      <c r="AX5" s="140"/>
      <c r="AY5" s="140"/>
      <c r="AZ5" s="147"/>
      <c r="BA5" s="152">
        <f>BA6</f>
        <v>45362</v>
      </c>
      <c r="BB5" s="140"/>
      <c r="BC5" s="140"/>
      <c r="BD5" s="140"/>
      <c r="BE5" s="140"/>
      <c r="BF5" s="140"/>
      <c r="BG5" s="153"/>
      <c r="BH5" s="139">
        <f>BH6</f>
        <v>45369</v>
      </c>
      <c r="BI5" s="140"/>
      <c r="BJ5" s="140"/>
      <c r="BK5" s="140"/>
      <c r="BL5" s="140"/>
      <c r="BM5" s="140"/>
      <c r="BN5" s="141"/>
    </row>
    <row r="6" spans="1:150" s="43" customFormat="1" ht="14.25" customHeight="1" x14ac:dyDescent="0.2">
      <c r="K6" s="54">
        <f>C4-WEEKDAY(C4,1)+2+7*(I4-1)</f>
        <v>45320</v>
      </c>
      <c r="L6" s="44">
        <f t="shared" ref="L6:AQ6" si="0">K6+1</f>
        <v>45321</v>
      </c>
      <c r="M6" s="44">
        <f t="shared" si="0"/>
        <v>45322</v>
      </c>
      <c r="N6" s="44">
        <f t="shared" si="0"/>
        <v>45323</v>
      </c>
      <c r="O6" s="44">
        <f t="shared" si="0"/>
        <v>45324</v>
      </c>
      <c r="P6" s="44">
        <f t="shared" si="0"/>
        <v>45325</v>
      </c>
      <c r="Q6" s="55">
        <f t="shared" si="0"/>
        <v>45326</v>
      </c>
      <c r="R6" s="54">
        <f t="shared" si="0"/>
        <v>45327</v>
      </c>
      <c r="S6" s="44">
        <f t="shared" si="0"/>
        <v>45328</v>
      </c>
      <c r="T6" s="44">
        <f t="shared" si="0"/>
        <v>45329</v>
      </c>
      <c r="U6" s="44">
        <f t="shared" ref="U6" si="1">T6+1</f>
        <v>45330</v>
      </c>
      <c r="V6" s="44">
        <f t="shared" ref="V6" si="2">U6+1</f>
        <v>45331</v>
      </c>
      <c r="W6" s="44">
        <f t="shared" ref="W6" si="3">V6+1</f>
        <v>45332</v>
      </c>
      <c r="X6" s="56">
        <f t="shared" si="0"/>
        <v>45333</v>
      </c>
      <c r="Y6" s="57">
        <f t="shared" si="0"/>
        <v>45334</v>
      </c>
      <c r="Z6" s="44">
        <f t="shared" si="0"/>
        <v>45335</v>
      </c>
      <c r="AA6" s="44">
        <f t="shared" si="0"/>
        <v>45336</v>
      </c>
      <c r="AB6" s="44">
        <f t="shared" si="0"/>
        <v>45337</v>
      </c>
      <c r="AC6" s="44">
        <f t="shared" si="0"/>
        <v>45338</v>
      </c>
      <c r="AD6" s="44">
        <f t="shared" si="0"/>
        <v>45339</v>
      </c>
      <c r="AE6" s="58">
        <f t="shared" si="0"/>
        <v>45340</v>
      </c>
      <c r="AF6" s="59">
        <f t="shared" si="0"/>
        <v>45341</v>
      </c>
      <c r="AG6" s="44">
        <f t="shared" si="0"/>
        <v>45342</v>
      </c>
      <c r="AH6" s="44">
        <f t="shared" si="0"/>
        <v>45343</v>
      </c>
      <c r="AI6" s="44">
        <f t="shared" si="0"/>
        <v>45344</v>
      </c>
      <c r="AJ6" s="44">
        <f t="shared" si="0"/>
        <v>45345</v>
      </c>
      <c r="AK6" s="44">
        <f t="shared" si="0"/>
        <v>45346</v>
      </c>
      <c r="AL6" s="60">
        <f t="shared" si="0"/>
        <v>45347</v>
      </c>
      <c r="AM6" s="61">
        <f t="shared" si="0"/>
        <v>45348</v>
      </c>
      <c r="AN6" s="44">
        <f t="shared" si="0"/>
        <v>45349</v>
      </c>
      <c r="AO6" s="44">
        <f t="shared" si="0"/>
        <v>45350</v>
      </c>
      <c r="AP6" s="44">
        <f t="shared" si="0"/>
        <v>45351</v>
      </c>
      <c r="AQ6" s="44">
        <f t="shared" si="0"/>
        <v>45352</v>
      </c>
      <c r="AR6" s="44">
        <f t="shared" ref="AR6:BN6" si="4">AQ6+1</f>
        <v>45353</v>
      </c>
      <c r="AS6" s="62">
        <f t="shared" si="4"/>
        <v>45354</v>
      </c>
      <c r="AT6" s="63">
        <f t="shared" si="4"/>
        <v>45355</v>
      </c>
      <c r="AU6" s="44">
        <f t="shared" si="4"/>
        <v>45356</v>
      </c>
      <c r="AV6" s="44">
        <f t="shared" si="4"/>
        <v>45357</v>
      </c>
      <c r="AW6" s="44">
        <f t="shared" si="4"/>
        <v>45358</v>
      </c>
      <c r="AX6" s="44">
        <f t="shared" si="4"/>
        <v>45359</v>
      </c>
      <c r="AY6" s="44">
        <f t="shared" si="4"/>
        <v>45360</v>
      </c>
      <c r="AZ6" s="64">
        <f t="shared" si="4"/>
        <v>45361</v>
      </c>
      <c r="BA6" s="65">
        <f t="shared" si="4"/>
        <v>45362</v>
      </c>
      <c r="BB6" s="44">
        <f t="shared" si="4"/>
        <v>45363</v>
      </c>
      <c r="BC6" s="44">
        <f t="shared" si="4"/>
        <v>45364</v>
      </c>
      <c r="BD6" s="44">
        <f t="shared" si="4"/>
        <v>45365</v>
      </c>
      <c r="BE6" s="44">
        <f t="shared" si="4"/>
        <v>45366</v>
      </c>
      <c r="BF6" s="44">
        <f t="shared" si="4"/>
        <v>45367</v>
      </c>
      <c r="BG6" s="66">
        <f t="shared" si="4"/>
        <v>45368</v>
      </c>
      <c r="BH6" s="67">
        <f t="shared" si="4"/>
        <v>45369</v>
      </c>
      <c r="BI6" s="44">
        <f t="shared" si="4"/>
        <v>45370</v>
      </c>
      <c r="BJ6" s="44">
        <f t="shared" si="4"/>
        <v>45371</v>
      </c>
      <c r="BK6" s="44">
        <f t="shared" si="4"/>
        <v>45372</v>
      </c>
      <c r="BL6" s="44">
        <f t="shared" si="4"/>
        <v>45373</v>
      </c>
      <c r="BM6" s="44">
        <f t="shared" si="4"/>
        <v>45374</v>
      </c>
      <c r="BN6" s="68">
        <f t="shared" si="4"/>
        <v>45375</v>
      </c>
    </row>
    <row r="7" spans="1:150" s="42" customFormat="1" ht="30" customHeight="1" thickBot="1" x14ac:dyDescent="0.25">
      <c r="A7" s="37" t="s">
        <v>1</v>
      </c>
      <c r="B7" s="37" t="s">
        <v>28</v>
      </c>
      <c r="C7" s="38" t="s">
        <v>29</v>
      </c>
      <c r="D7" s="38" t="s">
        <v>35</v>
      </c>
      <c r="E7" s="39" t="s">
        <v>30</v>
      </c>
      <c r="F7" s="39" t="s">
        <v>31</v>
      </c>
      <c r="G7" s="38" t="s">
        <v>32</v>
      </c>
      <c r="H7" s="38" t="s">
        <v>33</v>
      </c>
      <c r="I7" s="73" t="s">
        <v>34</v>
      </c>
      <c r="J7" s="36"/>
      <c r="K7" s="51" t="str">
        <f t="shared" ref="K7:AP7" si="5">CHOOSE(WEEKDAY(K6,1),"S","M","T","W","T","F","S")</f>
        <v>M</v>
      </c>
      <c r="L7" s="40" t="str">
        <f t="shared" si="5"/>
        <v>T</v>
      </c>
      <c r="M7" s="40" t="str">
        <f t="shared" si="5"/>
        <v>W</v>
      </c>
      <c r="N7" s="40" t="str">
        <f t="shared" si="5"/>
        <v>T</v>
      </c>
      <c r="O7" s="40" t="str">
        <f t="shared" si="5"/>
        <v>F</v>
      </c>
      <c r="P7" s="40" t="str">
        <f t="shared" si="5"/>
        <v>S</v>
      </c>
      <c r="Q7" s="52" t="str">
        <f t="shared" si="5"/>
        <v>S</v>
      </c>
      <c r="R7" s="51" t="str">
        <f t="shared" si="5"/>
        <v>M</v>
      </c>
      <c r="S7" s="40" t="str">
        <f t="shared" si="5"/>
        <v>T</v>
      </c>
      <c r="T7" s="40" t="str">
        <f t="shared" si="5"/>
        <v>W</v>
      </c>
      <c r="U7" s="40" t="str">
        <f t="shared" ref="U7:W7" si="6">CHOOSE(WEEKDAY(U6,1),"S","M","T","W","T","F","S")</f>
        <v>T</v>
      </c>
      <c r="V7" s="40" t="str">
        <f t="shared" si="6"/>
        <v>F</v>
      </c>
      <c r="W7" s="40" t="str">
        <f t="shared" si="6"/>
        <v>S</v>
      </c>
      <c r="X7" s="52" t="str">
        <f t="shared" si="5"/>
        <v>S</v>
      </c>
      <c r="Y7" s="50" t="str">
        <f t="shared" si="5"/>
        <v>M</v>
      </c>
      <c r="Z7" s="40" t="str">
        <f t="shared" si="5"/>
        <v>T</v>
      </c>
      <c r="AA7" s="40" t="str">
        <f t="shared" si="5"/>
        <v>W</v>
      </c>
      <c r="AB7" s="40" t="str">
        <f t="shared" si="5"/>
        <v>T</v>
      </c>
      <c r="AC7" s="40" t="str">
        <f t="shared" si="5"/>
        <v>F</v>
      </c>
      <c r="AD7" s="40" t="str">
        <f t="shared" si="5"/>
        <v>S</v>
      </c>
      <c r="AE7" s="53" t="str">
        <f t="shared" si="5"/>
        <v>S</v>
      </c>
      <c r="AF7" s="51" t="str">
        <f t="shared" si="5"/>
        <v>M</v>
      </c>
      <c r="AG7" s="40" t="str">
        <f t="shared" si="5"/>
        <v>T</v>
      </c>
      <c r="AH7" s="40" t="str">
        <f t="shared" si="5"/>
        <v>W</v>
      </c>
      <c r="AI7" s="40" t="str">
        <f t="shared" si="5"/>
        <v>T</v>
      </c>
      <c r="AJ7" s="40" t="str">
        <f t="shared" si="5"/>
        <v>F</v>
      </c>
      <c r="AK7" s="40" t="str">
        <f t="shared" si="5"/>
        <v>S</v>
      </c>
      <c r="AL7" s="52" t="str">
        <f t="shared" si="5"/>
        <v>S</v>
      </c>
      <c r="AM7" s="51" t="str">
        <f t="shared" si="5"/>
        <v>M</v>
      </c>
      <c r="AN7" s="40" t="str">
        <f t="shared" si="5"/>
        <v>T</v>
      </c>
      <c r="AO7" s="40" t="str">
        <f t="shared" si="5"/>
        <v>W</v>
      </c>
      <c r="AP7" s="40" t="str">
        <f t="shared" si="5"/>
        <v>T</v>
      </c>
      <c r="AQ7" s="40" t="str">
        <f t="shared" ref="AQ7:BN7" si="7">CHOOSE(WEEKDAY(AQ6,1),"S","M","T","W","T","F","S")</f>
        <v>F</v>
      </c>
      <c r="AR7" s="40" t="str">
        <f t="shared" si="7"/>
        <v>S</v>
      </c>
      <c r="AS7" s="52" t="str">
        <f t="shared" si="7"/>
        <v>S</v>
      </c>
      <c r="AT7" s="51" t="str">
        <f t="shared" si="7"/>
        <v>M</v>
      </c>
      <c r="AU7" s="40" t="str">
        <f t="shared" si="7"/>
        <v>T</v>
      </c>
      <c r="AV7" s="40" t="str">
        <f t="shared" si="7"/>
        <v>W</v>
      </c>
      <c r="AW7" s="40" t="str">
        <f t="shared" si="7"/>
        <v>T</v>
      </c>
      <c r="AX7" s="40" t="str">
        <f t="shared" si="7"/>
        <v>F</v>
      </c>
      <c r="AY7" s="40" t="str">
        <f t="shared" si="7"/>
        <v>S</v>
      </c>
      <c r="AZ7" s="52" t="str">
        <f t="shared" si="7"/>
        <v>S</v>
      </c>
      <c r="BA7" s="51" t="str">
        <f t="shared" si="7"/>
        <v>M</v>
      </c>
      <c r="BB7" s="40" t="str">
        <f t="shared" si="7"/>
        <v>T</v>
      </c>
      <c r="BC7" s="40" t="str">
        <f t="shared" si="7"/>
        <v>W</v>
      </c>
      <c r="BD7" s="40" t="str">
        <f t="shared" si="7"/>
        <v>T</v>
      </c>
      <c r="BE7" s="40" t="str">
        <f t="shared" si="7"/>
        <v>F</v>
      </c>
      <c r="BF7" s="40" t="str">
        <f t="shared" si="7"/>
        <v>S</v>
      </c>
      <c r="BG7" s="52" t="str">
        <f t="shared" si="7"/>
        <v>S</v>
      </c>
      <c r="BH7" s="51" t="str">
        <f t="shared" si="7"/>
        <v>M</v>
      </c>
      <c r="BI7" s="40" t="str">
        <f t="shared" si="7"/>
        <v>T</v>
      </c>
      <c r="BJ7" s="40" t="str">
        <f t="shared" si="7"/>
        <v>W</v>
      </c>
      <c r="BK7" s="40" t="str">
        <f t="shared" si="7"/>
        <v>T</v>
      </c>
      <c r="BL7" s="40" t="str">
        <f t="shared" si="7"/>
        <v>F</v>
      </c>
      <c r="BM7" s="40" t="str">
        <f t="shared" si="7"/>
        <v>S</v>
      </c>
      <c r="BN7" s="52" t="str">
        <f t="shared" si="7"/>
        <v>S</v>
      </c>
      <c r="BO7" s="41"/>
      <c r="BP7" s="41"/>
      <c r="BQ7" s="41"/>
      <c r="BR7" s="41"/>
      <c r="BS7" s="41"/>
      <c r="BT7" s="41"/>
      <c r="BU7" s="41"/>
      <c r="BV7" s="41"/>
      <c r="BW7" s="41"/>
      <c r="BX7" s="41"/>
      <c r="BY7" s="41"/>
      <c r="BZ7" s="41"/>
      <c r="CA7" s="41"/>
      <c r="CB7" s="41"/>
      <c r="CC7" s="41"/>
      <c r="CD7" s="41"/>
      <c r="CE7" s="41"/>
      <c r="CF7" s="41"/>
      <c r="CG7" s="41"/>
      <c r="CH7" s="41"/>
      <c r="CI7" s="41"/>
      <c r="CJ7" s="41"/>
      <c r="CK7" s="41"/>
      <c r="CL7" s="41"/>
      <c r="CM7" s="41"/>
      <c r="CN7" s="41"/>
      <c r="CO7" s="41"/>
      <c r="CP7" s="41"/>
      <c r="CQ7" s="41"/>
      <c r="CR7" s="41"/>
      <c r="CS7" s="41"/>
      <c r="CT7" s="41"/>
      <c r="CU7" s="41"/>
      <c r="CV7" s="41"/>
      <c r="CW7" s="41"/>
      <c r="CX7" s="41"/>
      <c r="CY7" s="41"/>
      <c r="CZ7" s="41"/>
      <c r="DA7" s="41"/>
      <c r="DB7" s="41"/>
      <c r="DC7" s="41"/>
      <c r="DD7" s="41"/>
      <c r="DE7" s="41"/>
      <c r="DF7" s="41"/>
      <c r="DG7" s="41"/>
      <c r="DH7" s="41"/>
      <c r="DI7" s="41"/>
      <c r="DJ7" s="41"/>
      <c r="DK7" s="41"/>
      <c r="DL7" s="41"/>
      <c r="DM7" s="41"/>
      <c r="DN7" s="41"/>
      <c r="DO7" s="41"/>
      <c r="DP7" s="41"/>
      <c r="DQ7" s="41"/>
      <c r="DR7" s="41"/>
      <c r="DS7" s="41"/>
      <c r="DT7" s="41"/>
      <c r="DU7" s="41"/>
      <c r="DV7" s="41"/>
      <c r="DW7" s="41"/>
      <c r="DX7" s="41"/>
      <c r="DY7" s="41"/>
      <c r="DZ7" s="41"/>
      <c r="EA7" s="41"/>
      <c r="EB7" s="41"/>
      <c r="EC7" s="41"/>
      <c r="ED7" s="41"/>
      <c r="EE7" s="41"/>
      <c r="EF7" s="41"/>
      <c r="EG7" s="41"/>
      <c r="EH7" s="41"/>
      <c r="EI7" s="41"/>
      <c r="EJ7" s="41"/>
      <c r="EK7" s="41"/>
      <c r="EL7" s="41"/>
      <c r="EM7" s="41"/>
      <c r="EN7" s="41"/>
      <c r="EO7" s="41"/>
      <c r="EP7" s="41"/>
      <c r="EQ7" s="41"/>
      <c r="ER7" s="41"/>
      <c r="ES7" s="41"/>
      <c r="ET7" s="41"/>
    </row>
    <row r="8" spans="1:150" s="11" customFormat="1" ht="18.75" thickTop="1" x14ac:dyDescent="0.2">
      <c r="A8" s="83" t="str">
        <f>IF(ISERROR(VALUE(SUBSTITUTE(prevWBS,".",""))),"1",IF(ISERROR(FIND("`",SUBSTITUTE(prevWBS,".","`",1))),TEXT(VALUE(prevWBS)+1,"#"),TEXT(VALUE(LEFT(prevWBS,FIND("`",SUBSTITUTE(prevWBS,".","`",1))-1))+1,"#")))</f>
        <v>1</v>
      </c>
      <c r="B8" s="69" t="s">
        <v>8</v>
      </c>
      <c r="D8" s="12"/>
      <c r="E8" s="13"/>
      <c r="F8" s="13"/>
      <c r="G8" s="14"/>
      <c r="H8" s="15"/>
      <c r="I8" s="98"/>
      <c r="J8" s="86"/>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row>
    <row r="9" spans="1:150" s="18" customFormat="1" ht="18" x14ac:dyDescent="0.2">
      <c r="A9" s="84" t="str">
        <f t="shared" ref="A9:A17" si="8">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79" t="s">
        <v>9</v>
      </c>
      <c r="C9" s="80" t="s">
        <v>10</v>
      </c>
      <c r="D9" s="81"/>
      <c r="E9" s="78">
        <v>43129</v>
      </c>
      <c r="F9" s="74">
        <f t="shared" ref="F9:F17" si="9">IF(ISBLANK(E9)," - ",IF(G9=0,E9,E9+G9-1))</f>
        <v>43133</v>
      </c>
      <c r="G9" s="34">
        <v>5</v>
      </c>
      <c r="H9" s="35">
        <v>1</v>
      </c>
      <c r="I9" s="96">
        <f t="shared" ref="I9:I17" si="10">IF(OR(F9=0,E9=0),0,NETWORKDAYS(E9,F9))</f>
        <v>5</v>
      </c>
      <c r="J9" s="87"/>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row>
    <row r="10" spans="1:150" s="18" customFormat="1" ht="18" x14ac:dyDescent="0.2">
      <c r="A10" s="84" t="str">
        <f t="shared" si="8"/>
        <v>1.2</v>
      </c>
      <c r="B10" s="79" t="s">
        <v>9</v>
      </c>
      <c r="C10" s="80"/>
      <c r="D10" s="81"/>
      <c r="E10" s="78">
        <v>43134</v>
      </c>
      <c r="F10" s="74">
        <f t="shared" si="9"/>
        <v>43138</v>
      </c>
      <c r="G10" s="34">
        <v>5</v>
      </c>
      <c r="H10" s="35">
        <v>0.6</v>
      </c>
      <c r="I10" s="96">
        <f t="shared" si="10"/>
        <v>3</v>
      </c>
      <c r="J10" s="87"/>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row>
    <row r="11" spans="1:150" s="18" customFormat="1" ht="18" x14ac:dyDescent="0.2">
      <c r="A11" s="84" t="str">
        <f t="shared" si="8"/>
        <v>1.3</v>
      </c>
      <c r="B11" s="79" t="s">
        <v>9</v>
      </c>
      <c r="C11" s="80"/>
      <c r="D11" s="81"/>
      <c r="E11" s="78">
        <v>43139</v>
      </c>
      <c r="F11" s="74">
        <f t="shared" si="9"/>
        <v>43142</v>
      </c>
      <c r="G11" s="34">
        <v>4</v>
      </c>
      <c r="H11" s="35">
        <v>0</v>
      </c>
      <c r="I11" s="96">
        <f t="shared" si="10"/>
        <v>2</v>
      </c>
      <c r="J11" s="87"/>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row>
    <row r="12" spans="1:150" s="18" customFormat="1" ht="18" x14ac:dyDescent="0.2">
      <c r="A12" s="84" t="str">
        <f t="shared" si="8"/>
        <v>1.4</v>
      </c>
      <c r="B12" s="79" t="s">
        <v>9</v>
      </c>
      <c r="C12" s="80"/>
      <c r="D12" s="81"/>
      <c r="E12" s="78">
        <v>43132</v>
      </c>
      <c r="F12" s="74">
        <f t="shared" si="9"/>
        <v>43135</v>
      </c>
      <c r="G12" s="34">
        <v>4</v>
      </c>
      <c r="H12" s="35">
        <v>0.75</v>
      </c>
      <c r="I12" s="96">
        <f t="shared" si="10"/>
        <v>2</v>
      </c>
      <c r="J12" s="87"/>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row>
    <row r="13" spans="1:150" s="18" customFormat="1" ht="18" x14ac:dyDescent="0.2">
      <c r="A13" s="84"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1.4.1</v>
      </c>
      <c r="B13" s="82" t="s">
        <v>89</v>
      </c>
      <c r="C13" s="80"/>
      <c r="D13" s="81"/>
      <c r="E13" s="78">
        <v>43133</v>
      </c>
      <c r="F13" s="74">
        <f t="shared" si="9"/>
        <v>43134</v>
      </c>
      <c r="G13" s="34">
        <v>2</v>
      </c>
      <c r="H13" s="35">
        <v>0.5</v>
      </c>
      <c r="I13" s="96">
        <f t="shared" si="10"/>
        <v>1</v>
      </c>
      <c r="J13" s="87"/>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row>
    <row r="14" spans="1:150" s="18" customFormat="1" ht="18" x14ac:dyDescent="0.2">
      <c r="A14" s="84"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1.4.2</v>
      </c>
      <c r="B14" s="82" t="s">
        <v>89</v>
      </c>
      <c r="C14" s="80"/>
      <c r="D14" s="81"/>
      <c r="E14" s="78">
        <v>43135</v>
      </c>
      <c r="F14" s="74">
        <f t="shared" si="9"/>
        <v>43137</v>
      </c>
      <c r="G14" s="34">
        <v>3</v>
      </c>
      <c r="H14" s="35">
        <v>0.5</v>
      </c>
      <c r="I14" s="96">
        <f t="shared" si="10"/>
        <v>2</v>
      </c>
      <c r="J14" s="87"/>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row>
    <row r="15" spans="1:150" s="18" customFormat="1" ht="18" x14ac:dyDescent="0.2">
      <c r="A15" s="84" t="str">
        <f t="shared" si="8"/>
        <v>1.5</v>
      </c>
      <c r="B15" s="79" t="s">
        <v>9</v>
      </c>
      <c r="C15" s="80"/>
      <c r="D15" s="81"/>
      <c r="E15" s="78">
        <v>43136</v>
      </c>
      <c r="F15" s="74">
        <f t="shared" si="9"/>
        <v>43140</v>
      </c>
      <c r="G15" s="34">
        <v>5</v>
      </c>
      <c r="H15" s="35">
        <v>0</v>
      </c>
      <c r="I15" s="96">
        <f t="shared" si="10"/>
        <v>5</v>
      </c>
      <c r="J15" s="87"/>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row>
    <row r="16" spans="1:150" s="18" customFormat="1" ht="18" x14ac:dyDescent="0.2">
      <c r="A16" s="84" t="str">
        <f t="shared" si="8"/>
        <v>1.6</v>
      </c>
      <c r="B16" s="79" t="s">
        <v>9</v>
      </c>
      <c r="C16" s="80"/>
      <c r="D16" s="81"/>
      <c r="E16" s="78">
        <v>43134</v>
      </c>
      <c r="F16" s="74">
        <f t="shared" si="9"/>
        <v>43140</v>
      </c>
      <c r="G16" s="34">
        <v>7</v>
      </c>
      <c r="H16" s="35">
        <v>0</v>
      </c>
      <c r="I16" s="96">
        <f t="shared" si="10"/>
        <v>5</v>
      </c>
      <c r="J16" s="87"/>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row>
    <row r="17" spans="1:66" s="18" customFormat="1" ht="18" x14ac:dyDescent="0.2">
      <c r="A17" s="84" t="str">
        <f t="shared" si="8"/>
        <v>1.7</v>
      </c>
      <c r="B17" s="79" t="s">
        <v>9</v>
      </c>
      <c r="C17" s="80"/>
      <c r="D17" s="81"/>
      <c r="E17" s="78">
        <v>43141</v>
      </c>
      <c r="F17" s="74">
        <f t="shared" si="9"/>
        <v>43147</v>
      </c>
      <c r="G17" s="34">
        <v>7</v>
      </c>
      <c r="H17" s="35">
        <v>0</v>
      </c>
      <c r="I17" s="96">
        <f t="shared" si="10"/>
        <v>5</v>
      </c>
      <c r="J17" s="87"/>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row>
    <row r="18" spans="1:66" s="16" customFormat="1" ht="18" x14ac:dyDescent="0.2">
      <c r="A18" s="85" t="str">
        <f>IF(ISERROR(VALUE(SUBSTITUTE(prevWBS,".",""))),"1",IF(ISERROR(FIND("`",SUBSTITUTE(prevWBS,".","`",1))),TEXT(VALUE(prevWBS)+1,"#"),TEXT(VALUE(LEFT(prevWBS,FIND("`",SUBSTITUTE(prevWBS,".","`",1))-1))+1,"#")))</f>
        <v>2</v>
      </c>
      <c r="B18" s="70" t="s">
        <v>8</v>
      </c>
      <c r="D18" s="22"/>
      <c r="E18" s="71"/>
      <c r="F18" s="72"/>
      <c r="G18" s="23"/>
      <c r="H18" s="24"/>
      <c r="I18" s="97"/>
      <c r="J18" s="88"/>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row>
    <row r="19" spans="1:66" s="18" customFormat="1" ht="18" x14ac:dyDescent="0.2">
      <c r="A19" s="8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9" s="21" t="s">
        <v>9</v>
      </c>
      <c r="D19" s="19"/>
      <c r="E19" s="78">
        <v>43141</v>
      </c>
      <c r="F19" s="74">
        <f t="shared" ref="F19:F23" si="11">IF(ISBLANK(E19)," - ",IF(G19=0,E19,E19+G19-1))</f>
        <v>43144</v>
      </c>
      <c r="G19" s="34">
        <v>4</v>
      </c>
      <c r="H19" s="35">
        <v>0</v>
      </c>
      <c r="I19" s="96">
        <f>IF(OR(F19=0,E19=0),0,NETWORKDAYS(E19,F19))</f>
        <v>2</v>
      </c>
      <c r="J19" s="87"/>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row>
    <row r="20" spans="1:66" s="18" customFormat="1" ht="18" x14ac:dyDescent="0.2">
      <c r="A20" s="8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20" s="21" t="s">
        <v>9</v>
      </c>
      <c r="D20" s="19"/>
      <c r="E20" s="78">
        <v>43145</v>
      </c>
      <c r="F20" s="74">
        <f t="shared" si="11"/>
        <v>43147</v>
      </c>
      <c r="G20" s="34">
        <v>3</v>
      </c>
      <c r="H20" s="35">
        <v>0</v>
      </c>
      <c r="I20" s="96">
        <f>IF(OR(F20=0,E20=0),0,NETWORKDAYS(E20,F20))</f>
        <v>3</v>
      </c>
      <c r="J20" s="87"/>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row>
    <row r="21" spans="1:66" s="18" customFormat="1" ht="18" x14ac:dyDescent="0.2">
      <c r="A21" s="8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21" s="21" t="s">
        <v>9</v>
      </c>
      <c r="D21" s="19"/>
      <c r="E21" s="78">
        <v>43145</v>
      </c>
      <c r="F21" s="74">
        <f t="shared" si="11"/>
        <v>43147</v>
      </c>
      <c r="G21" s="34">
        <v>3</v>
      </c>
      <c r="H21" s="35">
        <v>0</v>
      </c>
      <c r="I21" s="96">
        <f>IF(OR(F21=0,E21=0),0,NETWORKDAYS(E21,F21))</f>
        <v>3</v>
      </c>
      <c r="J21" s="87"/>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row>
    <row r="22" spans="1:66" s="18" customFormat="1" ht="18" x14ac:dyDescent="0.2">
      <c r="A22" s="8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2.4</v>
      </c>
      <c r="B22" s="21" t="s">
        <v>9</v>
      </c>
      <c r="D22" s="19"/>
      <c r="E22" s="78">
        <v>43148</v>
      </c>
      <c r="F22" s="74">
        <f t="shared" si="11"/>
        <v>43153</v>
      </c>
      <c r="G22" s="34">
        <v>6</v>
      </c>
      <c r="H22" s="35">
        <v>0</v>
      </c>
      <c r="I22" s="96">
        <f>IF(OR(F22=0,E22=0),0,NETWORKDAYS(E22,F22))</f>
        <v>4</v>
      </c>
      <c r="J22" s="87"/>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row>
    <row r="23" spans="1:66" s="18" customFormat="1" ht="18" x14ac:dyDescent="0.2">
      <c r="A23" s="8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2.5</v>
      </c>
      <c r="B23" s="21" t="s">
        <v>9</v>
      </c>
      <c r="D23" s="19"/>
      <c r="E23" s="78">
        <v>43154</v>
      </c>
      <c r="F23" s="74">
        <f t="shared" si="11"/>
        <v>43156</v>
      </c>
      <c r="G23" s="34">
        <v>3</v>
      </c>
      <c r="H23" s="35">
        <v>0</v>
      </c>
      <c r="I23" s="96">
        <f>IF(OR(F23=0,E23=0),0,NETWORKDAYS(E23,F23))</f>
        <v>1</v>
      </c>
      <c r="J23" s="87"/>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row>
    <row r="24" spans="1:66" s="16" customFormat="1" ht="18" x14ac:dyDescent="0.2">
      <c r="A24" s="85" t="str">
        <f>IF(ISERROR(VALUE(SUBSTITUTE(prevWBS,".",""))),"1",IF(ISERROR(FIND("`",SUBSTITUTE(prevWBS,".","`",1))),TEXT(VALUE(prevWBS)+1,"#"),TEXT(VALUE(LEFT(prevWBS,FIND("`",SUBSTITUTE(prevWBS,".","`",1))-1))+1,"#")))</f>
        <v>3</v>
      </c>
      <c r="B24" s="70" t="s">
        <v>8</v>
      </c>
      <c r="D24" s="22"/>
      <c r="E24" s="75"/>
      <c r="F24" s="76"/>
      <c r="G24" s="23"/>
      <c r="H24" s="24"/>
      <c r="I24" s="97"/>
      <c r="J24" s="88"/>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row>
    <row r="25" spans="1:66" s="18" customFormat="1" ht="18" x14ac:dyDescent="0.2">
      <c r="A25" s="8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25" s="21" t="s">
        <v>9</v>
      </c>
      <c r="D25" s="19"/>
      <c r="E25" s="78">
        <v>43141</v>
      </c>
      <c r="F25" s="74">
        <f t="shared" ref="F25:F29" si="12">IF(ISBLANK(E25)," - ",IF(G25=0,E25,E25+G25-1))</f>
        <v>43144</v>
      </c>
      <c r="G25" s="34">
        <v>4</v>
      </c>
      <c r="H25" s="35">
        <v>0</v>
      </c>
      <c r="I25" s="96">
        <f>IF(OR(F25=0,E25=0),0,NETWORKDAYS(E25,F25))</f>
        <v>2</v>
      </c>
      <c r="J25" s="87"/>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row>
    <row r="26" spans="1:66" s="18" customFormat="1" ht="18" x14ac:dyDescent="0.2">
      <c r="A26" s="8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26" s="21" t="s">
        <v>9</v>
      </c>
      <c r="D26" s="19"/>
      <c r="E26" s="78">
        <v>43145</v>
      </c>
      <c r="F26" s="74">
        <f t="shared" si="12"/>
        <v>43147</v>
      </c>
      <c r="G26" s="34">
        <v>3</v>
      </c>
      <c r="H26" s="35">
        <v>0</v>
      </c>
      <c r="I26" s="96">
        <f>IF(OR(F26=0,E26=0),0,NETWORKDAYS(E26,F26))</f>
        <v>3</v>
      </c>
      <c r="J26" s="87"/>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row>
    <row r="27" spans="1:66" s="18" customFormat="1" ht="18" x14ac:dyDescent="0.2">
      <c r="A27" s="8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v>
      </c>
      <c r="B27" s="21" t="s">
        <v>9</v>
      </c>
      <c r="D27" s="19"/>
      <c r="E27" s="78">
        <v>43145</v>
      </c>
      <c r="F27" s="74">
        <f t="shared" si="12"/>
        <v>43147</v>
      </c>
      <c r="G27" s="34">
        <v>3</v>
      </c>
      <c r="H27" s="35">
        <v>0</v>
      </c>
      <c r="I27" s="96">
        <f>IF(OR(F27=0,E27=0),0,NETWORKDAYS(E27,F27))</f>
        <v>3</v>
      </c>
      <c r="J27" s="87"/>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row>
    <row r="28" spans="1:66" s="18" customFormat="1" ht="18" x14ac:dyDescent="0.2">
      <c r="A28" s="8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3.4</v>
      </c>
      <c r="B28" s="21" t="s">
        <v>9</v>
      </c>
      <c r="D28" s="19"/>
      <c r="E28" s="78">
        <v>43148</v>
      </c>
      <c r="F28" s="74">
        <f t="shared" si="12"/>
        <v>43153</v>
      </c>
      <c r="G28" s="34">
        <v>6</v>
      </c>
      <c r="H28" s="35">
        <v>0</v>
      </c>
      <c r="I28" s="96">
        <f>IF(OR(F28=0,E28=0),0,NETWORKDAYS(E28,F28))</f>
        <v>4</v>
      </c>
      <c r="J28" s="87"/>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row>
    <row r="29" spans="1:66" s="18" customFormat="1" ht="18" x14ac:dyDescent="0.2">
      <c r="A29" s="8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3.5</v>
      </c>
      <c r="B29" s="21" t="s">
        <v>9</v>
      </c>
      <c r="D29" s="19"/>
      <c r="E29" s="78">
        <v>43154</v>
      </c>
      <c r="F29" s="74">
        <f t="shared" si="12"/>
        <v>43156</v>
      </c>
      <c r="G29" s="34">
        <v>3</v>
      </c>
      <c r="H29" s="35">
        <v>0</v>
      </c>
      <c r="I29" s="96">
        <f>IF(OR(F29=0,E29=0),0,NETWORKDAYS(E29,F29))</f>
        <v>1</v>
      </c>
      <c r="J29" s="87"/>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row>
    <row r="30" spans="1:66" s="16" customFormat="1" ht="18" x14ac:dyDescent="0.2">
      <c r="A30" s="85" t="str">
        <f>IF(ISERROR(VALUE(SUBSTITUTE(prevWBS,".",""))),"1",IF(ISERROR(FIND("`",SUBSTITUTE(prevWBS,".","`",1))),TEXT(VALUE(prevWBS)+1,"#"),TEXT(VALUE(LEFT(prevWBS,FIND("`",SUBSTITUTE(prevWBS,".","`",1))-1))+1,"#")))</f>
        <v>4</v>
      </c>
      <c r="B30" s="70" t="s">
        <v>8</v>
      </c>
      <c r="D30" s="22"/>
      <c r="E30" s="75"/>
      <c r="F30" s="76"/>
      <c r="G30" s="23"/>
      <c r="H30" s="24"/>
      <c r="I30" s="97"/>
      <c r="J30" s="88"/>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row>
    <row r="31" spans="1:66" s="18" customFormat="1" ht="18" x14ac:dyDescent="0.2">
      <c r="A31" s="8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31" s="21" t="s">
        <v>9</v>
      </c>
      <c r="D31" s="19"/>
      <c r="E31" s="78">
        <v>43129</v>
      </c>
      <c r="F31" s="74">
        <f t="shared" ref="F31:F35" si="13">IF(ISBLANK(E31)," - ",IF(G31=0,E31,E31+G31-1))</f>
        <v>43129</v>
      </c>
      <c r="G31" s="34">
        <v>1</v>
      </c>
      <c r="H31" s="35">
        <v>0</v>
      </c>
      <c r="I31" s="96">
        <f>IF(OR(F31=0,E31=0),0,NETWORKDAYS(E31,F31))</f>
        <v>1</v>
      </c>
      <c r="J31" s="87"/>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row>
    <row r="32" spans="1:66" s="18" customFormat="1" ht="18" x14ac:dyDescent="0.2">
      <c r="A32" s="8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32" s="21" t="s">
        <v>9</v>
      </c>
      <c r="D32" s="19"/>
      <c r="E32" s="78">
        <v>43130</v>
      </c>
      <c r="F32" s="74">
        <f t="shared" si="13"/>
        <v>43130</v>
      </c>
      <c r="G32" s="34">
        <v>1</v>
      </c>
      <c r="H32" s="35">
        <v>0</v>
      </c>
      <c r="I32" s="96">
        <f>IF(OR(F32=0,E32=0),0,NETWORKDAYS(E32,F32))</f>
        <v>1</v>
      </c>
      <c r="J32" s="87"/>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row>
    <row r="33" spans="1:66" s="18" customFormat="1" ht="18" x14ac:dyDescent="0.2">
      <c r="A33" s="8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33" s="21" t="s">
        <v>9</v>
      </c>
      <c r="D33" s="19"/>
      <c r="E33" s="78">
        <v>43131</v>
      </c>
      <c r="F33" s="74">
        <f t="shared" si="13"/>
        <v>43131</v>
      </c>
      <c r="G33" s="34">
        <v>1</v>
      </c>
      <c r="H33" s="35">
        <v>0</v>
      </c>
      <c r="I33" s="96">
        <f>IF(OR(F33=0,E33=0),0,NETWORKDAYS(E33,F33))</f>
        <v>1</v>
      </c>
      <c r="J33" s="87"/>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row>
    <row r="34" spans="1:66" s="18" customFormat="1" ht="18" x14ac:dyDescent="0.2">
      <c r="A34" s="8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4.4</v>
      </c>
      <c r="B34" s="21" t="s">
        <v>9</v>
      </c>
      <c r="D34" s="19"/>
      <c r="E34" s="78">
        <v>43132</v>
      </c>
      <c r="F34" s="74">
        <f t="shared" si="13"/>
        <v>43132</v>
      </c>
      <c r="G34" s="34">
        <v>1</v>
      </c>
      <c r="H34" s="35">
        <v>0</v>
      </c>
      <c r="I34" s="96">
        <f>IF(OR(F34=0,E34=0),0,NETWORKDAYS(E34,F34))</f>
        <v>1</v>
      </c>
      <c r="J34" s="87"/>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row>
    <row r="35" spans="1:66" s="18" customFormat="1" ht="18" x14ac:dyDescent="0.2">
      <c r="A35" s="8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4.5</v>
      </c>
      <c r="B35" s="21" t="s">
        <v>9</v>
      </c>
      <c r="D35" s="19"/>
      <c r="E35" s="78">
        <v>43133</v>
      </c>
      <c r="F35" s="74">
        <f t="shared" si="13"/>
        <v>43133</v>
      </c>
      <c r="G35" s="34">
        <v>1</v>
      </c>
      <c r="H35" s="35">
        <v>0</v>
      </c>
      <c r="I35" s="96">
        <f>IF(OR(F35=0,E35=0),0,NETWORKDAYS(E35,F35))</f>
        <v>1</v>
      </c>
      <c r="J35" s="87"/>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row>
    <row r="36" spans="1:66" s="28" customFormat="1" ht="18" x14ac:dyDescent="0.2">
      <c r="A36" s="17"/>
      <c r="B36" s="25"/>
      <c r="C36" s="25"/>
      <c r="D36" s="20"/>
      <c r="E36" s="77"/>
      <c r="F36" s="77"/>
      <c r="G36" s="26"/>
      <c r="H36" s="27"/>
      <c r="I36" s="99"/>
      <c r="J36" s="89"/>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row>
    <row r="37" spans="1:66" s="28" customFormat="1" ht="18" x14ac:dyDescent="0.2">
      <c r="A37" s="17"/>
      <c r="B37" s="25"/>
      <c r="C37" s="25"/>
      <c r="D37" s="20"/>
      <c r="E37" s="77"/>
      <c r="F37" s="77"/>
      <c r="G37" s="26"/>
      <c r="H37" s="27"/>
      <c r="I37" s="99"/>
      <c r="J37" s="89"/>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row>
    <row r="38" spans="1:66" s="29" customFormat="1" ht="27" customHeight="1" thickBot="1" x14ac:dyDescent="0.25">
      <c r="A38" s="100" t="s">
        <v>3</v>
      </c>
      <c r="B38" s="37"/>
      <c r="C38" s="37"/>
      <c r="D38" s="37"/>
      <c r="E38" s="37"/>
      <c r="F38" s="37"/>
      <c r="G38" s="37"/>
      <c r="H38" s="37"/>
      <c r="I38" s="37"/>
      <c r="J38" s="37"/>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row>
    <row r="39" spans="1:66" s="28" customFormat="1" ht="18.75" thickTop="1" x14ac:dyDescent="0.2">
      <c r="A39" s="101" t="s">
        <v>38</v>
      </c>
      <c r="E39" s="102"/>
      <c r="F39" s="102"/>
      <c r="I39" s="103"/>
      <c r="J39" s="104"/>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row>
    <row r="40" spans="1:66" s="28" customFormat="1" ht="18" x14ac:dyDescent="0.2">
      <c r="A40" s="85" t="str">
        <f>IF(ISERROR(VALUE(SUBSTITUTE(prevWBS,".",""))),"1",IF(ISERROR(FIND("`",SUBSTITUTE(prevWBS,".","`",1))),TEXT(VALUE(prevWBS)+1,"#"),TEXT(VALUE(LEFT(prevWBS,FIND("`",SUBSTITUTE(prevWBS,".","`",1))-1))+1,"#")))</f>
        <v>1</v>
      </c>
      <c r="B40" s="95" t="s">
        <v>24</v>
      </c>
      <c r="C40" s="16"/>
      <c r="D40" s="22"/>
      <c r="E40" s="75"/>
      <c r="F40" s="76"/>
      <c r="G40" s="23"/>
      <c r="H40" s="24"/>
      <c r="I40" s="97"/>
      <c r="J40" s="88"/>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row>
    <row r="41" spans="1:66" s="28" customFormat="1" ht="18" x14ac:dyDescent="0.2">
      <c r="A41" s="8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41" s="21" t="s">
        <v>25</v>
      </c>
      <c r="C41" s="18"/>
      <c r="D41" s="19"/>
      <c r="E41" s="78"/>
      <c r="F41" s="74" t="str">
        <f>IF(ISBLANK(E41)," - ",IF(G41=0,E41,E41+G41-1))</f>
        <v xml:space="preserve"> - </v>
      </c>
      <c r="G41" s="34"/>
      <c r="H41" s="35">
        <v>0</v>
      </c>
      <c r="I41" s="96">
        <f>IF(OR(F41=0,E41=0),0,NETWORKDAYS(E41,F41))</f>
        <v>0</v>
      </c>
      <c r="J41" s="87"/>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row>
    <row r="42" spans="1:66" s="28" customFormat="1" ht="18" x14ac:dyDescent="0.2">
      <c r="A42" s="84"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1.1.1</v>
      </c>
      <c r="B42" s="21" t="s">
        <v>26</v>
      </c>
      <c r="C42" s="18"/>
      <c r="D42" s="19"/>
      <c r="E42" s="78"/>
      <c r="F42" s="74" t="str">
        <f t="shared" ref="F42:F43" si="14">IF(ISBLANK(E42)," - ",IF(G42=0,E42,E42+G42-1))</f>
        <v xml:space="preserve"> - </v>
      </c>
      <c r="G42" s="34"/>
      <c r="H42" s="35">
        <v>0</v>
      </c>
      <c r="I42" s="96">
        <f t="shared" ref="I42:I43" si="15">IF(OR(F42=0,E42=0),0,NETWORKDAYS(E42,F42))</f>
        <v>0</v>
      </c>
      <c r="J42" s="87"/>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row>
    <row r="43" spans="1:66" s="28" customFormat="1" ht="18" x14ac:dyDescent="0.2">
      <c r="A43" s="84" t="str">
        <f>IF(ISERROR(VALUE(SUBSTITUTE(prevWBS,".",""))),"0.0.0.1",IF(ISERROR(FIND("`",SUBSTITUTE(prevWBS,".","`",3))),prevWBS&amp;".1",LEFT(prevWBS,FIND("`",SUBSTITUTE(prevWBS,".","`",3)))&amp;IF(ISERROR(FIND("`",SUBSTITUTE(prevWBS,".","`",4))),VALUE(RIGHT(prevWBS,LEN(prevWBS)-FIND("`",SUBSTITUTE(prevWBS,".","`",3))))+1,VALUE(MID(prevWBS,FIND("`",SUBSTITUTE(prevWBS,".","`",3))+1,(FIND("`",SUBSTITUTE(prevWBS,".","`",4))-FIND("`",SUBSTITUTE(prevWBS,".","`",3))-1)))+1)))</f>
        <v>1.1.1.1</v>
      </c>
      <c r="B43" s="21" t="s">
        <v>27</v>
      </c>
      <c r="C43" s="18"/>
      <c r="D43" s="19"/>
      <c r="E43" s="78"/>
      <c r="F43" s="74" t="str">
        <f t="shared" si="14"/>
        <v xml:space="preserve"> - </v>
      </c>
      <c r="G43" s="34"/>
      <c r="H43" s="35">
        <v>0</v>
      </c>
      <c r="I43" s="96">
        <f t="shared" si="15"/>
        <v>0</v>
      </c>
      <c r="J43" s="87"/>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row>
    <row r="44" spans="1:66" s="30" customFormat="1" ht="19.5" customHeight="1" x14ac:dyDescent="0.2">
      <c r="A44" s="135"/>
    </row>
    <row r="45" spans="1:66" ht="19.5" customHeight="1" x14ac:dyDescent="0.2"/>
    <row r="46" spans="1:66" ht="19.5" customHeight="1" x14ac:dyDescent="0.2"/>
  </sheetData>
  <sheetProtection formatCells="0" formatColumns="0" formatRows="0" insertRows="0" deleteRows="0"/>
  <mergeCells count="19">
    <mergeCell ref="AD1:AR1"/>
    <mergeCell ref="AF4:AL4"/>
    <mergeCell ref="AF5:AL5"/>
    <mergeCell ref="R4:X4"/>
    <mergeCell ref="C5:E5"/>
    <mergeCell ref="K4:Q4"/>
    <mergeCell ref="C4:E4"/>
    <mergeCell ref="R5:X5"/>
    <mergeCell ref="K5:Q5"/>
    <mergeCell ref="Y4:AE4"/>
    <mergeCell ref="Y5:AE5"/>
    <mergeCell ref="BH4:BN4"/>
    <mergeCell ref="BH5:BN5"/>
    <mergeCell ref="AM5:AS5"/>
    <mergeCell ref="AT4:AZ4"/>
    <mergeCell ref="AT5:AZ5"/>
    <mergeCell ref="AM4:AS4"/>
    <mergeCell ref="BA4:BG4"/>
    <mergeCell ref="BA5:BG5"/>
  </mergeCells>
  <phoneticPr fontId="3" type="noConversion"/>
  <conditionalFormatting sqref="H8:H37 H39:H43">
    <cfRule type="dataBar" priority="9">
      <dataBar>
        <cfvo type="num" val="0"/>
        <cfvo type="num" val="1"/>
        <color theme="0" tint="-0.249977111117893"/>
      </dataBar>
      <extLst>
        <ext xmlns:x14="http://schemas.microsoft.com/office/spreadsheetml/2009/9/main" uri="{B025F937-C7B1-47D3-B67F-A62EFF666E3E}">
          <x14:id>{0A58A75E-4698-465A-8593-F06B91A3A900}</x14:id>
        </ext>
      </extLst>
    </cfRule>
  </conditionalFormatting>
  <conditionalFormatting sqref="K6:BM7">
    <cfRule type="expression" dxfId="3" priority="46">
      <formula>K$6=TODAY()</formula>
    </cfRule>
  </conditionalFormatting>
  <conditionalFormatting sqref="K6:BN43">
    <cfRule type="expression" dxfId="2" priority="3">
      <formula>K$6=TODAY()</formula>
    </cfRule>
  </conditionalFormatting>
  <conditionalFormatting sqref="K8:BN43">
    <cfRule type="expression" dxfId="1" priority="49">
      <formula>AND($E8&lt;=K$6,ROUNDDOWN(($F8-$E8+1)*$H8,0)+$E8-1&gt;=K$6)</formula>
    </cfRule>
    <cfRule type="expression" dxfId="0" priority="50">
      <formula>AND(NOT(ISBLANK($E8)),$E8&lt;=K$6,$F8&gt;=K$6)</formula>
    </cfRule>
  </conditionalFormatting>
  <dataValidations count="1">
    <dataValidation allowBlank="1" showInputMessage="1" showErrorMessage="1" promptTitle="Display Week" prompt="Enter the week number to display first in the Gantt Chart. The weeks are numbered starting from the week containing the Start Date." sqref="I4" xr:uid="{00000000-0002-0000-0000-000000000000}"/>
  </dataValidations>
  <pageMargins left="0.25" right="0.25" top="0.5" bottom="0.5" header="0.5" footer="0.25"/>
  <pageSetup scale="61" fitToHeight="0" orientation="landscape" r:id="rId1"/>
  <headerFooter alignWithMargins="0"/>
  <ignoredErrors>
    <ignoredError sqref="H9:I9 A36:B37 B31 B32:B34 B25:B28 B19:B22 H13:I13 H14:I14 B39 B38 F18 F24 F30 E36:I39 I19 I16 I15 I11 I12 I10 E42:E43 E40:I40 H31:I34 H25:I28 H20:I22 H18:I18 H24:I24 H30:I30" unlockedFormula="1"/>
    <ignoredError sqref="A30 A24 A18"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10</xdr:col>
                    <xdr:colOff>9525</xdr:colOff>
                    <xdr:row>1</xdr:row>
                    <xdr:rowOff>38100</xdr:rowOff>
                  </from>
                  <to>
                    <xdr:col>28</xdr:col>
                    <xdr:colOff>95250</xdr:colOff>
                    <xdr:row>1</xdr:row>
                    <xdr:rowOff>228600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H8:H37 H39:H43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D85"/>
  <sheetViews>
    <sheetView showGridLines="0" topLeftCell="A76" workbookViewId="0">
      <selection activeCell="A85" sqref="A85"/>
    </sheetView>
  </sheetViews>
  <sheetFormatPr defaultColWidth="8.85546875" defaultRowHeight="12.75" x14ac:dyDescent="0.2"/>
  <cols>
    <col min="1" max="1" width="5.5703125" style="1" customWidth="1"/>
    <col min="2" max="2" width="90.42578125" style="1" customWidth="1"/>
    <col min="3" max="3" width="16.42578125" style="1" bestFit="1" customWidth="1"/>
    <col min="4" max="16384" width="8.85546875" style="1"/>
  </cols>
  <sheetData>
    <row r="1" spans="1:4" ht="30" customHeight="1" x14ac:dyDescent="0.2">
      <c r="A1" s="8" t="s">
        <v>39</v>
      </c>
      <c r="B1" s="9"/>
    </row>
    <row r="2" spans="1:4" x14ac:dyDescent="0.2">
      <c r="B2" s="2"/>
    </row>
    <row r="3" spans="1:4" ht="18" x14ac:dyDescent="0.25">
      <c r="A3" s="114" t="s">
        <v>40</v>
      </c>
      <c r="B3" s="7"/>
    </row>
    <row r="4" spans="1:4" ht="57" x14ac:dyDescent="0.2">
      <c r="B4" s="115" t="s">
        <v>41</v>
      </c>
    </row>
    <row r="7" spans="1:4" ht="18" x14ac:dyDescent="0.25">
      <c r="A7" s="172" t="s">
        <v>4</v>
      </c>
      <c r="B7" s="172"/>
    </row>
    <row r="9" spans="1:4" ht="18" x14ac:dyDescent="0.2">
      <c r="A9" s="117"/>
      <c r="B9" s="118" t="s">
        <v>42</v>
      </c>
      <c r="C9" s="119"/>
      <c r="D9" s="119"/>
    </row>
    <row r="10" spans="1:4" ht="18" x14ac:dyDescent="0.2">
      <c r="A10" s="117"/>
      <c r="B10" s="118" t="s">
        <v>43</v>
      </c>
      <c r="C10" s="119"/>
      <c r="D10" s="119"/>
    </row>
    <row r="11" spans="1:4" ht="18" x14ac:dyDescent="0.25">
      <c r="A11" s="120"/>
      <c r="B11" s="118" t="s">
        <v>44</v>
      </c>
    </row>
    <row r="12" spans="1:4" ht="18" x14ac:dyDescent="0.25">
      <c r="A12" s="120"/>
      <c r="B12" s="118" t="s">
        <v>45</v>
      </c>
    </row>
    <row r="13" spans="1:4" ht="28.5" x14ac:dyDescent="0.25">
      <c r="A13" s="120"/>
      <c r="B13" s="118" t="s">
        <v>90</v>
      </c>
    </row>
    <row r="14" spans="1:4" ht="18" x14ac:dyDescent="0.25">
      <c r="A14" s="120"/>
      <c r="B14" s="118" t="s">
        <v>46</v>
      </c>
    </row>
    <row r="15" spans="1:4" ht="18" x14ac:dyDescent="0.25">
      <c r="A15" s="120"/>
      <c r="B15" s="121" t="s">
        <v>47</v>
      </c>
    </row>
    <row r="16" spans="1:4" ht="18" x14ac:dyDescent="0.25">
      <c r="A16" s="120"/>
      <c r="B16" s="3"/>
    </row>
    <row r="17" spans="1:2" ht="18" x14ac:dyDescent="0.25">
      <c r="A17" s="172" t="s">
        <v>48</v>
      </c>
      <c r="B17" s="172"/>
    </row>
    <row r="18" spans="1:2" ht="43.5" x14ac:dyDescent="0.25">
      <c r="A18" s="120"/>
      <c r="B18" s="118" t="s">
        <v>49</v>
      </c>
    </row>
    <row r="19" spans="1:2" ht="18" x14ac:dyDescent="0.25">
      <c r="A19" s="120"/>
      <c r="B19" s="118"/>
    </row>
    <row r="20" spans="1:2" ht="18" x14ac:dyDescent="0.25">
      <c r="A20" s="120"/>
      <c r="B20" s="122" t="s">
        <v>50</v>
      </c>
    </row>
    <row r="21" spans="1:2" ht="18" x14ac:dyDescent="0.25">
      <c r="A21" s="120"/>
      <c r="B21" s="118" t="s">
        <v>51</v>
      </c>
    </row>
    <row r="22" spans="1:2" ht="28.5" x14ac:dyDescent="0.25">
      <c r="A22" s="120"/>
      <c r="B22" s="118" t="s">
        <v>52</v>
      </c>
    </row>
    <row r="23" spans="1:2" ht="18" x14ac:dyDescent="0.25">
      <c r="A23" s="120"/>
      <c r="B23" s="118"/>
    </row>
    <row r="24" spans="1:2" ht="18" x14ac:dyDescent="0.25">
      <c r="A24" s="120"/>
      <c r="B24" s="122" t="s">
        <v>53</v>
      </c>
    </row>
    <row r="25" spans="1:2" ht="18" x14ac:dyDescent="0.25">
      <c r="A25" s="120"/>
      <c r="B25" s="118" t="s">
        <v>54</v>
      </c>
    </row>
    <row r="26" spans="1:2" ht="18" x14ac:dyDescent="0.25">
      <c r="A26" s="120"/>
      <c r="B26" s="118" t="s">
        <v>55</v>
      </c>
    </row>
    <row r="27" spans="1:2" ht="18" x14ac:dyDescent="0.25">
      <c r="A27" s="120"/>
      <c r="B27" s="3"/>
    </row>
    <row r="28" spans="1:2" ht="18" x14ac:dyDescent="0.25">
      <c r="A28" s="120"/>
      <c r="B28" s="3"/>
    </row>
    <row r="29" spans="1:2" ht="18" x14ac:dyDescent="0.25">
      <c r="A29" s="172" t="s">
        <v>12</v>
      </c>
      <c r="B29" s="172"/>
    </row>
    <row r="30" spans="1:2" ht="28.5" x14ac:dyDescent="0.2">
      <c r="B30" s="118" t="s">
        <v>56</v>
      </c>
    </row>
    <row r="32" spans="1:2" ht="14.25" x14ac:dyDescent="0.2">
      <c r="B32" s="118" t="s">
        <v>57</v>
      </c>
    </row>
    <row r="34" spans="1:2" ht="28.5" x14ac:dyDescent="0.2">
      <c r="B34" s="118" t="s">
        <v>58</v>
      </c>
    </row>
    <row r="36" spans="1:2" ht="28.5" x14ac:dyDescent="0.2">
      <c r="B36" s="118" t="s">
        <v>59</v>
      </c>
    </row>
    <row r="37" spans="1:2" x14ac:dyDescent="0.2">
      <c r="B37" s="5"/>
    </row>
    <row r="38" spans="1:2" ht="28.5" x14ac:dyDescent="0.2">
      <c r="B38" s="118" t="s">
        <v>60</v>
      </c>
    </row>
    <row r="40" spans="1:2" ht="18" x14ac:dyDescent="0.25">
      <c r="A40" s="172" t="s">
        <v>7</v>
      </c>
      <c r="B40" s="172"/>
    </row>
    <row r="41" spans="1:2" ht="28.5" x14ac:dyDescent="0.2">
      <c r="B41" s="118" t="s">
        <v>61</v>
      </c>
    </row>
    <row r="43" spans="1:2" ht="14.25" x14ac:dyDescent="0.2">
      <c r="A43" s="123" t="s">
        <v>13</v>
      </c>
      <c r="B43" s="118" t="s">
        <v>14</v>
      </c>
    </row>
    <row r="44" spans="1:2" ht="14.25" x14ac:dyDescent="0.2">
      <c r="A44" s="123" t="s">
        <v>15</v>
      </c>
      <c r="B44" s="118" t="s">
        <v>16</v>
      </c>
    </row>
    <row r="45" spans="1:2" ht="14.25" x14ac:dyDescent="0.2">
      <c r="A45" s="123" t="s">
        <v>17</v>
      </c>
      <c r="B45" s="118" t="s">
        <v>18</v>
      </c>
    </row>
    <row r="46" spans="1:2" ht="28.5" x14ac:dyDescent="0.2">
      <c r="A46" s="116"/>
      <c r="B46" s="118" t="s">
        <v>62</v>
      </c>
    </row>
    <row r="47" spans="1:2" ht="28.5" x14ac:dyDescent="0.2">
      <c r="A47" s="116"/>
      <c r="B47" s="118" t="s">
        <v>63</v>
      </c>
    </row>
    <row r="48" spans="1:2" ht="14.25" x14ac:dyDescent="0.2">
      <c r="A48" s="123" t="s">
        <v>19</v>
      </c>
      <c r="B48" s="118" t="s">
        <v>20</v>
      </c>
    </row>
    <row r="49" spans="1:2" ht="14.25" x14ac:dyDescent="0.2">
      <c r="A49" s="116"/>
      <c r="B49" s="118" t="s">
        <v>64</v>
      </c>
    </row>
    <row r="50" spans="1:2" ht="14.25" x14ac:dyDescent="0.2">
      <c r="A50" s="116"/>
      <c r="B50" s="118" t="s">
        <v>65</v>
      </c>
    </row>
    <row r="51" spans="1:2" ht="14.25" x14ac:dyDescent="0.2">
      <c r="A51" s="123" t="s">
        <v>21</v>
      </c>
      <c r="B51" s="118" t="s">
        <v>22</v>
      </c>
    </row>
    <row r="52" spans="1:2" ht="28.5" x14ac:dyDescent="0.2">
      <c r="A52" s="116"/>
      <c r="B52" s="118" t="s">
        <v>66</v>
      </c>
    </row>
    <row r="53" spans="1:2" ht="14.25" x14ac:dyDescent="0.2">
      <c r="A53" s="123" t="s">
        <v>67</v>
      </c>
      <c r="B53" s="118" t="s">
        <v>68</v>
      </c>
    </row>
    <row r="54" spans="1:2" ht="14.25" x14ac:dyDescent="0.2">
      <c r="A54" s="124"/>
      <c r="B54" s="118" t="s">
        <v>69</v>
      </c>
    </row>
    <row r="55" spans="1:2" x14ac:dyDescent="0.2">
      <c r="B55" s="4"/>
    </row>
    <row r="56" spans="1:2" ht="18" x14ac:dyDescent="0.25">
      <c r="A56" s="172" t="s">
        <v>11</v>
      </c>
      <c r="B56" s="172"/>
    </row>
    <row r="57" spans="1:2" ht="42.75" x14ac:dyDescent="0.2">
      <c r="B57" s="118" t="s">
        <v>70</v>
      </c>
    </row>
    <row r="59" spans="1:2" ht="18" x14ac:dyDescent="0.25">
      <c r="A59" s="172" t="s">
        <v>5</v>
      </c>
      <c r="B59" s="172"/>
    </row>
    <row r="60" spans="1:2" ht="15" x14ac:dyDescent="0.25">
      <c r="A60" s="125" t="s">
        <v>6</v>
      </c>
      <c r="B60" s="126" t="s">
        <v>71</v>
      </c>
    </row>
    <row r="61" spans="1:2" ht="28.5" x14ac:dyDescent="0.2">
      <c r="A61" s="124"/>
      <c r="B61" s="127" t="s">
        <v>72</v>
      </c>
    </row>
    <row r="62" spans="1:2" ht="14.25" x14ac:dyDescent="0.2">
      <c r="A62" s="124"/>
      <c r="B62" s="128"/>
    </row>
    <row r="63" spans="1:2" ht="15" x14ac:dyDescent="0.25">
      <c r="A63" s="125" t="s">
        <v>6</v>
      </c>
      <c r="B63" s="126" t="s">
        <v>73</v>
      </c>
    </row>
    <row r="64" spans="1:2" ht="28.5" x14ac:dyDescent="0.2">
      <c r="A64" s="124"/>
      <c r="B64" s="127" t="s">
        <v>74</v>
      </c>
    </row>
    <row r="65" spans="1:2" ht="14.25" x14ac:dyDescent="0.2">
      <c r="A65" s="124"/>
      <c r="B65" s="128"/>
    </row>
    <row r="66" spans="1:2" ht="15" x14ac:dyDescent="0.25">
      <c r="A66" s="125" t="s">
        <v>6</v>
      </c>
      <c r="B66" s="129" t="s">
        <v>75</v>
      </c>
    </row>
    <row r="67" spans="1:2" ht="42.75" x14ac:dyDescent="0.2">
      <c r="A67" s="124"/>
      <c r="B67" s="115" t="s">
        <v>76</v>
      </c>
    </row>
    <row r="68" spans="1:2" ht="14.25" x14ac:dyDescent="0.2">
      <c r="A68" s="124"/>
      <c r="B68" s="124"/>
    </row>
    <row r="69" spans="1:2" ht="15" x14ac:dyDescent="0.25">
      <c r="A69" s="125" t="s">
        <v>6</v>
      </c>
      <c r="B69" s="129" t="s">
        <v>77</v>
      </c>
    </row>
    <row r="70" spans="1:2" ht="28.5" x14ac:dyDescent="0.2">
      <c r="A70" s="124"/>
      <c r="B70" s="115" t="s">
        <v>78</v>
      </c>
    </row>
    <row r="71" spans="1:2" ht="14.25" x14ac:dyDescent="0.2">
      <c r="A71" s="124"/>
      <c r="B71" s="124"/>
    </row>
    <row r="72" spans="1:2" ht="15" x14ac:dyDescent="0.25">
      <c r="A72" s="125" t="s">
        <v>6</v>
      </c>
      <c r="B72" s="129" t="s">
        <v>79</v>
      </c>
    </row>
    <row r="73" spans="1:2" ht="14.25" x14ac:dyDescent="0.2">
      <c r="A73" s="124"/>
      <c r="B73" s="130" t="s">
        <v>80</v>
      </c>
    </row>
    <row r="74" spans="1:2" ht="14.25" x14ac:dyDescent="0.2">
      <c r="A74" s="124"/>
      <c r="B74" s="130" t="s">
        <v>81</v>
      </c>
    </row>
    <row r="75" spans="1:2" ht="14.25" x14ac:dyDescent="0.2">
      <c r="A75" s="124"/>
      <c r="B75" s="130" t="s">
        <v>82</v>
      </c>
    </row>
    <row r="76" spans="1:2" ht="15" x14ac:dyDescent="0.25">
      <c r="A76" s="124"/>
      <c r="B76" s="131"/>
    </row>
    <row r="77" spans="1:2" ht="15" x14ac:dyDescent="0.25">
      <c r="A77" s="125" t="s">
        <v>6</v>
      </c>
      <c r="B77" s="129" t="s">
        <v>83</v>
      </c>
    </row>
    <row r="78" spans="1:2" ht="42.75" x14ac:dyDescent="0.2">
      <c r="A78" s="124"/>
      <c r="B78" s="115" t="s">
        <v>84</v>
      </c>
    </row>
    <row r="79" spans="1:2" ht="14.25" x14ac:dyDescent="0.2">
      <c r="A79" s="124"/>
      <c r="B79" s="132" t="s">
        <v>85</v>
      </c>
    </row>
    <row r="80" spans="1:2" ht="57" x14ac:dyDescent="0.2">
      <c r="A80" s="124"/>
      <c r="B80" s="133" t="s">
        <v>86</v>
      </c>
    </row>
    <row r="81" spans="1:2" ht="14.25" x14ac:dyDescent="0.2">
      <c r="A81" s="124"/>
      <c r="B81" s="124"/>
    </row>
    <row r="82" spans="1:2" ht="15" x14ac:dyDescent="0.25">
      <c r="A82" s="125" t="s">
        <v>6</v>
      </c>
      <c r="B82" s="129" t="s">
        <v>87</v>
      </c>
    </row>
    <row r="83" spans="1:2" ht="28.5" x14ac:dyDescent="0.2">
      <c r="A83" s="116"/>
      <c r="B83" s="130" t="s">
        <v>23</v>
      </c>
    </row>
    <row r="85" spans="1:2" x14ac:dyDescent="0.2">
      <c r="A85" s="6"/>
    </row>
  </sheetData>
  <mergeCells count="6">
    <mergeCell ref="A59:B59"/>
    <mergeCell ref="A17:B17"/>
    <mergeCell ref="A7:B7"/>
    <mergeCell ref="A29:B29"/>
    <mergeCell ref="A40:B40"/>
    <mergeCell ref="A56:B56"/>
  </mergeCells>
  <phoneticPr fontId="3" type="noConversion"/>
  <pageMargins left="0.5" right="0.5" top="0.25" bottom="0.25"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GanttChart</vt:lpstr>
      <vt:lpstr>Help</vt:lpstr>
      <vt:lpstr>GanttChart!prevWBS</vt:lpstr>
      <vt:lpstr>GanttChart!Print_Area</vt:lpstr>
      <vt:lpstr>GanttChart!Print_Titles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2018-02-09T22:40:51Z</cp:lastPrinted>
  <dcterms:created xsi:type="dcterms:W3CDTF">2010-06-09T16:05:03Z</dcterms:created>
  <dcterms:modified xsi:type="dcterms:W3CDTF">2024-05-18T20:16:13Z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