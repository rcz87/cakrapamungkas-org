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D:\Temporary\ProMarketing\Ultimate\Tools\"/>
    </mc:Choice>
  </mc:AlternateContent>
  <xr:revisionPtr revIDLastSave="0" documentId="13_ncr:1_{EF7D93C7-FC7F-43C0-A1CB-CF5E7B67288D}" xr6:coauthVersionLast="45" xr6:coauthVersionMax="47" xr10:uidLastSave="{00000000-0000-0000-0000-000000000000}"/>
  <bookViews>
    <workbookView xWindow="-120" yWindow="-120" windowWidth="29040" windowHeight="15720" activeTab="1" xr2:uid="{00000000-000D-0000-FFFF-FFFF00000000}"/>
  </bookViews>
  <sheets>
    <sheet name="Introduction" sheetId="1" r:id="rId1"/>
    <sheet name="Dashboard" sheetId="4" r:id="rId2"/>
    <sheet name="Sheet1" sheetId="5" state="hidden" r:id="rId3"/>
    <sheet name="Raw Data" sheetId="2" r:id="rId4"/>
    <sheet name="Database" sheetId="3" r:id="rId5"/>
  </sheets>
  <definedNames>
    <definedName name="Brand">OFFSET(Database!$B$5,0,0,COUNTA(Database!$B:$B)-2,1)</definedName>
    <definedName name="NativeTimeline_Date">#N/A</definedName>
    <definedName name="Slicer_Brand">#N/A</definedName>
    <definedName name="Slicer_Status">#N/A</definedName>
    <definedName name="Slicer_Supplier">#N/A</definedName>
    <definedName name="Status">OFFSET(Database!$D$5,0,0,COUNTA(Database!$D:$D)-1,1)</definedName>
    <definedName name="Supplier">OFFSET(Database!$F$5,0,0,COUNTA(Database!$F:$F)-1,1)</definedName>
  </definedNames>
  <calcPr calcId="191029"/>
  <pivotCaches>
    <pivotCache cacheId="4" r:id="rId6"/>
    <pivotCache cacheId="1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7" i="2" l="1"/>
  <c r="C97" i="2" s="1"/>
  <c r="B98" i="2"/>
  <c r="B99" i="2"/>
  <c r="B100" i="2"/>
  <c r="B101" i="2"/>
  <c r="C101" i="2" s="1"/>
  <c r="B102" i="2"/>
  <c r="B103" i="2"/>
  <c r="B104" i="2"/>
  <c r="C98" i="2"/>
  <c r="C99" i="2"/>
  <c r="C100" i="2"/>
  <c r="C102" i="2"/>
  <c r="C103" i="2"/>
  <c r="C104" i="2"/>
  <c r="F97" i="2"/>
  <c r="G97" i="2" s="1"/>
  <c r="F98" i="2"/>
  <c r="F99" i="2"/>
  <c r="F100" i="2"/>
  <c r="F101" i="2"/>
  <c r="G101" i="2" s="1"/>
  <c r="F102" i="2"/>
  <c r="F103" i="2"/>
  <c r="F104" i="2"/>
  <c r="G98" i="2"/>
  <c r="G99" i="2"/>
  <c r="G100" i="2"/>
  <c r="G102" i="2"/>
  <c r="G103" i="2"/>
  <c r="G104" i="2"/>
  <c r="H97" i="2"/>
  <c r="H98" i="2"/>
  <c r="H99" i="2"/>
  <c r="H100" i="2"/>
  <c r="H101" i="2"/>
  <c r="H102" i="2"/>
  <c r="H103" i="2"/>
  <c r="H104" i="2"/>
  <c r="L97" i="2"/>
  <c r="L98" i="2"/>
  <c r="L99" i="2"/>
  <c r="L100" i="2"/>
  <c r="L101" i="2"/>
  <c r="L102" i="2"/>
  <c r="L103" i="2"/>
  <c r="L104" i="2"/>
  <c r="K437" i="5" l="1"/>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 i="5"/>
  <c r="J2" i="4" l="1"/>
  <c r="F2" i="4"/>
  <c r="D2" i="4"/>
  <c r="B3" i="2" l="1"/>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C3" i="2" l="1"/>
  <c r="F3" i="2"/>
  <c r="N2" i="4"/>
  <c r="L2" i="4"/>
  <c r="Q2" i="4" l="1"/>
  <c r="S2" i="4"/>
  <c r="L3" i="2"/>
  <c r="C86" i="2"/>
  <c r="F86" i="2"/>
  <c r="C87" i="2"/>
  <c r="F87" i="2"/>
  <c r="C88" i="2"/>
  <c r="F88" i="2"/>
  <c r="C89" i="2"/>
  <c r="F89" i="2"/>
  <c r="C90" i="2"/>
  <c r="F90" i="2"/>
  <c r="C91" i="2"/>
  <c r="F91" i="2"/>
  <c r="C92" i="2"/>
  <c r="F92" i="2"/>
  <c r="C93" i="2"/>
  <c r="F93" i="2"/>
  <c r="C94" i="2"/>
  <c r="F94" i="2"/>
  <c r="C95" i="2"/>
  <c r="F95" i="2"/>
  <c r="C96" i="2"/>
  <c r="F96" i="2"/>
  <c r="C77" i="2"/>
  <c r="F77" i="2"/>
  <c r="C78" i="2"/>
  <c r="F78" i="2"/>
  <c r="C79" i="2"/>
  <c r="F79" i="2"/>
  <c r="C80" i="2"/>
  <c r="F80" i="2"/>
  <c r="C81" i="2"/>
  <c r="F81" i="2"/>
  <c r="C82" i="2"/>
  <c r="F82" i="2"/>
  <c r="C83" i="2"/>
  <c r="F83" i="2"/>
  <c r="C84" i="2"/>
  <c r="F84" i="2"/>
  <c r="C85" i="2"/>
  <c r="F85" i="2"/>
  <c r="C59" i="2"/>
  <c r="C60" i="2"/>
  <c r="C61" i="2"/>
  <c r="C62" i="2"/>
  <c r="C63" i="2"/>
  <c r="C64" i="2"/>
  <c r="C65" i="2"/>
  <c r="C66" i="2"/>
  <c r="C67" i="2"/>
  <c r="C68" i="2"/>
  <c r="C69" i="2"/>
  <c r="C70" i="2"/>
  <c r="C71" i="2"/>
  <c r="C72" i="2"/>
  <c r="C73" i="2"/>
  <c r="C74" i="2"/>
  <c r="C75" i="2"/>
  <c r="C76" i="2"/>
  <c r="F59" i="2"/>
  <c r="L59" i="2" s="1"/>
  <c r="F60" i="2"/>
  <c r="F61" i="2"/>
  <c r="F62" i="2"/>
  <c r="F63" i="2"/>
  <c r="F64" i="2"/>
  <c r="F65" i="2"/>
  <c r="F66" i="2"/>
  <c r="F67" i="2"/>
  <c r="L67" i="2" s="1"/>
  <c r="F68" i="2"/>
  <c r="L68" i="2" s="1"/>
  <c r="F69" i="2"/>
  <c r="F70" i="2"/>
  <c r="F71" i="2"/>
  <c r="F72" i="2"/>
  <c r="F73" i="2"/>
  <c r="F74" i="2"/>
  <c r="F75" i="2"/>
  <c r="F76" i="2"/>
  <c r="C58" i="2"/>
  <c r="F58" i="2"/>
  <c r="C53" i="2"/>
  <c r="F53" i="2"/>
  <c r="C57" i="2"/>
  <c r="F57" i="2"/>
  <c r="C56" i="2"/>
  <c r="F56" i="2"/>
  <c r="C55" i="2"/>
  <c r="F55" i="2"/>
  <c r="C54" i="2"/>
  <c r="F54" i="2"/>
  <c r="C48" i="2"/>
  <c r="C49" i="2"/>
  <c r="C50" i="2"/>
  <c r="C51" i="2"/>
  <c r="C52" i="2"/>
  <c r="F48" i="2"/>
  <c r="F49" i="2"/>
  <c r="L49" i="2" s="1"/>
  <c r="F50" i="2"/>
  <c r="F51" i="2"/>
  <c r="F52" i="2"/>
  <c r="L52" i="2" s="1"/>
  <c r="C47" i="2"/>
  <c r="F47" i="2"/>
  <c r="C45" i="2"/>
  <c r="C46" i="2"/>
  <c r="F45" i="2"/>
  <c r="F46" i="2"/>
  <c r="C42" i="2"/>
  <c r="C43" i="2"/>
  <c r="C44" i="2"/>
  <c r="F42" i="2"/>
  <c r="F43" i="2"/>
  <c r="F44" i="2"/>
  <c r="C40" i="2"/>
  <c r="C41" i="2"/>
  <c r="F40" i="2"/>
  <c r="F41" i="2"/>
  <c r="C39" i="2"/>
  <c r="F39" i="2"/>
  <c r="C38" i="2"/>
  <c r="F38" i="2"/>
  <c r="C37" i="2"/>
  <c r="F37" i="2"/>
  <c r="C36" i="2"/>
  <c r="F36" i="2"/>
  <c r="C35" i="2"/>
  <c r="F35" i="2"/>
  <c r="C34" i="2"/>
  <c r="F34" i="2"/>
  <c r="C31" i="2"/>
  <c r="C32" i="2"/>
  <c r="C33" i="2"/>
  <c r="F31" i="2"/>
  <c r="F32" i="2"/>
  <c r="F33" i="2"/>
  <c r="C30" i="2"/>
  <c r="F30" i="2"/>
  <c r="C29" i="2"/>
  <c r="F29" i="2"/>
  <c r="C28" i="2"/>
  <c r="F28" i="2"/>
  <c r="C27" i="2"/>
  <c r="F27" i="2"/>
  <c r="C26" i="2"/>
  <c r="F26" i="2"/>
  <c r="C25" i="2"/>
  <c r="F25" i="2"/>
  <c r="C20" i="2"/>
  <c r="C21" i="2"/>
  <c r="C22" i="2"/>
  <c r="C23" i="2"/>
  <c r="C24" i="2"/>
  <c r="F20" i="2"/>
  <c r="F21" i="2"/>
  <c r="F22" i="2"/>
  <c r="F23" i="2"/>
  <c r="F24" i="2"/>
  <c r="C17" i="2"/>
  <c r="C18" i="2"/>
  <c r="C19" i="2"/>
  <c r="F17" i="2"/>
  <c r="F18" i="2"/>
  <c r="F19" i="2"/>
  <c r="C12" i="2"/>
  <c r="C13" i="2"/>
  <c r="C14" i="2"/>
  <c r="C15" i="2"/>
  <c r="C16" i="2"/>
  <c r="F12" i="2"/>
  <c r="F13" i="2"/>
  <c r="F14" i="2"/>
  <c r="F15" i="2"/>
  <c r="F16" i="2"/>
  <c r="C11" i="2"/>
  <c r="F11" i="2"/>
  <c r="C10" i="2"/>
  <c r="F10" i="2"/>
  <c r="C9" i="2"/>
  <c r="F9" i="2"/>
  <c r="C8" i="2"/>
  <c r="F8" i="2"/>
  <c r="C7" i="2"/>
  <c r="F7" i="2"/>
  <c r="C6" i="2"/>
  <c r="F6" i="2"/>
  <c r="C5" i="2"/>
  <c r="F5" i="2"/>
  <c r="C4" i="2"/>
  <c r="F4" i="2"/>
  <c r="L4" i="2" s="1"/>
  <c r="L86" i="2" l="1"/>
  <c r="L90" i="2"/>
  <c r="L87" i="2"/>
  <c r="L88" i="2"/>
  <c r="L89" i="2"/>
  <c r="L93" i="2"/>
  <c r="L91" i="2"/>
  <c r="L92" i="2"/>
  <c r="L62" i="2"/>
  <c r="L94" i="2"/>
  <c r="L95" i="2"/>
  <c r="L75" i="2"/>
  <c r="L80" i="2"/>
  <c r="L96" i="2"/>
  <c r="L78" i="2"/>
  <c r="L79" i="2"/>
  <c r="L77" i="2"/>
  <c r="L81" i="2"/>
  <c r="L73" i="2"/>
  <c r="L72" i="2"/>
  <c r="L84" i="2"/>
  <c r="L82" i="2"/>
  <c r="L64" i="2"/>
  <c r="L85" i="2"/>
  <c r="L83" i="2"/>
  <c r="L60" i="2"/>
  <c r="L69" i="2"/>
  <c r="L66" i="2"/>
  <c r="L76" i="2"/>
  <c r="L65" i="2"/>
  <c r="L61" i="2"/>
  <c r="L74" i="2"/>
  <c r="L70" i="2"/>
  <c r="L71" i="2"/>
  <c r="L63" i="2"/>
  <c r="L58" i="2"/>
  <c r="L53" i="2"/>
  <c r="L57" i="2"/>
  <c r="L48" i="2"/>
  <c r="L51" i="2"/>
  <c r="L56" i="2"/>
  <c r="L50" i="2"/>
  <c r="L55" i="2"/>
  <c r="L54" i="2"/>
  <c r="L46" i="2"/>
  <c r="L47" i="2"/>
  <c r="L45" i="2"/>
  <c r="L44" i="2"/>
  <c r="L43" i="2"/>
  <c r="L42" i="2"/>
  <c r="L41" i="2"/>
  <c r="L40" i="2"/>
  <c r="L39" i="2"/>
  <c r="L38" i="2"/>
  <c r="L37" i="2"/>
  <c r="L36" i="2"/>
  <c r="L35" i="2"/>
  <c r="L34" i="2"/>
  <c r="L33" i="2"/>
  <c r="L32" i="2"/>
  <c r="L31" i="2"/>
  <c r="L30" i="2"/>
  <c r="L29" i="2"/>
  <c r="L28" i="2"/>
  <c r="L20" i="2"/>
  <c r="L27" i="2"/>
  <c r="L23" i="2"/>
  <c r="L26" i="2"/>
  <c r="L22" i="2"/>
  <c r="L24" i="2"/>
  <c r="L21" i="2"/>
  <c r="L25" i="2"/>
  <c r="L13" i="2"/>
  <c r="L19" i="2"/>
  <c r="L18" i="2"/>
  <c r="L17" i="2"/>
  <c r="L15" i="2"/>
  <c r="L16" i="2"/>
  <c r="L14" i="2"/>
  <c r="L12" i="2"/>
  <c r="L11" i="2"/>
  <c r="L10" i="2"/>
  <c r="L9" i="2"/>
  <c r="L8" i="2"/>
  <c r="L7" i="2"/>
  <c r="L6" i="2"/>
  <c r="L5" i="2"/>
  <c r="O6" i="3" l="1"/>
  <c r="O7" i="3"/>
  <c r="S7" i="3" s="1"/>
  <c r="O8" i="3"/>
  <c r="O9" i="3"/>
  <c r="S9" i="3" s="1"/>
  <c r="O10" i="3"/>
  <c r="O11" i="3"/>
  <c r="S11" i="3" s="1"/>
  <c r="O12" i="3"/>
  <c r="O13" i="3"/>
  <c r="S13" i="3"/>
  <c r="O14" i="3"/>
  <c r="O15" i="3"/>
  <c r="S15" i="3" s="1"/>
  <c r="O16" i="3"/>
  <c r="O17" i="3"/>
  <c r="S17" i="3" s="1"/>
  <c r="O18" i="3"/>
  <c r="O19" i="3"/>
  <c r="S19" i="3" s="1"/>
  <c r="O20" i="3"/>
  <c r="O21" i="3"/>
  <c r="O22" i="3"/>
  <c r="O23" i="3"/>
  <c r="S23" i="3" s="1"/>
  <c r="O24" i="3"/>
  <c r="O25" i="3"/>
  <c r="S25" i="3"/>
  <c r="O26" i="3"/>
  <c r="O27" i="3"/>
  <c r="S27" i="3" s="1"/>
  <c r="O28" i="3"/>
  <c r="O29" i="3"/>
  <c r="S29" i="3"/>
  <c r="O30" i="3"/>
  <c r="O31" i="3"/>
  <c r="S31" i="3" s="1"/>
  <c r="O32" i="3"/>
  <c r="O33" i="3"/>
  <c r="S33" i="3" s="1"/>
  <c r="O34" i="3"/>
  <c r="O35" i="3"/>
  <c r="S35" i="3"/>
  <c r="O36" i="3"/>
  <c r="O37" i="3"/>
  <c r="O38" i="3"/>
  <c r="O39" i="3"/>
  <c r="S39" i="3"/>
  <c r="O40" i="3"/>
  <c r="O41" i="3"/>
  <c r="S41" i="3"/>
  <c r="O42" i="3"/>
  <c r="O43" i="3"/>
  <c r="S43" i="3" s="1"/>
  <c r="O44" i="3"/>
  <c r="O45" i="3"/>
  <c r="O46" i="3"/>
  <c r="O47" i="3"/>
  <c r="S47" i="3"/>
  <c r="O48" i="3"/>
  <c r="O49" i="3"/>
  <c r="O50" i="3"/>
  <c r="O51" i="3"/>
  <c r="O52" i="3"/>
  <c r="O53" i="3"/>
  <c r="O54" i="3"/>
  <c r="O55" i="3"/>
  <c r="O56" i="3"/>
  <c r="O57" i="3"/>
  <c r="O58" i="3"/>
  <c r="O59" i="3"/>
  <c r="S59" i="3"/>
  <c r="O60" i="3"/>
  <c r="O61" i="3"/>
  <c r="O62" i="3"/>
  <c r="O63" i="3"/>
  <c r="O64" i="3"/>
  <c r="O65" i="3"/>
  <c r="O66" i="3"/>
  <c r="O67" i="3"/>
  <c r="O68" i="3"/>
  <c r="O69" i="3"/>
  <c r="O70" i="3"/>
  <c r="O71" i="3"/>
  <c r="S71" i="3"/>
  <c r="O72" i="3"/>
  <c r="O73" i="3"/>
  <c r="S73" i="3"/>
  <c r="O74" i="3"/>
  <c r="O75" i="3"/>
  <c r="S75" i="3"/>
  <c r="O76" i="3"/>
  <c r="O77" i="3"/>
  <c r="O78" i="3"/>
  <c r="O79" i="3"/>
  <c r="S79" i="3"/>
  <c r="O80" i="3"/>
  <c r="O81" i="3"/>
  <c r="O82" i="3"/>
  <c r="O83" i="3"/>
  <c r="O84" i="3"/>
  <c r="O85" i="3"/>
  <c r="O86" i="3"/>
  <c r="O87" i="3"/>
  <c r="O88" i="3"/>
  <c r="O89" i="3"/>
  <c r="S89" i="3"/>
  <c r="O90" i="3"/>
  <c r="O91" i="3"/>
  <c r="S91" i="3" s="1"/>
  <c r="O92" i="3"/>
  <c r="O93" i="3"/>
  <c r="O94" i="3"/>
  <c r="O95" i="3"/>
  <c r="S95" i="3"/>
  <c r="O96" i="3"/>
  <c r="O97" i="3"/>
  <c r="S97" i="3" s="1"/>
  <c r="O98" i="3"/>
  <c r="O99" i="3"/>
  <c r="O100" i="3"/>
  <c r="O101" i="3"/>
  <c r="O102" i="3"/>
  <c r="O103" i="3"/>
  <c r="O104" i="3"/>
  <c r="O105" i="3"/>
  <c r="S105" i="3" s="1"/>
  <c r="O106" i="3"/>
  <c r="O107" i="3"/>
  <c r="O108" i="3"/>
  <c r="O109" i="3"/>
  <c r="O110" i="3"/>
  <c r="O111" i="3"/>
  <c r="S111" i="3" s="1"/>
  <c r="O112" i="3"/>
  <c r="O113" i="3"/>
  <c r="O114" i="3"/>
  <c r="O115" i="3"/>
  <c r="O116" i="3"/>
  <c r="O117" i="3"/>
  <c r="O118" i="3"/>
  <c r="O119" i="3"/>
  <c r="O120" i="3"/>
  <c r="O121" i="3"/>
  <c r="S121" i="3" s="1"/>
  <c r="O122" i="3"/>
  <c r="O123" i="3"/>
  <c r="S123" i="3"/>
  <c r="O124" i="3"/>
  <c r="O125" i="3"/>
  <c r="O126" i="3"/>
  <c r="O127" i="3"/>
  <c r="S127" i="3" s="1"/>
  <c r="O128" i="3"/>
  <c r="O129" i="3"/>
  <c r="S129" i="3" s="1"/>
  <c r="O130" i="3"/>
  <c r="O131" i="3"/>
  <c r="O132" i="3"/>
  <c r="O133" i="3"/>
  <c r="O134" i="3"/>
  <c r="O135" i="3"/>
  <c r="O136" i="3"/>
  <c r="O137" i="3"/>
  <c r="S137" i="3"/>
  <c r="O138" i="3"/>
  <c r="O139" i="3"/>
  <c r="O140" i="3"/>
  <c r="O141" i="3"/>
  <c r="O142" i="3"/>
  <c r="O143" i="3"/>
  <c r="S143" i="3" s="1"/>
  <c r="O144" i="3"/>
  <c r="O145" i="3"/>
  <c r="O146" i="3"/>
  <c r="O147" i="3"/>
  <c r="O148" i="3"/>
  <c r="O149" i="3"/>
  <c r="O150" i="3"/>
  <c r="O151" i="3"/>
  <c r="O152" i="3"/>
  <c r="O153" i="3"/>
  <c r="S153" i="3" s="1"/>
  <c r="O154" i="3"/>
  <c r="O155" i="3"/>
  <c r="S155" i="3" s="1"/>
  <c r="O156" i="3"/>
  <c r="O157" i="3"/>
  <c r="O158" i="3"/>
  <c r="O159" i="3"/>
  <c r="S159" i="3" s="1"/>
  <c r="O160" i="3"/>
  <c r="O161" i="3"/>
  <c r="S161" i="3"/>
  <c r="O162" i="3"/>
  <c r="O163" i="3"/>
  <c r="O164" i="3"/>
  <c r="O165" i="3"/>
  <c r="O166" i="3"/>
  <c r="O167" i="3"/>
  <c r="O168" i="3"/>
  <c r="O169" i="3"/>
  <c r="S169" i="3"/>
  <c r="O170" i="3"/>
  <c r="O171" i="3"/>
  <c r="O172" i="3"/>
  <c r="O173" i="3"/>
  <c r="O174" i="3"/>
  <c r="P174" i="3" s="1"/>
  <c r="S174" i="3"/>
  <c r="O175" i="3"/>
  <c r="P175" i="3"/>
  <c r="O176" i="3"/>
  <c r="S176" i="3" s="1"/>
  <c r="O177" i="3"/>
  <c r="O178" i="3"/>
  <c r="S178" i="3"/>
  <c r="O179" i="3"/>
  <c r="O180" i="3"/>
  <c r="O181" i="3"/>
  <c r="O182" i="3"/>
  <c r="S182" i="3"/>
  <c r="O183" i="3"/>
  <c r="O184" i="3"/>
  <c r="S184" i="3"/>
  <c r="O185" i="3"/>
  <c r="O186" i="3"/>
  <c r="S186" i="3"/>
  <c r="O187" i="3"/>
  <c r="O188" i="3"/>
  <c r="S188" i="3" s="1"/>
  <c r="O189" i="3"/>
  <c r="O190" i="3"/>
  <c r="S190" i="3"/>
  <c r="O191" i="3"/>
  <c r="O192" i="3"/>
  <c r="S192" i="3" s="1"/>
  <c r="O193" i="3"/>
  <c r="O194" i="3"/>
  <c r="S194" i="3"/>
  <c r="O195" i="3"/>
  <c r="O196" i="3"/>
  <c r="O197" i="3"/>
  <c r="O198" i="3"/>
  <c r="S198" i="3"/>
  <c r="O199" i="3"/>
  <c r="O200" i="3"/>
  <c r="S200" i="3" s="1"/>
  <c r="O5" i="3"/>
  <c r="P5" i="3" s="1"/>
  <c r="P180" i="3" l="1"/>
  <c r="S61" i="3"/>
  <c r="S55" i="3"/>
  <c r="P37" i="3"/>
  <c r="P26" i="3"/>
  <c r="P21" i="3"/>
  <c r="P10" i="3"/>
  <c r="P30" i="3"/>
  <c r="S85" i="3"/>
  <c r="S65" i="3"/>
  <c r="S53" i="3"/>
  <c r="P35" i="3"/>
  <c r="P24" i="3"/>
  <c r="P19" i="3"/>
  <c r="P8" i="3"/>
  <c r="G24" i="2" s="1"/>
  <c r="P190" i="3"/>
  <c r="Q175" i="3"/>
  <c r="S151" i="3"/>
  <c r="S125" i="3"/>
  <c r="S93" i="3"/>
  <c r="P25" i="3"/>
  <c r="P178" i="3"/>
  <c r="S77" i="3"/>
  <c r="S45" i="3"/>
  <c r="P34" i="3"/>
  <c r="P29" i="3"/>
  <c r="P18" i="3"/>
  <c r="P13" i="3"/>
  <c r="Q185" i="3"/>
  <c r="S157" i="3"/>
  <c r="P9" i="3"/>
  <c r="G53" i="2" s="1"/>
  <c r="P194" i="3"/>
  <c r="S183" i="3"/>
  <c r="S149" i="3"/>
  <c r="G37" i="2"/>
  <c r="G38" i="2"/>
  <c r="G70" i="2"/>
  <c r="G77" i="2"/>
  <c r="G71" i="2"/>
  <c r="G32" i="2"/>
  <c r="G26" i="2"/>
  <c r="G31" i="2"/>
  <c r="G84" i="2"/>
  <c r="G35" i="2"/>
  <c r="G28" i="2"/>
  <c r="G58" i="2"/>
  <c r="G34" i="2"/>
  <c r="G79" i="2"/>
  <c r="G74" i="2"/>
  <c r="G75" i="2"/>
  <c r="G33" i="2"/>
  <c r="G9" i="2"/>
  <c r="G36" i="2"/>
  <c r="G85" i="2"/>
  <c r="G81" i="2"/>
  <c r="G29" i="2"/>
  <c r="G83" i="2"/>
  <c r="G80" i="2"/>
  <c r="G12" i="2"/>
  <c r="G39" i="2"/>
  <c r="G82" i="2"/>
  <c r="G73" i="2"/>
  <c r="G30" i="2"/>
  <c r="G25" i="2"/>
  <c r="G72" i="2"/>
  <c r="G76" i="2"/>
  <c r="H34" i="2"/>
  <c r="G78" i="2"/>
  <c r="Q5" i="3"/>
  <c r="H33" i="2" s="1"/>
  <c r="P198" i="3"/>
  <c r="Q187" i="3"/>
  <c r="P182" i="3"/>
  <c r="S173" i="3"/>
  <c r="S167" i="3"/>
  <c r="S147" i="3"/>
  <c r="S141" i="3"/>
  <c r="S135" i="3"/>
  <c r="S115" i="3"/>
  <c r="S109" i="3"/>
  <c r="S103" i="3"/>
  <c r="S83" i="3"/>
  <c r="S63" i="3"/>
  <c r="S57" i="3"/>
  <c r="S51" i="3"/>
  <c r="P28" i="3"/>
  <c r="P23" i="3"/>
  <c r="P12" i="3"/>
  <c r="P7" i="3"/>
  <c r="G88" i="2" s="1"/>
  <c r="S195" i="3"/>
  <c r="Q179" i="3"/>
  <c r="S163" i="3"/>
  <c r="S131" i="3"/>
  <c r="S119" i="3"/>
  <c r="S99" i="3"/>
  <c r="S67" i="3"/>
  <c r="P20" i="3"/>
  <c r="S189" i="3"/>
  <c r="P14" i="3"/>
  <c r="S117" i="3"/>
  <c r="Q193" i="3"/>
  <c r="Q177" i="3"/>
  <c r="P192" i="3"/>
  <c r="P176" i="3"/>
  <c r="P33" i="3"/>
  <c r="P22" i="3"/>
  <c r="P17" i="3"/>
  <c r="P6" i="3"/>
  <c r="G65" i="2" s="1"/>
  <c r="P196" i="3"/>
  <c r="S87" i="3"/>
  <c r="P36" i="3"/>
  <c r="P31" i="3"/>
  <c r="P15" i="3"/>
  <c r="P200" i="3"/>
  <c r="P184" i="3"/>
  <c r="P199" i="3"/>
  <c r="P188" i="3"/>
  <c r="Q174" i="3"/>
  <c r="Q197" i="3"/>
  <c r="Q181" i="3"/>
  <c r="S5" i="3"/>
  <c r="S196" i="3"/>
  <c r="Q191" i="3"/>
  <c r="P186" i="3"/>
  <c r="S180" i="3"/>
  <c r="S175" i="3"/>
  <c r="S171" i="3"/>
  <c r="S165" i="3"/>
  <c r="S145" i="3"/>
  <c r="S139" i="3"/>
  <c r="S133" i="3"/>
  <c r="S113" i="3"/>
  <c r="S107" i="3"/>
  <c r="S101" i="3"/>
  <c r="S81" i="3"/>
  <c r="S69" i="3"/>
  <c r="S49" i="3"/>
  <c r="S37" i="3"/>
  <c r="P32" i="3"/>
  <c r="P27" i="3"/>
  <c r="S21" i="3"/>
  <c r="P16" i="3"/>
  <c r="P11" i="3"/>
  <c r="P122" i="3"/>
  <c r="Q122" i="3"/>
  <c r="S122" i="3"/>
  <c r="P90" i="3"/>
  <c r="Q90" i="3"/>
  <c r="S90" i="3"/>
  <c r="S199" i="3"/>
  <c r="S191" i="3"/>
  <c r="S185" i="3"/>
  <c r="Q199" i="3"/>
  <c r="Q195" i="3"/>
  <c r="Q189" i="3"/>
  <c r="Q183" i="3"/>
  <c r="P197" i="3"/>
  <c r="P195" i="3"/>
  <c r="P193" i="3"/>
  <c r="P191" i="3"/>
  <c r="P189" i="3"/>
  <c r="P187" i="3"/>
  <c r="P185" i="3"/>
  <c r="P183" i="3"/>
  <c r="P181" i="3"/>
  <c r="P179" i="3"/>
  <c r="P177" i="3"/>
  <c r="P171" i="3"/>
  <c r="Q171" i="3"/>
  <c r="P160" i="3"/>
  <c r="Q160" i="3"/>
  <c r="S160" i="3"/>
  <c r="P155" i="3"/>
  <c r="Q155" i="3"/>
  <c r="P144" i="3"/>
  <c r="Q144" i="3"/>
  <c r="S144" i="3"/>
  <c r="P139" i="3"/>
  <c r="Q139" i="3"/>
  <c r="P128" i="3"/>
  <c r="Q128" i="3"/>
  <c r="S128" i="3"/>
  <c r="P123" i="3"/>
  <c r="Q123" i="3"/>
  <c r="P112" i="3"/>
  <c r="Q112" i="3"/>
  <c r="S112" i="3"/>
  <c r="P107" i="3"/>
  <c r="Q107" i="3"/>
  <c r="P96" i="3"/>
  <c r="Q96" i="3"/>
  <c r="S96" i="3"/>
  <c r="P91" i="3"/>
  <c r="Q91" i="3"/>
  <c r="P80" i="3"/>
  <c r="Q80" i="3"/>
  <c r="S80" i="3"/>
  <c r="P75" i="3"/>
  <c r="Q75" i="3"/>
  <c r="P64" i="3"/>
  <c r="Q64" i="3"/>
  <c r="S64" i="3"/>
  <c r="P59" i="3"/>
  <c r="Q59" i="3"/>
  <c r="P48" i="3"/>
  <c r="Q48" i="3"/>
  <c r="S48" i="3"/>
  <c r="P43" i="3"/>
  <c r="Q43" i="3"/>
  <c r="P133" i="3"/>
  <c r="Q133" i="3"/>
  <c r="P101" i="3"/>
  <c r="Q101" i="3"/>
  <c r="P69" i="3"/>
  <c r="Q69" i="3"/>
  <c r="P42" i="3"/>
  <c r="Q42" i="3"/>
  <c r="S42" i="3"/>
  <c r="P148" i="3"/>
  <c r="Q148" i="3"/>
  <c r="S148" i="3"/>
  <c r="P116" i="3"/>
  <c r="Q116" i="3"/>
  <c r="S116" i="3"/>
  <c r="P95" i="3"/>
  <c r="Q95" i="3"/>
  <c r="P79" i="3"/>
  <c r="Q79" i="3"/>
  <c r="P68" i="3"/>
  <c r="Q68" i="3"/>
  <c r="S68" i="3"/>
  <c r="P63" i="3"/>
  <c r="Q63" i="3"/>
  <c r="P52" i="3"/>
  <c r="Q52" i="3"/>
  <c r="S52" i="3"/>
  <c r="P149" i="3"/>
  <c r="Q149" i="3"/>
  <c r="P106" i="3"/>
  <c r="Q106" i="3"/>
  <c r="S106" i="3"/>
  <c r="P127" i="3"/>
  <c r="Q127" i="3"/>
  <c r="P84" i="3"/>
  <c r="Q84" i="3"/>
  <c r="S84" i="3"/>
  <c r="Q200" i="3"/>
  <c r="Q198" i="3"/>
  <c r="Q196" i="3"/>
  <c r="Q194" i="3"/>
  <c r="Q192" i="3"/>
  <c r="Q190" i="3"/>
  <c r="Q188" i="3"/>
  <c r="Q186" i="3"/>
  <c r="Q184" i="3"/>
  <c r="Q182" i="3"/>
  <c r="Q180" i="3"/>
  <c r="Q178" i="3"/>
  <c r="Q176" i="3"/>
  <c r="P169" i="3"/>
  <c r="Q169" i="3"/>
  <c r="P158" i="3"/>
  <c r="Q158" i="3"/>
  <c r="S158" i="3"/>
  <c r="P153" i="3"/>
  <c r="Q153" i="3"/>
  <c r="P142" i="3"/>
  <c r="Q142" i="3"/>
  <c r="S142" i="3"/>
  <c r="P137" i="3"/>
  <c r="Q137" i="3"/>
  <c r="P126" i="3"/>
  <c r="Q126" i="3"/>
  <c r="S126" i="3"/>
  <c r="P121" i="3"/>
  <c r="Q121" i="3"/>
  <c r="P110" i="3"/>
  <c r="Q110" i="3"/>
  <c r="S110" i="3"/>
  <c r="P105" i="3"/>
  <c r="Q105" i="3"/>
  <c r="P94" i="3"/>
  <c r="Q94" i="3"/>
  <c r="S94" i="3"/>
  <c r="P89" i="3"/>
  <c r="Q89" i="3"/>
  <c r="P78" i="3"/>
  <c r="Q78" i="3"/>
  <c r="S78" i="3"/>
  <c r="P73" i="3"/>
  <c r="Q73" i="3"/>
  <c r="P62" i="3"/>
  <c r="Q62" i="3"/>
  <c r="S62" i="3"/>
  <c r="P57" i="3"/>
  <c r="Q57" i="3"/>
  <c r="P46" i="3"/>
  <c r="Q46" i="3"/>
  <c r="S46" i="3"/>
  <c r="P41" i="3"/>
  <c r="Q41" i="3"/>
  <c r="P154" i="3"/>
  <c r="Q154" i="3"/>
  <c r="S154" i="3"/>
  <c r="P164" i="3"/>
  <c r="Q164" i="3"/>
  <c r="S164" i="3"/>
  <c r="P132" i="3"/>
  <c r="Q132" i="3"/>
  <c r="S132" i="3"/>
  <c r="P111" i="3"/>
  <c r="Q111" i="3"/>
  <c r="P47" i="3"/>
  <c r="Q47" i="3"/>
  <c r="P168" i="3"/>
  <c r="Q168" i="3"/>
  <c r="S168" i="3"/>
  <c r="P163" i="3"/>
  <c r="Q163" i="3"/>
  <c r="P152" i="3"/>
  <c r="Q152" i="3"/>
  <c r="S152" i="3"/>
  <c r="P147" i="3"/>
  <c r="Q147" i="3"/>
  <c r="P136" i="3"/>
  <c r="Q136" i="3"/>
  <c r="S136" i="3"/>
  <c r="P131" i="3"/>
  <c r="Q131" i="3"/>
  <c r="P120" i="3"/>
  <c r="Q120" i="3"/>
  <c r="S120" i="3"/>
  <c r="P115" i="3"/>
  <c r="Q115" i="3"/>
  <c r="P104" i="3"/>
  <c r="Q104" i="3"/>
  <c r="S104" i="3"/>
  <c r="P99" i="3"/>
  <c r="Q99" i="3"/>
  <c r="P88" i="3"/>
  <c r="Q88" i="3"/>
  <c r="S88" i="3"/>
  <c r="P83" i="3"/>
  <c r="Q83" i="3"/>
  <c r="P72" i="3"/>
  <c r="Q72" i="3"/>
  <c r="S72" i="3"/>
  <c r="P67" i="3"/>
  <c r="Q67" i="3"/>
  <c r="P56" i="3"/>
  <c r="Q56" i="3"/>
  <c r="S56" i="3"/>
  <c r="P51" i="3"/>
  <c r="Q51" i="3"/>
  <c r="P40" i="3"/>
  <c r="Q40" i="3"/>
  <c r="S40" i="3"/>
  <c r="P117" i="3"/>
  <c r="Q117" i="3"/>
  <c r="P58" i="3"/>
  <c r="Q58" i="3"/>
  <c r="S58" i="3"/>
  <c r="P100" i="3"/>
  <c r="Q100" i="3"/>
  <c r="S100" i="3"/>
  <c r="P173" i="3"/>
  <c r="Q173" i="3"/>
  <c r="P162" i="3"/>
  <c r="Q162" i="3"/>
  <c r="S162" i="3"/>
  <c r="P157" i="3"/>
  <c r="Q157" i="3"/>
  <c r="P146" i="3"/>
  <c r="Q146" i="3"/>
  <c r="S146" i="3"/>
  <c r="P141" i="3"/>
  <c r="Q141" i="3"/>
  <c r="P130" i="3"/>
  <c r="Q130" i="3"/>
  <c r="S130" i="3"/>
  <c r="P125" i="3"/>
  <c r="Q125" i="3"/>
  <c r="P114" i="3"/>
  <c r="Q114" i="3"/>
  <c r="S114" i="3"/>
  <c r="P109" i="3"/>
  <c r="Q109" i="3"/>
  <c r="P98" i="3"/>
  <c r="Q98" i="3"/>
  <c r="S98" i="3"/>
  <c r="P93" i="3"/>
  <c r="Q93" i="3"/>
  <c r="P82" i="3"/>
  <c r="Q82" i="3"/>
  <c r="S82" i="3"/>
  <c r="P77" i="3"/>
  <c r="Q77" i="3"/>
  <c r="P66" i="3"/>
  <c r="Q66" i="3"/>
  <c r="S66" i="3"/>
  <c r="P61" i="3"/>
  <c r="Q61" i="3"/>
  <c r="P50" i="3"/>
  <c r="Q50" i="3"/>
  <c r="S50" i="3"/>
  <c r="P45" i="3"/>
  <c r="Q45" i="3"/>
  <c r="P170" i="3"/>
  <c r="Q170" i="3"/>
  <c r="S170" i="3"/>
  <c r="P85" i="3"/>
  <c r="Q85" i="3"/>
  <c r="P143" i="3"/>
  <c r="Q143" i="3"/>
  <c r="S193" i="3"/>
  <c r="S187" i="3"/>
  <c r="S181" i="3"/>
  <c r="S177" i="3"/>
  <c r="P167" i="3"/>
  <c r="Q167" i="3"/>
  <c r="P156" i="3"/>
  <c r="Q156" i="3"/>
  <c r="S156" i="3"/>
  <c r="P140" i="3"/>
  <c r="Q140" i="3"/>
  <c r="S140" i="3"/>
  <c r="P135" i="3"/>
  <c r="Q135" i="3"/>
  <c r="P124" i="3"/>
  <c r="Q124" i="3"/>
  <c r="S124" i="3"/>
  <c r="P119" i="3"/>
  <c r="Q119" i="3"/>
  <c r="P108" i="3"/>
  <c r="Q108" i="3"/>
  <c r="S108" i="3"/>
  <c r="P103" i="3"/>
  <c r="Q103" i="3"/>
  <c r="P92" i="3"/>
  <c r="Q92" i="3"/>
  <c r="S92" i="3"/>
  <c r="P87" i="3"/>
  <c r="Q87" i="3"/>
  <c r="P76" i="3"/>
  <c r="Q76" i="3"/>
  <c r="S76" i="3"/>
  <c r="P71" i="3"/>
  <c r="Q71" i="3"/>
  <c r="P60" i="3"/>
  <c r="Q60" i="3"/>
  <c r="S60" i="3"/>
  <c r="P55" i="3"/>
  <c r="Q55" i="3"/>
  <c r="P44" i="3"/>
  <c r="Q44" i="3"/>
  <c r="S44" i="3"/>
  <c r="P39" i="3"/>
  <c r="Q39" i="3"/>
  <c r="P165" i="3"/>
  <c r="Q165" i="3"/>
  <c r="P138" i="3"/>
  <c r="Q138" i="3"/>
  <c r="S138" i="3"/>
  <c r="P74" i="3"/>
  <c r="Q74" i="3"/>
  <c r="S74" i="3"/>
  <c r="P53" i="3"/>
  <c r="Q53" i="3"/>
  <c r="P159" i="3"/>
  <c r="Q159" i="3"/>
  <c r="S197" i="3"/>
  <c r="S179" i="3"/>
  <c r="P172" i="3"/>
  <c r="Q172" i="3"/>
  <c r="S172" i="3"/>
  <c r="P151" i="3"/>
  <c r="Q151" i="3"/>
  <c r="P166" i="3"/>
  <c r="Q166" i="3"/>
  <c r="S166" i="3"/>
  <c r="P161" i="3"/>
  <c r="Q161" i="3"/>
  <c r="P150" i="3"/>
  <c r="Q150" i="3"/>
  <c r="S150" i="3"/>
  <c r="P145" i="3"/>
  <c r="Q145" i="3"/>
  <c r="P134" i="3"/>
  <c r="Q134" i="3"/>
  <c r="S134" i="3"/>
  <c r="P129" i="3"/>
  <c r="Q129" i="3"/>
  <c r="P118" i="3"/>
  <c r="Q118" i="3"/>
  <c r="S118" i="3"/>
  <c r="P113" i="3"/>
  <c r="Q113" i="3"/>
  <c r="P102" i="3"/>
  <c r="Q102" i="3"/>
  <c r="S102" i="3"/>
  <c r="P97" i="3"/>
  <c r="Q97" i="3"/>
  <c r="P86" i="3"/>
  <c r="Q86" i="3"/>
  <c r="S86" i="3"/>
  <c r="P81" i="3"/>
  <c r="Q81" i="3"/>
  <c r="P70" i="3"/>
  <c r="Q70" i="3"/>
  <c r="S70" i="3"/>
  <c r="P65" i="3"/>
  <c r="Q65" i="3"/>
  <c r="P54" i="3"/>
  <c r="Q54" i="3"/>
  <c r="S54" i="3"/>
  <c r="P49" i="3"/>
  <c r="Q49" i="3"/>
  <c r="P38" i="3"/>
  <c r="Q38" i="3"/>
  <c r="S38" i="3"/>
  <c r="Q37" i="3"/>
  <c r="Q35" i="3"/>
  <c r="Q33" i="3"/>
  <c r="Q31" i="3"/>
  <c r="Q29" i="3"/>
  <c r="Q27" i="3"/>
  <c r="Q25" i="3"/>
  <c r="Q23" i="3"/>
  <c r="Q21" i="3"/>
  <c r="Q19" i="3"/>
  <c r="Q17" i="3"/>
  <c r="Q15" i="3"/>
  <c r="Q13" i="3"/>
  <c r="Q11" i="3"/>
  <c r="Q9" i="3"/>
  <c r="H51" i="2" s="1"/>
  <c r="Q7" i="3"/>
  <c r="H87" i="2" s="1"/>
  <c r="S36" i="3"/>
  <c r="S34" i="3"/>
  <c r="S32" i="3"/>
  <c r="S30" i="3"/>
  <c r="S28" i="3"/>
  <c r="S26" i="3"/>
  <c r="S24" i="3"/>
  <c r="S22" i="3"/>
  <c r="S20" i="3"/>
  <c r="S18" i="3"/>
  <c r="S16" i="3"/>
  <c r="S14" i="3"/>
  <c r="S12" i="3"/>
  <c r="S10" i="3"/>
  <c r="S8" i="3"/>
  <c r="S6" i="3"/>
  <c r="Q36" i="3"/>
  <c r="Q34" i="3"/>
  <c r="Q32" i="3"/>
  <c r="Q30" i="3"/>
  <c r="Q28" i="3"/>
  <c r="Q26" i="3"/>
  <c r="Q24" i="3"/>
  <c r="Q22" i="3"/>
  <c r="Q20" i="3"/>
  <c r="Q18" i="3"/>
  <c r="Q16" i="3"/>
  <c r="Q14" i="3"/>
  <c r="Q12" i="3"/>
  <c r="Q10" i="3"/>
  <c r="H80" i="2" s="1"/>
  <c r="Q8" i="3"/>
  <c r="H6" i="2" s="1"/>
  <c r="Q6" i="3"/>
  <c r="H66" i="2" s="1"/>
  <c r="G93" i="2" l="1"/>
  <c r="G67" i="2"/>
  <c r="G48" i="2"/>
  <c r="G4" i="2"/>
  <c r="G92" i="2"/>
  <c r="H35" i="2"/>
  <c r="G41" i="2"/>
  <c r="G10" i="2"/>
  <c r="G46" i="2"/>
  <c r="G27" i="2"/>
  <c r="G49" i="2"/>
  <c r="G19" i="2"/>
  <c r="G89" i="2"/>
  <c r="G21" i="2"/>
  <c r="G15" i="2"/>
  <c r="G16" i="2"/>
  <c r="G40" i="2"/>
  <c r="G57" i="2"/>
  <c r="G8" i="2"/>
  <c r="G22" i="2"/>
  <c r="G63" i="2"/>
  <c r="G44" i="2"/>
  <c r="G54" i="2"/>
  <c r="G43" i="2"/>
  <c r="G7" i="2"/>
  <c r="H67" i="2"/>
  <c r="G6" i="2"/>
  <c r="G13" i="2"/>
  <c r="G45" i="2"/>
  <c r="G95" i="2"/>
  <c r="G18" i="2"/>
  <c r="G52" i="2"/>
  <c r="G11" i="2"/>
  <c r="G20" i="2"/>
  <c r="G17" i="2"/>
  <c r="G47" i="2"/>
  <c r="G14" i="2"/>
  <c r="G59" i="2"/>
  <c r="G5" i="2"/>
  <c r="G56" i="2"/>
  <c r="G55" i="2"/>
  <c r="G3" i="2"/>
  <c r="G50" i="2"/>
  <c r="G42" i="2"/>
  <c r="G61" i="2"/>
  <c r="G90" i="2"/>
  <c r="G51" i="2"/>
  <c r="G64" i="2"/>
  <c r="G23" i="2"/>
  <c r="H86" i="2"/>
  <c r="H53" i="2"/>
  <c r="H57" i="2"/>
  <c r="H90" i="2"/>
  <c r="H28" i="2"/>
  <c r="H52" i="2"/>
  <c r="H24" i="2"/>
  <c r="H42" i="2"/>
  <c r="H95" i="2"/>
  <c r="H3" i="2"/>
  <c r="H75" i="2"/>
  <c r="H85" i="2"/>
  <c r="H26" i="2"/>
  <c r="H14" i="2"/>
  <c r="H16" i="2"/>
  <c r="H71" i="2"/>
  <c r="H39" i="2"/>
  <c r="H4" i="2"/>
  <c r="H54" i="2"/>
  <c r="H17" i="2"/>
  <c r="H78" i="2"/>
  <c r="H91" i="2"/>
  <c r="H59" i="2"/>
  <c r="H74" i="2"/>
  <c r="G60" i="2"/>
  <c r="H43" i="2"/>
  <c r="H18" i="2"/>
  <c r="H58" i="2"/>
  <c r="H8" i="2"/>
  <c r="G94" i="2"/>
  <c r="H23" i="2"/>
  <c r="H44" i="2"/>
  <c r="H94" i="2"/>
  <c r="H21" i="2"/>
  <c r="H27" i="2"/>
  <c r="H63" i="2"/>
  <c r="H37" i="2"/>
  <c r="H92" i="2"/>
  <c r="H72" i="2"/>
  <c r="H64" i="2"/>
  <c r="H49" i="2"/>
  <c r="H69" i="2"/>
  <c r="G68" i="2"/>
  <c r="H25" i="2"/>
  <c r="H73" i="2"/>
  <c r="H56" i="2"/>
  <c r="H55" i="2"/>
  <c r="H38" i="2"/>
  <c r="H88" i="2"/>
  <c r="H13" i="2"/>
  <c r="H65" i="2"/>
  <c r="H62" i="2"/>
  <c r="H29" i="2"/>
  <c r="G86" i="2"/>
  <c r="H89" i="2"/>
  <c r="H7" i="2"/>
  <c r="H83" i="2"/>
  <c r="G69" i="2"/>
  <c r="H30" i="2"/>
  <c r="H84" i="2"/>
  <c r="H76" i="2"/>
  <c r="H61" i="2"/>
  <c r="H70" i="2"/>
  <c r="G66" i="2"/>
  <c r="H50" i="2"/>
  <c r="H31" i="2"/>
  <c r="H5" i="2"/>
  <c r="H11" i="2"/>
  <c r="H68" i="2"/>
  <c r="H32" i="2"/>
  <c r="H82" i="2"/>
  <c r="H47" i="2"/>
  <c r="H22" i="2"/>
  <c r="G96" i="2"/>
  <c r="G87" i="2"/>
  <c r="H19" i="2"/>
  <c r="H96" i="2"/>
  <c r="H60" i="2"/>
  <c r="G62" i="2"/>
  <c r="H40" i="2"/>
  <c r="H15" i="2"/>
  <c r="H12" i="2"/>
  <c r="H45" i="2"/>
  <c r="H36" i="2"/>
  <c r="H79" i="2"/>
  <c r="H81" i="2"/>
  <c r="G91" i="2"/>
  <c r="H77" i="2"/>
  <c r="H9" i="2"/>
  <c r="H10" i="2"/>
  <c r="H20" i="2"/>
  <c r="H41" i="2"/>
  <c r="H93" i="2"/>
  <c r="H46" i="2"/>
  <c r="H48" i="2"/>
</calcChain>
</file>

<file path=xl/sharedStrings.xml><?xml version="1.0" encoding="utf-8"?>
<sst xmlns="http://schemas.openxmlformats.org/spreadsheetml/2006/main" count="493" uniqueCount="112">
  <si>
    <t>1)</t>
  </si>
  <si>
    <t>2)</t>
  </si>
  <si>
    <t>3)</t>
  </si>
  <si>
    <t>4)</t>
  </si>
  <si>
    <t>5)</t>
  </si>
  <si>
    <t>6)</t>
  </si>
  <si>
    <t>7)</t>
  </si>
  <si>
    <t>8)</t>
  </si>
  <si>
    <t>9)</t>
  </si>
  <si>
    <t>Date</t>
  </si>
  <si>
    <t>Month</t>
  </si>
  <si>
    <t>Year</t>
  </si>
  <si>
    <t>Dashboard</t>
  </si>
  <si>
    <t>Raw Data</t>
  </si>
  <si>
    <t>Database</t>
  </si>
  <si>
    <t>10)</t>
  </si>
  <si>
    <t>Marketing Budget Dashboard</t>
  </si>
  <si>
    <t>Brand</t>
  </si>
  <si>
    <t>Status</t>
  </si>
  <si>
    <t>Local Cost Element</t>
  </si>
  <si>
    <t>Local Cost Name</t>
  </si>
  <si>
    <t>Actual Cost (ACT)</t>
  </si>
  <si>
    <t>Supplier</t>
  </si>
  <si>
    <t>Bosch</t>
  </si>
  <si>
    <t>Profilo</t>
  </si>
  <si>
    <t>Siemens</t>
  </si>
  <si>
    <t>Merch</t>
  </si>
  <si>
    <t>Branding</t>
  </si>
  <si>
    <t>Merchandisers Expences</t>
  </si>
  <si>
    <t>Permanent Indoor POS</t>
  </si>
  <si>
    <t>Reference Table</t>
  </si>
  <si>
    <t>Comb.</t>
  </si>
  <si>
    <t xml:space="preserve">Suppliers </t>
  </si>
  <si>
    <t>Total Annual budget (FC)</t>
  </si>
  <si>
    <t>Brand-Status</t>
  </si>
  <si>
    <t>Monthly Estimanted Budget (EST)</t>
  </si>
  <si>
    <t>Section Spending Name</t>
  </si>
  <si>
    <t>Section Spending Element</t>
  </si>
  <si>
    <t>Lists details</t>
  </si>
  <si>
    <t>Row Labels</t>
  </si>
  <si>
    <t>Grand Total</t>
  </si>
  <si>
    <t>Estimated Cost (EST)</t>
  </si>
  <si>
    <t>Gap Amount</t>
  </si>
  <si>
    <t>Annual Budget</t>
  </si>
  <si>
    <t>Total Brands</t>
  </si>
  <si>
    <t>Total Suppliers</t>
  </si>
  <si>
    <t>Estimated Costs</t>
  </si>
  <si>
    <t>Gap Costs</t>
  </si>
  <si>
    <t>Sum of Estimated Cost (EST)</t>
  </si>
  <si>
    <t>Sum of Actual Cost (ACT)</t>
  </si>
  <si>
    <t>Sum of Gap Amount</t>
  </si>
  <si>
    <t>Actual Spending</t>
  </si>
  <si>
    <t>Achievement %</t>
  </si>
  <si>
    <t>Sum of Total Annual budget (FC)</t>
  </si>
  <si>
    <t>Actual Spending Costs</t>
  </si>
  <si>
    <t>Gap Cost</t>
  </si>
  <si>
    <t>11)</t>
  </si>
  <si>
    <t>12)</t>
  </si>
  <si>
    <t>Full Screen</t>
  </si>
  <si>
    <t>Marketing Budget Analysis</t>
  </si>
  <si>
    <t>Judul</t>
  </si>
  <si>
    <t>Konten</t>
  </si>
  <si>
    <t>Pengeluaran pemasaran adalah total pengeluaran organisasi untuk aktivitas pemasaran.</t>
  </si>
  <si>
    <t>Semua uang yang ingin dibelanjakan oleh bisnis untuk proyek terkait pemasaran selama setahun.</t>
  </si>
  <si>
    <t>Merupakan perkiraan biaya yang akan dikeluarkan dalam periode tertentu</t>
  </si>
  <si>
    <t>Adalah biaya pengeluaran aktual selama periode tertentu</t>
  </si>
  <si>
    <t>Selisih antara perkiraan biaya dan biaya sebenarnya. Nilai negatif menunjukkan bahwa biaya sebenarnya lebih tinggi dari perkiraan biaya</t>
  </si>
  <si>
    <t>Kesulitan kustomisasi (1-3)</t>
  </si>
  <si>
    <t>Penjelasan lembar</t>
  </si>
  <si>
    <t>Dari lembar dasbor ini Anda dapat meninjau analisis data pengeluaran pemasaran dengan grafik dinamis</t>
  </si>
  <si>
    <t>Melalui lembar ini Anda akan mencatat data biaya pengeluaran secara berkala</t>
  </si>
  <si>
    <t>Dari lembar dasbor ini Anda dapat mendaftarkan semua data merek dan rencana anggaran tahunan untuk setiap merek</t>
  </si>
  <si>
    <t>Bagaimana menyesuaikan</t>
  </si>
  <si>
    <t>Mulai dari lembar basis data, catat standar organisasi Anda untuk anggaran dan merek</t>
  </si>
  <si>
    <t>Di area sebelah kiri "Tabel daftar" Anda dapat mendaftarkan semua daftar yang diperlukan "Merek, status, dan pemasok terkait"</t>
  </si>
  <si>
    <t>Di sebelah kanan "Tabel Referensi" catat jenis merek dengan rencana anggaran tahunan</t>
  </si>
  <si>
    <t>Buka lembar Data Mentah dan mulailah mendaftar biaya pengeluaran bulanan atau berkala "Perkiraan dan Aktual"</t>
  </si>
  <si>
    <t>Untuk setiap bulan atau periode waktu, catat data dalam format "MM-YYYY"</t>
  </si>
  <si>
    <t>Pilih merek dan status untuk mencerminkan data yang diperlukan</t>
  </si>
  <si>
    <t>Pilih pemasok terkait untuk biaya masuk</t>
  </si>
  <si>
    <t>Rekam perkiraan dan biaya aktual</t>
  </si>
  <si>
    <t>Entri data hanya berlaku untuk kolom putih kosong.</t>
  </si>
  <si>
    <t>Untuk menambahkan entri baru, mulailah merekam data di sel baris terakhir dan secara otomatis akan menambahkan register data baru</t>
  </si>
  <si>
    <t>Sekarang basis data dibuat dan data mentah disimpan dan siap untuk divisualisasikan</t>
  </si>
  <si>
    <t>Dari lembar Dasbor, Anda dapat memvisualisasikan semua Analisis Pengeluaran Pemasaran dengan pemotong dinamis yang dapat dengan mudah memanipulasi semua analisis yang diperlukan</t>
  </si>
  <si>
    <t>Terkait Dengan Template Online</t>
  </si>
  <si>
    <t>Templat kami kompatibel dengan layanan online tetapi beberapa templat yang menyertakan fitur makro masih belum didukung dengan Excel Online</t>
  </si>
  <si>
    <t>Berikut adalah beberapa petunjuk yang menggantikan makro kami jika menggunakan Template Online</t>
  </si>
  <si>
    <t>Segarkan / Perbarui Data</t>
  </si>
  <si>
    <t>Beberapa template kami menyertakan tombol makro Refresh/Update data yang dapat diganti dengan alat Refresh All di pita Excel Online</t>
  </si>
  <si>
    <t>Beberapa templat kami memiliki tombol makro Layar Penuh yang dapat diganti dengan alat layar penuh peramban web itu sendiri</t>
  </si>
  <si>
    <t>Makro / Tombol Lainnya</t>
  </si>
  <si>
    <t>Makro lain yang diterapkan kurang dari ~15% dari template kami dapat diatasi dengan mentransfer ke Aplikasi Desktop tombol "Buka di Aplikasi Desktop"</t>
  </si>
  <si>
    <t>Buka di Aplikasi Desktop</t>
  </si>
  <si>
    <t>Untuk membuka template online menggunakan Aplikasi Desktop, pastikan Anda masuk ke akun Microsoft / akun Onedrive Anda</t>
  </si>
  <si>
    <t>PT Supplier 1</t>
  </si>
  <si>
    <t>PT Supplier 2</t>
  </si>
  <si>
    <t>PT Supplier 3</t>
  </si>
  <si>
    <t>PT Supplier 4</t>
  </si>
  <si>
    <t>PT Supplier 5</t>
  </si>
  <si>
    <t>PT Supplier 6</t>
  </si>
  <si>
    <t>PT Supplier 7</t>
  </si>
  <si>
    <t>PT Supplier 8</t>
  </si>
  <si>
    <t>PT Supplier 9</t>
  </si>
  <si>
    <t>PT Supplier 10</t>
  </si>
  <si>
    <t>PT Supplier 11</t>
  </si>
  <si>
    <t>PT Supplier 12</t>
  </si>
  <si>
    <t>PT Supplier 13</t>
  </si>
  <si>
    <t>PT Supplier 14</t>
  </si>
  <si>
    <t>PT Supplier 15</t>
  </si>
  <si>
    <t>PT Supplier 16</t>
  </si>
  <si>
    <t>PT Supplier 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</si>
</sst>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409]mmm\-yy;@"/>
    <numFmt numFmtId="166" formatCode="mmm"/>
    <numFmt numFmtId="167" formatCode="yyyy"/>
    <numFmt numFmtId="168" formatCode="0.0%"/>
  </numFmts>
  <fonts count="20" x14ac:knownFonts="1">
    <font>
      <sz val="11"/>
      <color theme="1"/>
      <name val="Calibri"/>
      <family val="2"/>
      <scheme val="minor"/>
    </font>
    <font>
      <sz val="10"/>
      <color theme="1"/>
      <name val="Arial"/>
      <family val="2"/>
    </font>
    <font>
      <b/>
      <sz val="10"/>
      <color theme="1"/>
      <name val="Arial"/>
      <family val="2"/>
    </font>
    <font>
      <u/>
      <sz val="10"/>
      <color theme="1"/>
      <name val="Arial"/>
      <family val="2"/>
    </font>
    <font>
      <b/>
      <u/>
      <sz val="10"/>
      <color theme="1"/>
      <name val="Arial"/>
      <family val="2"/>
    </font>
    <font>
      <i/>
      <u/>
      <sz val="10"/>
      <color theme="1"/>
      <name val="Arial"/>
      <family val="2"/>
    </font>
    <font>
      <u/>
      <sz val="11"/>
      <color theme="10"/>
      <name val="Calibri"/>
      <family val="2"/>
      <scheme val="minor"/>
    </font>
    <font>
      <b/>
      <sz val="10"/>
      <color theme="0"/>
      <name val="Arial"/>
      <family val="2"/>
    </font>
    <font>
      <sz val="11"/>
      <color theme="0"/>
      <name val="Calibri"/>
      <family val="2"/>
      <scheme val="minor"/>
    </font>
    <font>
      <sz val="11"/>
      <color theme="1"/>
      <name val="Calibri"/>
      <family val="2"/>
      <scheme val="minor"/>
    </font>
    <font>
      <sz val="10"/>
      <color theme="0"/>
      <name val="Arial"/>
      <family val="2"/>
    </font>
    <font>
      <sz val="14"/>
      <color theme="0"/>
      <name val="Arial"/>
      <family val="2"/>
    </font>
    <font>
      <sz val="11"/>
      <color rgb="FF000000"/>
      <name val="Calibri"/>
      <family val="2"/>
    </font>
    <font>
      <u/>
      <sz val="11"/>
      <color theme="0"/>
      <name val="Calibri"/>
      <family val="2"/>
      <scheme val="minor"/>
    </font>
    <font>
      <b/>
      <sz val="12"/>
      <color rgb="FFA32319"/>
      <name val="Arial"/>
      <family val="2"/>
    </font>
    <font>
      <sz val="36"/>
      <color rgb="FFA32319"/>
      <name val="Arial"/>
      <family val="2"/>
    </font>
    <font>
      <sz val="26"/>
      <color rgb="FFA32319"/>
      <name val="Arial"/>
      <family val="2"/>
    </font>
    <font>
      <sz val="18"/>
      <color rgb="FFA32319"/>
      <name val="Arial"/>
      <family val="2"/>
    </font>
    <font>
      <b/>
      <sz val="16"/>
      <color rgb="FFA32319"/>
      <name val="Arial"/>
      <family val="2"/>
    </font>
    <font>
      <sz val="8"/>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A32319"/>
        <bgColor indexed="64"/>
      </patternFill>
    </fill>
  </fills>
  <borders count="15">
    <border>
      <left/>
      <right/>
      <top/>
      <bottom/>
      <diagonal/>
    </border>
    <border>
      <left style="thin">
        <color theme="0" tint="-0.34998626667073579"/>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style="dashed">
        <color theme="0" tint="-0.34998626667073579"/>
      </left>
      <right style="thin">
        <color theme="0" tint="-0.34998626667073579"/>
      </right>
      <top style="dashed">
        <color theme="0" tint="-0.34998626667073579"/>
      </top>
      <bottom style="dashed">
        <color theme="0" tint="-0.34998626667073579"/>
      </bottom>
      <diagonal/>
    </border>
    <border>
      <left/>
      <right style="dashed">
        <color theme="0" tint="-0.34998626667073579"/>
      </right>
      <top style="dashed">
        <color theme="0" tint="-0.34998626667073579"/>
      </top>
      <bottom style="dashed">
        <color theme="0" tint="-0.34998626667073579"/>
      </bottom>
      <diagonal/>
    </border>
    <border>
      <left/>
      <right/>
      <top/>
      <bottom style="medium">
        <color theme="0" tint="-0.499984740745262"/>
      </bottom>
      <diagonal/>
    </border>
    <border>
      <left/>
      <right/>
      <top style="medium">
        <color theme="0" tint="-0.499984740745262"/>
      </top>
      <bottom/>
      <diagonal/>
    </border>
    <border>
      <left style="thin">
        <color theme="9"/>
      </left>
      <right/>
      <top/>
      <bottom/>
      <diagonal/>
    </border>
    <border>
      <left style="thin">
        <color theme="0" tint="-0.34998626667073579"/>
      </left>
      <right style="thin">
        <color theme="0" tint="-0.34998626667073579"/>
      </right>
      <top style="dashed">
        <color theme="0" tint="-0.34998626667073579"/>
      </top>
      <bottom style="dashed">
        <color theme="0" tint="-0.34998626667073579"/>
      </bottom>
      <diagonal/>
    </border>
    <border>
      <left style="thin">
        <color theme="0" tint="-0.34998626667073579"/>
      </left>
      <right style="thin">
        <color theme="0" tint="-0.34998626667073579"/>
      </right>
      <top/>
      <bottom/>
      <diagonal/>
    </border>
    <border>
      <left style="thin">
        <color theme="9"/>
      </left>
      <right style="thin">
        <color theme="9"/>
      </right>
      <top/>
      <bottom/>
      <diagonal/>
    </border>
    <border>
      <left style="thin">
        <color theme="0" tint="-0.34998626667073579"/>
      </left>
      <right style="dashed">
        <color theme="0" tint="-0.34998626667073579"/>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style="dashed">
        <color theme="0" tint="-0.34998626667073579"/>
      </right>
      <top style="dashed">
        <color theme="0" tint="-0.34998626667073579"/>
      </top>
      <bottom/>
      <diagonal/>
    </border>
    <border>
      <left style="dashed">
        <color theme="0" tint="-0.34998626667073579"/>
      </left>
      <right style="thin">
        <color theme="0" tint="-0.34998626667073579"/>
      </right>
      <top style="dashed">
        <color theme="0" tint="-0.34998626667073579"/>
      </top>
      <bottom/>
      <diagonal/>
    </border>
  </borders>
  <cellStyleXfs count="6">
    <xf numFmtId="0" fontId="0" fillId="0" borderId="0"/>
    <xf numFmtId="0" fontId="1" fillId="0" borderId="0"/>
    <xf numFmtId="0" fontId="6" fillId="0" borderId="0"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1" fillId="0" borderId="0"/>
  </cellStyleXfs>
  <cellXfs count="74">
    <xf numFmtId="0" fontId="0" fillId="0" borderId="0" xfId="0"/>
    <xf numFmtId="0" fontId="1" fillId="0" borderId="0" xfId="0" applyFont="1"/>
    <xf numFmtId="0" fontId="2" fillId="0" borderId="0" xfId="0" applyFont="1"/>
    <xf numFmtId="0" fontId="2" fillId="0" borderId="0" xfId="1" applyFont="1"/>
    <xf numFmtId="0" fontId="5" fillId="0" borderId="0" xfId="0" applyFont="1" applyAlignment="1">
      <alignment horizontal="right"/>
    </xf>
    <xf numFmtId="0" fontId="4" fillId="0" borderId="0" xfId="0" applyFont="1" applyAlignment="1">
      <alignment horizontal="right"/>
    </xf>
    <xf numFmtId="0" fontId="1" fillId="0" borderId="0" xfId="0" applyFont="1" applyAlignment="1">
      <alignment horizontal="right"/>
    </xf>
    <xf numFmtId="165" fontId="1" fillId="0" borderId="0" xfId="0" applyNumberFormat="1" applyFont="1" applyProtection="1">
      <protection locked="0"/>
    </xf>
    <xf numFmtId="0" fontId="1" fillId="0" borderId="0" xfId="0" applyFont="1" applyProtection="1">
      <protection locked="0"/>
    </xf>
    <xf numFmtId="164" fontId="1" fillId="0" borderId="0" xfId="0" applyNumberFormat="1" applyFont="1"/>
    <xf numFmtId="0" fontId="2" fillId="0" borderId="0" xfId="0" applyFont="1" applyAlignment="1">
      <alignment horizontal="center"/>
    </xf>
    <xf numFmtId="0" fontId="1" fillId="0" borderId="1" xfId="0" applyFont="1" applyBorder="1"/>
    <xf numFmtId="0" fontId="1" fillId="0" borderId="4" xfId="0" applyFont="1" applyBorder="1"/>
    <xf numFmtId="0" fontId="1" fillId="0" borderId="3" xfId="0" applyFont="1" applyBorder="1"/>
    <xf numFmtId="0" fontId="1" fillId="0" borderId="6" xfId="0" applyFont="1" applyBorder="1"/>
    <xf numFmtId="0" fontId="1" fillId="0" borderId="2" xfId="0" applyFont="1" applyBorder="1" applyAlignment="1">
      <alignment horizontal="left"/>
    </xf>
    <xf numFmtId="0" fontId="1" fillId="0" borderId="3" xfId="0" applyFont="1" applyBorder="1" applyAlignment="1">
      <alignment horizontal="left"/>
    </xf>
    <xf numFmtId="0" fontId="10" fillId="0" borderId="0" xfId="0" applyFont="1"/>
    <xf numFmtId="0" fontId="1" fillId="0" borderId="8" xfId="0" applyFont="1" applyBorder="1"/>
    <xf numFmtId="164" fontId="1" fillId="0" borderId="3" xfId="3" applyNumberFormat="1" applyFont="1" applyBorder="1"/>
    <xf numFmtId="0" fontId="1" fillId="4" borderId="0" xfId="0" applyFont="1" applyFill="1"/>
    <xf numFmtId="164" fontId="1" fillId="0" borderId="0" xfId="3" applyNumberFormat="1" applyFont="1"/>
    <xf numFmtId="165" fontId="1" fillId="0" borderId="9" xfId="0" applyNumberFormat="1" applyFont="1" applyBorder="1" applyProtection="1">
      <protection locked="0"/>
    </xf>
    <xf numFmtId="166" fontId="1" fillId="2" borderId="9" xfId="0" applyNumberFormat="1" applyFont="1" applyFill="1" applyBorder="1"/>
    <xf numFmtId="167" fontId="1" fillId="2" borderId="9" xfId="0" applyNumberFormat="1" applyFont="1" applyFill="1" applyBorder="1"/>
    <xf numFmtId="0" fontId="1" fillId="0" borderId="9" xfId="0" applyFont="1" applyBorder="1" applyProtection="1">
      <protection locked="0"/>
    </xf>
    <xf numFmtId="0" fontId="1" fillId="0" borderId="9" xfId="0" applyFont="1" applyBorder="1"/>
    <xf numFmtId="0" fontId="1" fillId="2" borderId="9" xfId="0" applyFont="1" applyFill="1" applyBorder="1"/>
    <xf numFmtId="0" fontId="1" fillId="2" borderId="9" xfId="0" applyFont="1" applyFill="1" applyBorder="1" applyAlignment="1">
      <alignment horizontal="left"/>
    </xf>
    <xf numFmtId="164" fontId="1" fillId="0" borderId="9" xfId="3" applyNumberFormat="1" applyFont="1" applyBorder="1" applyProtection="1">
      <protection locked="0"/>
    </xf>
    <xf numFmtId="164" fontId="1" fillId="2" borderId="0" xfId="0" applyNumberFormat="1" applyFont="1" applyFill="1"/>
    <xf numFmtId="0" fontId="0" fillId="0" borderId="0" xfId="0" pivotButton="1"/>
    <xf numFmtId="0" fontId="0" fillId="0" borderId="0" xfId="0" applyAlignment="1">
      <alignment horizontal="left"/>
    </xf>
    <xf numFmtId="164" fontId="0" fillId="0" borderId="0" xfId="0" applyNumberFormat="1"/>
    <xf numFmtId="164" fontId="1" fillId="0" borderId="9" xfId="3" applyNumberFormat="1" applyFont="1" applyFill="1" applyBorder="1"/>
    <xf numFmtId="164" fontId="1" fillId="0" borderId="9" xfId="3" applyNumberFormat="1" applyFont="1" applyFill="1" applyBorder="1" applyProtection="1"/>
    <xf numFmtId="165" fontId="0" fillId="0" borderId="0" xfId="0" applyNumberFormat="1" applyAlignment="1">
      <alignment horizontal="left"/>
    </xf>
    <xf numFmtId="0" fontId="1" fillId="0" borderId="11" xfId="0" applyFont="1" applyBorder="1"/>
    <xf numFmtId="0" fontId="1" fillId="0" borderId="12" xfId="0" applyFont="1" applyBorder="1"/>
    <xf numFmtId="0" fontId="1" fillId="0" borderId="13" xfId="0" applyFont="1" applyBorder="1" applyAlignment="1">
      <alignment horizontal="left"/>
    </xf>
    <xf numFmtId="0" fontId="1" fillId="0" borderId="14" xfId="0" applyFont="1" applyBorder="1"/>
    <xf numFmtId="164" fontId="1" fillId="0" borderId="14" xfId="3" applyNumberFormat="1" applyFont="1" applyBorder="1"/>
    <xf numFmtId="164" fontId="0" fillId="0" borderId="0" xfId="3" applyNumberFormat="1" applyFont="1"/>
    <xf numFmtId="0" fontId="1" fillId="0" borderId="0" xfId="0" applyFont="1" applyAlignment="1">
      <alignment horizontal="left"/>
    </xf>
    <xf numFmtId="0" fontId="2" fillId="0" borderId="0" xfId="0" applyFont="1" applyAlignment="1">
      <alignment horizontal="right"/>
    </xf>
    <xf numFmtId="0" fontId="1" fillId="0" borderId="0" xfId="5"/>
    <xf numFmtId="0" fontId="6" fillId="0" borderId="0" xfId="2"/>
    <xf numFmtId="0" fontId="0" fillId="0" borderId="0" xfId="0" applyNumberFormat="1"/>
    <xf numFmtId="0" fontId="7" fillId="5" borderId="7" xfId="0" applyFont="1" applyFill="1" applyBorder="1" applyAlignment="1">
      <alignment horizontal="left" vertical="center" wrapText="1"/>
    </xf>
    <xf numFmtId="0" fontId="7" fillId="5" borderId="10" xfId="0" applyFont="1" applyFill="1" applyBorder="1" applyAlignment="1">
      <alignment horizontal="left" vertical="center"/>
    </xf>
    <xf numFmtId="0" fontId="14" fillId="3" borderId="0" xfId="0" applyFont="1" applyFill="1"/>
    <xf numFmtId="164" fontId="16" fillId="3" borderId="0" xfId="3" applyNumberFormat="1" applyFont="1" applyFill="1" applyBorder="1" applyAlignment="1">
      <alignment vertical="center"/>
    </xf>
    <xf numFmtId="0" fontId="15" fillId="3" borderId="0" xfId="0" applyFont="1" applyFill="1" applyAlignment="1">
      <alignment vertical="center"/>
    </xf>
    <xf numFmtId="164" fontId="18" fillId="3" borderId="0" xfId="3" applyNumberFormat="1" applyFont="1" applyFill="1" applyBorder="1" applyAlignment="1">
      <alignment vertical="center"/>
    </xf>
    <xf numFmtId="164" fontId="16" fillId="3" borderId="5" xfId="3" applyNumberFormat="1" applyFont="1" applyFill="1" applyBorder="1" applyAlignment="1">
      <alignment vertical="center"/>
    </xf>
    <xf numFmtId="0" fontId="15" fillId="3" borderId="5" xfId="0" applyFont="1" applyFill="1" applyBorder="1" applyAlignment="1">
      <alignment vertical="center"/>
    </xf>
    <xf numFmtId="164" fontId="18" fillId="3" borderId="5" xfId="3" applyNumberFormat="1" applyFont="1" applyFill="1" applyBorder="1" applyAlignment="1">
      <alignment vertical="center"/>
    </xf>
    <xf numFmtId="0" fontId="10" fillId="5" borderId="0" xfId="0" applyFont="1" applyFill="1" applyAlignment="1">
      <alignment horizontal="center" vertical="center" wrapText="1"/>
    </xf>
    <xf numFmtId="0" fontId="13" fillId="5" borderId="0" xfId="2" applyFont="1" applyFill="1"/>
    <xf numFmtId="0" fontId="8" fillId="5" borderId="0" xfId="2" applyFont="1" applyFill="1"/>
    <xf numFmtId="0" fontId="3" fillId="5" borderId="0" xfId="0" applyFont="1" applyFill="1"/>
    <xf numFmtId="0" fontId="1" fillId="5" borderId="0" xfId="0" applyFont="1" applyFill="1"/>
    <xf numFmtId="0" fontId="1" fillId="2" borderId="9" xfId="0" applyFont="1" applyFill="1" applyBorder="1" applyProtection="1"/>
    <xf numFmtId="0" fontId="11" fillId="5" borderId="0" xfId="0" applyFont="1" applyFill="1" applyAlignment="1">
      <alignment horizontal="center" vertical="center" wrapText="1"/>
    </xf>
    <xf numFmtId="0" fontId="11" fillId="5" borderId="5" xfId="0" applyFont="1" applyFill="1" applyBorder="1" applyAlignment="1">
      <alignment horizontal="center" vertical="center" wrapText="1"/>
    </xf>
    <xf numFmtId="0" fontId="14" fillId="3" borderId="0" xfId="0" applyFont="1" applyFill="1" applyAlignment="1">
      <alignment horizontal="center"/>
    </xf>
    <xf numFmtId="0" fontId="15" fillId="3" borderId="0" xfId="0" applyFont="1" applyFill="1" applyAlignment="1">
      <alignment horizontal="right" vertical="center"/>
    </xf>
    <xf numFmtId="0" fontId="15" fillId="3" borderId="5" xfId="0" applyFont="1" applyFill="1" applyBorder="1" applyAlignment="1">
      <alignment horizontal="right" vertical="center"/>
    </xf>
    <xf numFmtId="0" fontId="15" fillId="3" borderId="0" xfId="3" applyNumberFormat="1" applyFont="1" applyFill="1" applyBorder="1" applyAlignment="1">
      <alignment horizontal="right" vertical="center"/>
    </xf>
    <xf numFmtId="0" fontId="15" fillId="3" borderId="5" xfId="3" applyNumberFormat="1" applyFont="1" applyFill="1" applyBorder="1" applyAlignment="1">
      <alignment horizontal="right" vertical="center"/>
    </xf>
    <xf numFmtId="164" fontId="17" fillId="3" borderId="0" xfId="3" applyNumberFormat="1" applyFont="1" applyFill="1" applyBorder="1" applyAlignment="1">
      <alignment horizontal="center" vertical="center"/>
    </xf>
    <xf numFmtId="164" fontId="17" fillId="3" borderId="5" xfId="3" applyNumberFormat="1" applyFont="1" applyFill="1" applyBorder="1" applyAlignment="1">
      <alignment horizontal="center" vertical="center"/>
    </xf>
    <xf numFmtId="168" fontId="17" fillId="3" borderId="0" xfId="4" applyNumberFormat="1" applyFont="1" applyFill="1" applyBorder="1" applyAlignment="1">
      <alignment horizontal="center" vertical="center"/>
    </xf>
    <xf numFmtId="168" fontId="17" fillId="3" borderId="5" xfId="4" applyNumberFormat="1" applyFont="1" applyFill="1" applyBorder="1" applyAlignment="1">
      <alignment horizontal="center" vertical="center"/>
    </xf>
  </cellXfs>
  <cellStyles count="6">
    <cellStyle name="Comma" xfId="3" builtinId="3"/>
    <cellStyle name="Hyperlink" xfId="2" builtinId="8"/>
    <cellStyle name="Normal" xfId="0" builtinId="0"/>
    <cellStyle name="Normal 2" xfId="1" xr:uid="{4C4B56A4-5300-4763-9054-91E1974E06C1}"/>
    <cellStyle name="Normal 2 2" xfId="5" xr:uid="{A5B3415C-6AE1-43C7-BF36-BCBB7311F9A5}"/>
    <cellStyle name="Percent" xfId="4" builtinId="5"/>
  </cellStyles>
  <dxfs count="42">
    <dxf>
      <font>
        <b val="0"/>
        <i val="0"/>
        <strike val="0"/>
        <condense val="0"/>
        <extend val="0"/>
        <outline val="0"/>
        <shadow val="0"/>
        <u val="none"/>
        <vertAlign val="baseline"/>
        <sz val="10"/>
        <color theme="1"/>
        <name val="Arial"/>
        <family val="2"/>
        <scheme val="none"/>
      </font>
      <numFmt numFmtId="164" formatCode="_(* #,##0_);_(* \(#,##0\);_(* &quot;-&quot;??_);_(@_)"/>
      <border diagonalUp="0" diagonalDown="0">
        <left style="dashed">
          <color theme="0" tint="-0.34998626667073579"/>
        </left>
        <right style="thin">
          <color theme="0" tint="-0.34998626667073579"/>
        </right>
        <top style="dashed">
          <color theme="0" tint="-0.34998626667073579"/>
        </top>
        <bottom style="dashed">
          <color theme="0" tint="-0.34998626667073579"/>
        </bottom>
        <vertical/>
        <horizontal/>
      </border>
    </dxf>
    <dxf>
      <font>
        <b val="0"/>
        <i val="0"/>
        <strike val="0"/>
        <condense val="0"/>
        <extend val="0"/>
        <outline val="0"/>
        <shadow val="0"/>
        <u val="none"/>
        <vertAlign val="baseline"/>
        <sz val="10"/>
        <color theme="1"/>
        <name val="Arial"/>
        <family val="2"/>
        <scheme val="none"/>
      </font>
      <border diagonalUp="0" diagonalDown="0">
        <left style="dashed">
          <color theme="0" tint="-0.34998626667073579"/>
        </left>
        <right style="thin">
          <color theme="0" tint="-0.34998626667073579"/>
        </right>
        <top style="dashed">
          <color theme="0" tint="-0.34998626667073579"/>
        </top>
        <bottom style="dashed">
          <color theme="0" tint="-0.34998626667073579"/>
        </bottom>
        <vertical/>
        <horizontal/>
      </border>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border diagonalUp="0" diagonalDown="0">
        <left style="dashed">
          <color theme="0" tint="-0.34998626667073579"/>
        </left>
        <right style="dashed">
          <color theme="0" tint="-0.34998626667073579"/>
        </right>
        <top style="dashed">
          <color theme="0" tint="-0.34998626667073579"/>
        </top>
        <bottom style="dashed">
          <color theme="0" tint="-0.34998626667073579"/>
        </bottom>
        <vertical/>
        <horizontal/>
      </border>
    </dxf>
    <dxf>
      <font>
        <b val="0"/>
        <i val="0"/>
        <strike val="0"/>
        <condense val="0"/>
        <extend val="0"/>
        <outline val="0"/>
        <shadow val="0"/>
        <u val="none"/>
        <vertAlign val="baseline"/>
        <sz val="10"/>
        <color theme="1"/>
        <name val="Arial"/>
        <family val="2"/>
        <scheme val="none"/>
      </font>
      <border diagonalUp="0" diagonalDown="0">
        <left/>
        <right style="dashed">
          <color theme="0" tint="-0.34998626667073579"/>
        </right>
        <top style="dashed">
          <color theme="0" tint="-0.34998626667073579"/>
        </top>
        <bottom style="dashed">
          <color theme="0" tint="-0.34998626667073579"/>
        </bottom>
        <vertical/>
        <horizontal/>
      </border>
    </dxf>
    <dxf>
      <font>
        <b val="0"/>
        <i val="0"/>
        <strike val="0"/>
        <condense val="0"/>
        <extend val="0"/>
        <outline val="0"/>
        <shadow val="0"/>
        <u val="none"/>
        <vertAlign val="baseline"/>
        <sz val="10"/>
        <color theme="1"/>
        <name val="Arial"/>
        <family val="2"/>
        <scheme val="none"/>
      </font>
      <border diagonalUp="0" diagonalDown="0">
        <left style="thin">
          <color theme="0" tint="-0.34998626667073579"/>
        </left>
        <right style="dashed">
          <color theme="0" tint="-0.34998626667073579"/>
        </right>
        <top style="dashed">
          <color theme="0" tint="-0.34998626667073579"/>
        </top>
        <bottom style="dashed">
          <color theme="0" tint="-0.34998626667073579"/>
        </bottom>
        <vertical/>
        <horizontal/>
      </border>
    </dxf>
    <dxf>
      <border outline="0">
        <bottom style="dashed">
          <color theme="0" tint="-0.34998626667073579"/>
        </bottom>
      </border>
    </dxf>
    <dxf>
      <font>
        <b val="0"/>
        <i val="0"/>
        <strike val="0"/>
        <condense val="0"/>
        <extend val="0"/>
        <outline val="0"/>
        <shadow val="0"/>
        <u val="none"/>
        <vertAlign val="baseline"/>
        <sz val="10"/>
        <color theme="0"/>
        <name val="Arial"/>
        <family val="2"/>
        <scheme val="none"/>
      </font>
      <fill>
        <patternFill patternType="solid">
          <fgColor indexed="64"/>
          <bgColor rgb="FFA32319"/>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64" formatCode="_(* #,##0_);_(* \(#,##0\);_(* &quot;-&quot;??_);_(@_)"/>
      <fill>
        <patternFill patternType="solid">
          <fgColor indexed="64"/>
          <bgColor theme="0" tint="-0.14999847407452621"/>
        </patternFill>
      </fill>
    </dxf>
    <dxf>
      <font>
        <b val="0"/>
        <i val="0"/>
        <strike val="0"/>
        <condense val="0"/>
        <extend val="0"/>
        <outline val="0"/>
        <shadow val="0"/>
        <u val="none"/>
        <vertAlign val="baseline"/>
        <sz val="10"/>
        <color theme="1"/>
        <name val="Arial"/>
        <family val="2"/>
        <scheme val="none"/>
      </font>
      <numFmt numFmtId="164" formatCode="_(* #,##0_);_(* \(#,##0\);_(* &quot;-&quot;??_);_(@_)"/>
      <border diagonalUp="0" diagonalDown="0">
        <left style="thin">
          <color theme="0" tint="-0.34998626667073579"/>
        </left>
        <right style="thin">
          <color theme="0" tint="-0.34998626667073579"/>
        </right>
        <top/>
        <bottom/>
        <vertical/>
        <horizontal/>
      </border>
      <protection locked="0" hidden="0"/>
    </dxf>
    <dxf>
      <font>
        <b val="0"/>
        <i val="0"/>
        <strike val="0"/>
        <condense val="0"/>
        <extend val="0"/>
        <outline val="0"/>
        <shadow val="0"/>
        <u val="none"/>
        <vertAlign val="baseline"/>
        <sz val="10"/>
        <color theme="1"/>
        <name val="Arial"/>
        <family val="2"/>
        <scheme val="none"/>
      </font>
      <numFmt numFmtId="164" formatCode="_(* #,##0_);_(* \(#,##0\);_(* &quot;-&quot;??_);_(@_)"/>
      <fill>
        <patternFill patternType="none">
          <fgColor indexed="64"/>
          <bgColor indexed="65"/>
        </patternFill>
      </fill>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border diagonalUp="0" diagonalDown="0">
        <left style="thin">
          <color theme="0" tint="-0.34998626667073579"/>
        </left>
        <right style="thin">
          <color theme="0" tint="-0.34998626667073579"/>
        </right>
        <top/>
        <bottom/>
        <vertical/>
        <horizontal/>
      </border>
      <protection locked="0" hidden="0"/>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border diagonalUp="0" diagonalDown="0">
        <left style="thin">
          <color theme="0" tint="-0.34998626667073579"/>
        </left>
        <right style="thin">
          <color theme="0" tint="-0.34998626667073579"/>
        </right>
        <top/>
        <bottom/>
        <vertical/>
        <horizontal/>
      </border>
      <protection locked="1" hidden="0"/>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border diagonalUp="0" diagonalDown="0">
        <left style="thin">
          <color theme="0" tint="-0.34998626667073579"/>
        </left>
        <right style="thin">
          <color theme="0" tint="-0.34998626667073579"/>
        </right>
        <top/>
        <bottom/>
        <vertical/>
        <horizontal/>
      </border>
      <protection locked="0" hidden="0"/>
    </dxf>
    <dxf>
      <font>
        <b val="0"/>
        <i val="0"/>
        <strike val="0"/>
        <condense val="0"/>
        <extend val="0"/>
        <outline val="0"/>
        <shadow val="0"/>
        <u val="none"/>
        <vertAlign val="baseline"/>
        <sz val="10"/>
        <color theme="1"/>
        <name val="Arial"/>
        <family val="2"/>
        <scheme val="none"/>
      </font>
      <numFmt numFmtId="167" formatCode="yyyy"/>
      <fill>
        <patternFill patternType="solid">
          <fgColor indexed="64"/>
          <bgColor theme="0" tint="-0.14999847407452621"/>
        </patternFill>
      </fill>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numFmt numFmtId="166" formatCode="mmm"/>
      <fill>
        <patternFill patternType="solid">
          <fgColor indexed="64"/>
          <bgColor theme="0" tint="-0.14999847407452621"/>
        </patternFill>
      </fill>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numFmt numFmtId="165" formatCode="[$-409]mmm\-yy;@"/>
      <border diagonalUp="0" diagonalDown="0">
        <left style="thin">
          <color theme="0" tint="-0.34998626667073579"/>
        </left>
        <right style="thin">
          <color theme="0" tint="-0.34998626667073579"/>
        </right>
        <top/>
        <bottom/>
        <vertical/>
        <horizontal/>
      </border>
      <protection locked="0" hidden="0"/>
    </dxf>
    <dxf>
      <border outline="0">
        <top style="thin">
          <color theme="9"/>
        </top>
        <bottom style="thin">
          <color theme="0" tint="-0.34998626667073579"/>
        </bottom>
      </border>
    </dxf>
    <dxf>
      <font>
        <b/>
        <i val="0"/>
        <strike val="0"/>
        <condense val="0"/>
        <extend val="0"/>
        <outline val="0"/>
        <shadow val="0"/>
        <u val="none"/>
        <vertAlign val="baseline"/>
        <sz val="10"/>
        <color theme="0"/>
        <name val="Arial"/>
        <family val="2"/>
        <scheme val="none"/>
      </font>
      <fill>
        <patternFill patternType="solid">
          <fgColor indexed="64"/>
          <bgColor rgb="FFA32319"/>
        </patternFill>
      </fill>
      <alignment horizontal="left" vertical="center" textRotation="0" wrapText="1" indent="0" justifyLastLine="0" shrinkToFit="0" readingOrder="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ont>
        <color rgb="FFC00000"/>
      </font>
      <fill>
        <patternFill>
          <bgColor theme="0" tint="-4.9989318521683403E-2"/>
        </patternFill>
      </fill>
    </dxf>
    <dxf>
      <font>
        <color rgb="FFE6AF00"/>
      </font>
      <fill>
        <patternFill>
          <bgColor theme="0" tint="-4.9989318521683403E-2"/>
        </patternFill>
      </fill>
    </dxf>
    <dxf>
      <font>
        <color rgb="FFC00000"/>
      </font>
      <fill>
        <patternFill patternType="solid">
          <bgColor theme="0" tint="-4.9989318521683403E-2"/>
        </patternFill>
      </fill>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fill>
        <patternFill>
          <bgColor rgb="FF50B47F"/>
        </patternFill>
      </fill>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8FCFAD"/>
        </patternFill>
      </fill>
    </dxf>
    <dxf>
      <fill>
        <patternFill>
          <bgColor rgb="FF8FCFAD"/>
        </patternFill>
      </fill>
    </dxf>
    <dxf>
      <fill>
        <patternFill>
          <bgColor rgb="FF8FCFAD"/>
        </patternFill>
      </fill>
    </dxf>
    <dxf>
      <fill>
        <patternFill>
          <bgColor rgb="FF8FCFAD"/>
        </patternFill>
      </fill>
    </dxf>
    <dxf>
      <border>
        <left style="thin">
          <color theme="0" tint="-0.34998626667073579"/>
        </left>
        <right style="thin">
          <color theme="0" tint="-0.34998626667073579"/>
        </right>
        <top style="thin">
          <color theme="0" tint="-0.34998626667073579"/>
        </top>
        <bottom style="thin">
          <color theme="0" tint="-0.34998626667073579"/>
        </bottom>
      </border>
    </dxf>
  </dxfs>
  <tableStyles count="8" defaultTableStyle="TableStyleMedium2" defaultPivotStyle="PivotStyleLight16">
    <tableStyle name="Slicer Style 1" pivot="0" table="0" count="8" xr9:uid="{7FB9B135-F5CE-4F6A-B6F8-2066CB088C41}">
      <tableStyleElement type="wholeTable" dxfId="41"/>
    </tableStyle>
    <tableStyle name="Table Style 1" pivot="0" count="1" xr9:uid="{BB7F0C67-185F-4631-93AA-BD2E768D7A13}">
      <tableStyleElement type="wholeTable" dxfId="40"/>
    </tableStyle>
    <tableStyle name="Table Style 2" pivot="0" count="1" xr9:uid="{3D276D6F-F8EC-4105-AF4E-EF90E0497490}">
      <tableStyleElement type="secondColumnStripe" dxfId="39"/>
    </tableStyle>
    <tableStyle name="Table Style 3" pivot="0" count="1" xr9:uid="{58126073-47CA-432E-9930-0966B1055812}">
      <tableStyleElement type="firstColumnStripe" dxfId="38"/>
    </tableStyle>
    <tableStyle name="Table Style 4" pivot="0" count="1" xr9:uid="{5E1F8E05-1701-4D75-BC47-9223CD34FC6B}">
      <tableStyleElement type="firstRowStripe" dxfId="37"/>
    </tableStyle>
    <tableStyle name="Timeline Style 1" pivot="0" table="0" count="8" xr9:uid="{C2E335C9-31F7-40A6-909D-A0A242EC80DD}">
      <tableStyleElement type="wholeTable" dxfId="36"/>
      <tableStyleElement type="headerRow" dxfId="35"/>
    </tableStyle>
    <tableStyle name="Timeline Style 2" pivot="0" table="0" count="8" xr9:uid="{BD7D3DEA-9F17-4B02-A38B-A505F988F17B}">
      <tableStyleElement type="wholeTable" dxfId="34"/>
      <tableStyleElement type="headerRow" dxfId="33"/>
    </tableStyle>
    <tableStyle name="Timeline Style 3" pivot="0" table="0" count="9" xr9:uid="{03AB8773-F939-4292-A158-497A8B257D1F}">
      <tableStyleElement type="wholeTable" dxfId="32"/>
      <tableStyleElement type="headerRow" dxfId="31"/>
    </tableStyle>
  </tableStyles>
  <colors>
    <mruColors>
      <color rgb="FFA32319"/>
      <color rgb="FF8FCFAD"/>
      <color rgb="FF50B47F"/>
      <color rgb="FFE6AF00"/>
      <color rgb="FFDAC108"/>
      <color rgb="FFF8F200"/>
      <color rgb="FFE8E8E8"/>
      <color rgb="FFEEEEEE"/>
      <color rgb="FFE6E6E6"/>
      <color rgb="FFE0E0E0"/>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19">
        <dxf>
          <fill>
            <patternFill>
              <bgColor rgb="FF8FCFAD"/>
            </patternFill>
          </fill>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rgb="FF50B47F"/>
            <name val="Calibri"/>
            <family val="2"/>
            <scheme val="minor"/>
          </font>
        </dxf>
        <dxf>
          <font>
            <sz val="10"/>
            <color rgb="FF50B47F"/>
            <name val="Calibri"/>
            <family val="2"/>
            <scheme val="minor"/>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8"/>
            <x15:timelineStyleElement type="timeLevel" dxfId="17"/>
            <x15:timelineStyleElement type="periodLabel1" dxfId="16"/>
            <x15:timelineStyleElement type="periodLabel2" dxfId="15"/>
            <x15:timelineStyleElement type="selectedTimeBlock" dxfId="14"/>
            <x15:timelineStyleElement type="unselectedTimeBlock" dxfId="13"/>
          </x15:timelineStyleElements>
        </x15:timelineStyle>
        <x15:timelineStyle name="Timeline Style 2">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s>
        </x15:timelineStyle>
        <x15:timelineStyle name="Timeline Style 3">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E21C-4E63-9AE2-AA22A4D2E25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 Marketing_Budget_Analysis.xlsm]Sheet1!Time Gap</c:name>
    <c:fmtId val="2"/>
  </c:pivotSource>
  <c:chart>
    <c:title>
      <c:tx>
        <c:rich>
          <a:bodyPr rot="0" spcFirstLastPara="1" vertOverflow="ellipsis" vert="horz" wrap="square" anchor="ctr" anchorCtr="1"/>
          <a:lstStyle/>
          <a:p>
            <a:pPr>
              <a:defRPr sz="1400" b="0" i="0" u="none" strike="noStrike" kern="1200" spc="0" baseline="0">
                <a:solidFill>
                  <a:srgbClr val="A32319"/>
                </a:solidFill>
                <a:latin typeface="Arial" panose="020B0604020202020204" pitchFamily="34" charset="0"/>
                <a:ea typeface="+mn-ea"/>
                <a:cs typeface="Arial" panose="020B0604020202020204" pitchFamily="34" charset="0"/>
              </a:defRPr>
            </a:pPr>
            <a:r>
              <a:rPr lang="en-US">
                <a:solidFill>
                  <a:srgbClr val="A32319"/>
                </a:solidFill>
                <a:latin typeface="Arial" panose="020B0604020202020204" pitchFamily="34" charset="0"/>
                <a:cs typeface="Arial" panose="020B0604020202020204" pitchFamily="34" charset="0"/>
              </a:rPr>
              <a:t>Monthly Win And Lose </a:t>
            </a:r>
            <a:r>
              <a:rPr lang="en-US" baseline="0">
                <a:solidFill>
                  <a:srgbClr val="A32319"/>
                </a:solidFill>
                <a:latin typeface="Arial" panose="020B0604020202020204" pitchFamily="34" charset="0"/>
                <a:cs typeface="Arial" panose="020B0604020202020204" pitchFamily="34" charset="0"/>
              </a:rPr>
              <a:t>Analysis</a:t>
            </a:r>
            <a:endParaRPr lang="en-US">
              <a:solidFill>
                <a:srgbClr val="A32319"/>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A32319"/>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529424048331408E-2"/>
          <c:y val="0.1404366329208849"/>
          <c:w val="0.92247057595166859"/>
          <c:h val="0.79033379651073032"/>
        </c:manualLayout>
      </c:layout>
      <c:barChart>
        <c:barDir val="col"/>
        <c:grouping val="clustered"/>
        <c:varyColors val="0"/>
        <c:ser>
          <c:idx val="0"/>
          <c:order val="0"/>
          <c:tx>
            <c:strRef>
              <c:f>Sheet1!$O$3</c:f>
              <c:strCache>
                <c:ptCount val="1"/>
                <c:pt idx="0">
                  <c:v>Total</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Sheet1!$N$4:$N$14</c:f>
              <c:strCache>
                <c:ptCount val="10"/>
                <c:pt idx="0">
                  <c:v>Jan-20</c:v>
                </c:pt>
                <c:pt idx="1">
                  <c:v>Feb-20</c:v>
                </c:pt>
                <c:pt idx="2">
                  <c:v>Mar-20</c:v>
                </c:pt>
                <c:pt idx="3">
                  <c:v>Apr-20</c:v>
                </c:pt>
                <c:pt idx="4">
                  <c:v>May-20</c:v>
                </c:pt>
                <c:pt idx="5">
                  <c:v>Jun-20</c:v>
                </c:pt>
                <c:pt idx="6">
                  <c:v>Jul-20</c:v>
                </c:pt>
                <c:pt idx="7">
                  <c:v>Aug-20</c:v>
                </c:pt>
                <c:pt idx="8">
                  <c:v>Sep-20</c:v>
                </c:pt>
                <c:pt idx="9">
                  <c:v>Oct-20</c:v>
                </c:pt>
              </c:strCache>
            </c:strRef>
          </c:cat>
          <c:val>
            <c:numRef>
              <c:f>Sheet1!$O$4:$O$14</c:f>
              <c:numCache>
                <c:formatCode>_(* #,##0_);_(* \(#,##0\);_(* "-"??_);_(@_)</c:formatCode>
                <c:ptCount val="10"/>
                <c:pt idx="0">
                  <c:v>-17800</c:v>
                </c:pt>
                <c:pt idx="1">
                  <c:v>111129.60000000001</c:v>
                </c:pt>
                <c:pt idx="2">
                  <c:v>87749</c:v>
                </c:pt>
                <c:pt idx="3">
                  <c:v>10224.880000000005</c:v>
                </c:pt>
                <c:pt idx="4">
                  <c:v>82271.850000000006</c:v>
                </c:pt>
                <c:pt idx="5">
                  <c:v>77717</c:v>
                </c:pt>
                <c:pt idx="6">
                  <c:v>63116</c:v>
                </c:pt>
                <c:pt idx="7">
                  <c:v>32317.760000000002</c:v>
                </c:pt>
                <c:pt idx="8">
                  <c:v>46889</c:v>
                </c:pt>
                <c:pt idx="9">
                  <c:v>19918.420000000006</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92E6-4C50-A636-EC73EFFF9194}"/>
            </c:ext>
          </c:extLst>
        </c:ser>
        <c:dLbls>
          <c:dLblPos val="outEnd"/>
          <c:showLegendKey val="0"/>
          <c:showVal val="1"/>
          <c:showCatName val="0"/>
          <c:showSerName val="0"/>
          <c:showPercent val="0"/>
          <c:showBubbleSize val="0"/>
        </c:dLbls>
        <c:gapWidth val="219"/>
        <c:overlap val="-27"/>
        <c:axId val="2046632912"/>
        <c:axId val="1910498640"/>
      </c:barChart>
      <c:catAx>
        <c:axId val="204663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10498640"/>
        <c:crosses val="autoZero"/>
        <c:auto val="1"/>
        <c:lblAlgn val="ctr"/>
        <c:lblOffset val="100"/>
        <c:noMultiLvlLbl val="0"/>
      </c:catAx>
      <c:valAx>
        <c:axId val="1910498640"/>
        <c:scaling>
          <c:orientation val="minMax"/>
        </c:scaling>
        <c:delete val="0"/>
        <c:axPos val="l"/>
        <c:majorGridlines>
          <c:spPr>
            <a:ln w="9525" cap="flat" cmpd="sng" algn="ctr">
              <a:no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6632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 Marketing_Budget_Analysis.xlsm]Sheet1!Estimated vs Actual</c:name>
    <c:fmtId val="2"/>
  </c:pivotSource>
  <c:chart>
    <c:title>
      <c:tx>
        <c:rich>
          <a:bodyPr rot="0" spcFirstLastPara="1" vertOverflow="ellipsis" vert="horz" wrap="square" anchor="ctr" anchorCtr="1"/>
          <a:lstStyle/>
          <a:p>
            <a:pPr>
              <a:defRPr sz="1400" b="0" i="0" u="none" strike="noStrike" kern="1200" spc="0" baseline="0">
                <a:solidFill>
                  <a:srgbClr val="A32319"/>
                </a:solidFill>
                <a:latin typeface="Arial" panose="020B0604020202020204" pitchFamily="34" charset="0"/>
                <a:ea typeface="+mn-ea"/>
                <a:cs typeface="Arial" panose="020B0604020202020204" pitchFamily="34" charset="0"/>
              </a:defRPr>
            </a:pPr>
            <a:r>
              <a:rPr lang="en-US">
                <a:solidFill>
                  <a:srgbClr val="A32319"/>
                </a:solidFill>
                <a:latin typeface="Arial" panose="020B0604020202020204" pitchFamily="34" charset="0"/>
                <a:cs typeface="Arial" panose="020B0604020202020204" pitchFamily="34" charset="0"/>
              </a:rPr>
              <a:t>Estimated VS Actual</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A32319"/>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Sheet1!$R$3</c:f>
              <c:strCache>
                <c:ptCount val="1"/>
                <c:pt idx="0">
                  <c:v>Sum of Estimated Cost (EST)</c:v>
                </c:pt>
              </c:strCache>
            </c:strRef>
          </c:tx>
          <c:spPr>
            <a:solidFill>
              <a:schemeClr val="accent4">
                <a:lumMod val="40000"/>
                <a:lumOff val="60000"/>
              </a:schemeClr>
            </a:solidFill>
            <a:ln>
              <a:noFill/>
            </a:ln>
            <a:effectLst/>
          </c:spPr>
          <c:invertIfNegative val="0"/>
          <c:cat>
            <c:strRef>
              <c:f>Sheet1!$Q$4:$Q$7</c:f>
              <c:strCache>
                <c:ptCount val="3"/>
                <c:pt idx="0">
                  <c:v>Bosch</c:v>
                </c:pt>
                <c:pt idx="1">
                  <c:v>Profilo</c:v>
                </c:pt>
                <c:pt idx="2">
                  <c:v>Siemens</c:v>
                </c:pt>
              </c:strCache>
            </c:strRef>
          </c:cat>
          <c:val>
            <c:numRef>
              <c:f>Sheet1!$R$4:$R$7</c:f>
              <c:numCache>
                <c:formatCode>_(* #,##0_);_(* \(#,##0\);_(* "-"??_);_(@_)</c:formatCode>
                <c:ptCount val="3"/>
                <c:pt idx="0">
                  <c:v>1524882</c:v>
                </c:pt>
                <c:pt idx="1">
                  <c:v>1164878</c:v>
                </c:pt>
                <c:pt idx="2">
                  <c:v>1000997</c:v>
                </c:pt>
              </c:numCache>
            </c:numRef>
          </c:val>
          <c:extLst>
            <c:ext xmlns:c16="http://schemas.microsoft.com/office/drawing/2014/chart" uri="{C3380CC4-5D6E-409C-BE32-E72D297353CC}">
              <c16:uniqueId val="{00000000-D8FB-47D9-9772-63EFE6629514}"/>
            </c:ext>
          </c:extLst>
        </c:ser>
        <c:ser>
          <c:idx val="1"/>
          <c:order val="1"/>
          <c:tx>
            <c:strRef>
              <c:f>Sheet1!$S$3</c:f>
              <c:strCache>
                <c:ptCount val="1"/>
                <c:pt idx="0">
                  <c:v>Sum of Actual Cost (ACT)</c:v>
                </c:pt>
              </c:strCache>
            </c:strRef>
          </c:tx>
          <c:spPr>
            <a:solidFill>
              <a:srgbClr val="8FCFAD"/>
            </a:solidFill>
            <a:ln>
              <a:noFill/>
            </a:ln>
            <a:effectLst/>
          </c:spPr>
          <c:invertIfNegative val="0"/>
          <c:cat>
            <c:strRef>
              <c:f>Sheet1!$Q$4:$Q$7</c:f>
              <c:strCache>
                <c:ptCount val="3"/>
                <c:pt idx="0">
                  <c:v>Bosch</c:v>
                </c:pt>
                <c:pt idx="1">
                  <c:v>Profilo</c:v>
                </c:pt>
                <c:pt idx="2">
                  <c:v>Siemens</c:v>
                </c:pt>
              </c:strCache>
            </c:strRef>
          </c:cat>
          <c:val>
            <c:numRef>
              <c:f>Sheet1!$S$4:$S$7</c:f>
              <c:numCache>
                <c:formatCode>_(* #,##0_);_(* \(#,##0\);_(* "-"??_);_(@_)</c:formatCode>
                <c:ptCount val="3"/>
                <c:pt idx="0">
                  <c:v>1087869.5499999998</c:v>
                </c:pt>
                <c:pt idx="1">
                  <c:v>651344.49</c:v>
                </c:pt>
                <c:pt idx="2">
                  <c:v>1062660.1100000001</c:v>
                </c:pt>
              </c:numCache>
            </c:numRef>
          </c:val>
          <c:extLst>
            <c:ext xmlns:c16="http://schemas.microsoft.com/office/drawing/2014/chart" uri="{C3380CC4-5D6E-409C-BE32-E72D297353CC}">
              <c16:uniqueId val="{00000001-D8FB-47D9-9772-63EFE6629514}"/>
            </c:ext>
          </c:extLst>
        </c:ser>
        <c:dLbls>
          <c:showLegendKey val="0"/>
          <c:showVal val="0"/>
          <c:showCatName val="0"/>
          <c:showSerName val="0"/>
          <c:showPercent val="0"/>
          <c:showBubbleSize val="0"/>
        </c:dLbls>
        <c:gapWidth val="75"/>
        <c:overlap val="40"/>
        <c:axId val="1978772640"/>
        <c:axId val="1839919248"/>
      </c:barChart>
      <c:lineChart>
        <c:grouping val="standard"/>
        <c:varyColors val="0"/>
        <c:ser>
          <c:idx val="2"/>
          <c:order val="2"/>
          <c:tx>
            <c:strRef>
              <c:f>Sheet1!$T$3</c:f>
              <c:strCache>
                <c:ptCount val="1"/>
                <c:pt idx="0">
                  <c:v>Sum of Gap Amount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Sheet1!$Q$4:$Q$7</c:f>
              <c:strCache>
                <c:ptCount val="3"/>
                <c:pt idx="0">
                  <c:v>Bosch</c:v>
                </c:pt>
                <c:pt idx="1">
                  <c:v>Profilo</c:v>
                </c:pt>
                <c:pt idx="2">
                  <c:v>Siemens</c:v>
                </c:pt>
              </c:strCache>
            </c:strRef>
          </c:cat>
          <c:val>
            <c:numRef>
              <c:f>Sheet1!$T$4:$T$7</c:f>
              <c:numCache>
                <c:formatCode>_(* #,##0_);_(* \(#,##0\);_(* "-"??_);_(@_)</c:formatCode>
                <c:ptCount val="3"/>
                <c:pt idx="0">
                  <c:v>437012.44999999995</c:v>
                </c:pt>
                <c:pt idx="1">
                  <c:v>513533.50999999995</c:v>
                </c:pt>
                <c:pt idx="2">
                  <c:v>-61663.110000000015</c:v>
                </c:pt>
              </c:numCache>
            </c:numRef>
          </c:val>
          <c:smooth val="0"/>
          <c:extLst>
            <c:ext xmlns:c16="http://schemas.microsoft.com/office/drawing/2014/chart" uri="{C3380CC4-5D6E-409C-BE32-E72D297353CC}">
              <c16:uniqueId val="{00000002-D8FB-47D9-9772-63EFE6629514}"/>
            </c:ext>
          </c:extLst>
        </c:ser>
        <c:dLbls>
          <c:showLegendKey val="0"/>
          <c:showVal val="0"/>
          <c:showCatName val="0"/>
          <c:showSerName val="0"/>
          <c:showPercent val="0"/>
          <c:showBubbleSize val="0"/>
        </c:dLbls>
        <c:marker val="1"/>
        <c:smooth val="0"/>
        <c:axId val="1969027248"/>
        <c:axId val="1981002176"/>
      </c:lineChart>
      <c:catAx>
        <c:axId val="19787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39919248"/>
        <c:crosses val="autoZero"/>
        <c:auto val="1"/>
        <c:lblAlgn val="ctr"/>
        <c:lblOffset val="100"/>
        <c:noMultiLvlLbl val="0"/>
      </c:catAx>
      <c:valAx>
        <c:axId val="183991924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8772640"/>
        <c:crosses val="autoZero"/>
        <c:crossBetween val="between"/>
      </c:valAx>
      <c:valAx>
        <c:axId val="1981002176"/>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9027248"/>
        <c:crosses val="max"/>
        <c:crossBetween val="between"/>
      </c:valAx>
      <c:catAx>
        <c:axId val="1969027248"/>
        <c:scaling>
          <c:orientation val="minMax"/>
        </c:scaling>
        <c:delete val="1"/>
        <c:axPos val="b"/>
        <c:numFmt formatCode="General" sourceLinked="1"/>
        <c:majorTickMark val="out"/>
        <c:minorTickMark val="none"/>
        <c:tickLblPos val="nextTo"/>
        <c:crossAx val="198100217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[6. Marketing_Budget_Analysis.xlsm]Sheet1!Brand Spending</c:name>
    <c:fmtId val="2"/>
  </c:pivotSource>
  <c:chart>
    <c:title>
      <c:tx>
        <c:rich>
          <a:bodyPr rot="0" spcFirstLastPara="1" vertOverflow="ellipsis" vert="horz" wrap="square" anchor="ctr" anchorCtr="1"/>
          <a:lstStyle/>
          <a:p>
            <a:pPr>
              <a:defRPr sz="1400" b="0" i="0" u="none" strike="noStrike" kern="1200" spc="0" baseline="0">
                <a:solidFill>
                  <a:srgbClr val="A32319"/>
                </a:solidFill>
                <a:latin typeface="Arial" panose="020B0604020202020204" pitchFamily="34" charset="0"/>
                <a:ea typeface="+mn-ea"/>
                <a:cs typeface="Arial" panose="020B0604020202020204" pitchFamily="34" charset="0"/>
              </a:defRPr>
            </a:pPr>
            <a:r>
              <a:rPr lang="en-US">
                <a:solidFill>
                  <a:srgbClr val="A32319"/>
                </a:solidFill>
                <a:latin typeface="Arial" panose="020B0604020202020204" pitchFamily="34" charset="0"/>
                <a:cs typeface="Arial" panose="020B0604020202020204" pitchFamily="34" charset="0"/>
              </a:rPr>
              <a:t>Spending</a:t>
            </a:r>
            <a:r>
              <a:rPr lang="en-US" baseline="0">
                <a:solidFill>
                  <a:srgbClr val="A32319"/>
                </a:solidFill>
                <a:latin typeface="Arial" panose="020B0604020202020204" pitchFamily="34" charset="0"/>
                <a:cs typeface="Arial" panose="020B0604020202020204" pitchFamily="34" charset="0"/>
              </a:rPr>
              <a:t> Costs Per Brand</a:t>
            </a:r>
            <a:endParaRPr lang="en-US">
              <a:solidFill>
                <a:srgbClr val="A32319"/>
              </a:solidFill>
              <a:latin typeface="Arial" panose="020B0604020202020204" pitchFamily="34" charset="0"/>
              <a:cs typeface="Arial" panose="020B0604020202020204" pitchFamily="34" charset="0"/>
            </a:endParaRPr>
          </a:p>
        </c:rich>
      </c:tx>
      <c:layout>
        <c:manualLayout>
          <c:xMode val="edge"/>
          <c:yMode val="edge"/>
          <c:x val="0.20538139961420485"/>
          <c:y val="8.443784384603169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A32319"/>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tint val="65000"/>
            </a:schemeClr>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shade val="65000"/>
            </a:schemeClr>
          </a:solidFill>
          <a:ln w="19050">
            <a:solidFill>
              <a:schemeClr val="lt1"/>
            </a:solidFill>
          </a:ln>
          <a:effectLst/>
        </c:spPr>
      </c:pivotFmt>
    </c:pivotFmts>
    <c:plotArea>
      <c:layout>
        <c:manualLayout>
          <c:layoutTarget val="inner"/>
          <c:xMode val="edge"/>
          <c:yMode val="edge"/>
          <c:x val="0.1872750574817891"/>
          <c:y val="0.11931436236407462"/>
          <c:w val="0.64404299569225854"/>
          <c:h val="0.830414979056456"/>
        </c:manualLayout>
      </c:layout>
      <c:pieChart>
        <c:varyColors val="1"/>
        <c:ser>
          <c:idx val="0"/>
          <c:order val="0"/>
          <c:tx>
            <c:strRef>
              <c:f>Sheet1!$W$3</c:f>
              <c:strCache>
                <c:ptCount val="1"/>
                <c:pt idx="0">
                  <c:v>Total</c:v>
                </c:pt>
              </c:strCache>
            </c:strRef>
          </c:tx>
          <c:dPt>
            <c:idx val="0"/>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1-39CD-433A-B7F0-33275D901572}"/>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39CD-433A-B7F0-33275D901572}"/>
              </c:ext>
            </c:extLst>
          </c:dPt>
          <c:dPt>
            <c:idx val="2"/>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5-39CD-433A-B7F0-33275D901572}"/>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Sheet1!$V$4:$V$7</c:f>
              <c:strCache>
                <c:ptCount val="3"/>
                <c:pt idx="0">
                  <c:v>Bosch</c:v>
                </c:pt>
                <c:pt idx="1">
                  <c:v>Profilo</c:v>
                </c:pt>
                <c:pt idx="2">
                  <c:v>Siemens</c:v>
                </c:pt>
              </c:strCache>
            </c:strRef>
          </c:cat>
          <c:val>
            <c:numRef>
              <c:f>Sheet1!$W$4:$W$7</c:f>
              <c:numCache>
                <c:formatCode>_(* #,##0_);_(* \(#,##0\);_(* "-"??_);_(@_)</c:formatCode>
                <c:ptCount val="3"/>
                <c:pt idx="0">
                  <c:v>1087869.5499999998</c:v>
                </c:pt>
                <c:pt idx="1">
                  <c:v>651344.49</c:v>
                </c:pt>
                <c:pt idx="2">
                  <c:v>1062660.1100000001</c:v>
                </c:pt>
              </c:numCache>
            </c:numRef>
          </c:val>
          <c:extLst>
            <c:ext xmlns:c16="http://schemas.microsoft.com/office/drawing/2014/chart" uri="{C3380CC4-5D6E-409C-BE32-E72D297353CC}">
              <c16:uniqueId val="{00000006-39CD-433A-B7F0-33275D901572}"/>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 Marketing_Budget_Analysis.xlsm]Sheet1!Supplier spending</c:name>
    <c:fmtId val="5"/>
  </c:pivotSource>
  <c:chart>
    <c:title>
      <c:tx>
        <c:rich>
          <a:bodyPr rot="0" spcFirstLastPara="1" vertOverflow="ellipsis" vert="horz" wrap="square" anchor="ctr" anchorCtr="1"/>
          <a:lstStyle/>
          <a:p>
            <a:pPr>
              <a:defRPr sz="1400" b="0" i="0" u="none" strike="noStrike" kern="1200" spc="0" baseline="0">
                <a:solidFill>
                  <a:srgbClr val="A32319"/>
                </a:solidFill>
                <a:latin typeface="Arial" panose="020B0604020202020204" pitchFamily="34" charset="0"/>
                <a:ea typeface="+mn-ea"/>
                <a:cs typeface="Arial" panose="020B0604020202020204" pitchFamily="34" charset="0"/>
              </a:defRPr>
            </a:pPr>
            <a:r>
              <a:rPr lang="en-US">
                <a:solidFill>
                  <a:srgbClr val="A32319"/>
                </a:solidFill>
                <a:latin typeface="Arial" panose="020B0604020202020204" pitchFamily="34" charset="0"/>
                <a:cs typeface="Arial" panose="020B0604020202020204" pitchFamily="34" charset="0"/>
              </a:rPr>
              <a:t>Supplier Spending Costs</a:t>
            </a:r>
          </a:p>
        </c:rich>
      </c:tx>
      <c:layout>
        <c:manualLayout>
          <c:xMode val="edge"/>
          <c:yMode val="edge"/>
          <c:x val="0.36276629082607548"/>
          <c:y val="2.93040293040293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A32319"/>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bg1">
              <a:lumMod val="75000"/>
            </a:schemeClr>
          </a:solidFill>
          <a:ln>
            <a:solidFill>
              <a:srgbClr val="8FCFA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278453752604447"/>
          <c:y val="0.16098099141284899"/>
          <c:w val="0.47432654170014948"/>
          <c:h val="0.73557080537195541"/>
        </c:manualLayout>
      </c:layout>
      <c:barChart>
        <c:barDir val="bar"/>
        <c:grouping val="clustered"/>
        <c:varyColors val="0"/>
        <c:ser>
          <c:idx val="0"/>
          <c:order val="0"/>
          <c:tx>
            <c:strRef>
              <c:f>Sheet1!$Z$3</c:f>
              <c:strCache>
                <c:ptCount val="1"/>
                <c:pt idx="0">
                  <c:v>Total</c:v>
                </c:pt>
              </c:strCache>
            </c:strRef>
          </c:tx>
          <c:spPr>
            <a:solidFill>
              <a:schemeClr val="bg1">
                <a:lumMod val="75000"/>
              </a:schemeClr>
            </a:solidFill>
            <a:ln>
              <a:solidFill>
                <a:srgbClr val="8FCFA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Sheet1!$Y$4:$Y$21</c:f>
              <c:strCache>
                <c:ptCount val="17"/>
                <c:pt idx="0">
                  <c:v>PT Supplier 1</c:v>
                </c:pt>
                <c:pt idx="1">
                  <c:v>PT Supplier 2</c:v>
                </c:pt>
                <c:pt idx="2">
                  <c:v>PT Supplier 3</c:v>
                </c:pt>
                <c:pt idx="3">
                  <c:v>PT Supplier 4</c:v>
                </c:pt>
                <c:pt idx="4">
                  <c:v>PT Supplier 5</c:v>
                </c:pt>
                <c:pt idx="5">
                  <c:v>PT Supplier 6</c:v>
                </c:pt>
                <c:pt idx="6">
                  <c:v>PT Supplier 7</c:v>
                </c:pt>
                <c:pt idx="7">
                  <c:v>PT Supplier 8</c:v>
                </c:pt>
                <c:pt idx="8">
                  <c:v>PT Supplier 9</c:v>
                </c:pt>
                <c:pt idx="9">
                  <c:v>PT Supplier 10</c:v>
                </c:pt>
                <c:pt idx="10">
                  <c:v>PT Supplier 11</c:v>
                </c:pt>
                <c:pt idx="11">
                  <c:v>PT Supplier 12</c:v>
                </c:pt>
                <c:pt idx="12">
                  <c:v>PT Supplier 13</c:v>
                </c:pt>
                <c:pt idx="13">
                  <c:v>PT Supplier 14</c:v>
                </c:pt>
                <c:pt idx="14">
                  <c:v>PT Supplier 15</c:v>
                </c:pt>
                <c:pt idx="15">
                  <c:v>PT Supplier 16</c:v>
                </c:pt>
                <c:pt idx="16">
                  <c:v>PT Supplier 17</c:v>
                </c:pt>
              </c:strCache>
            </c:strRef>
          </c:cat>
          <c:val>
            <c:numRef>
              <c:f>Sheet1!$Z$4:$Z$21</c:f>
              <c:numCache>
                <c:formatCode>_(* #,##0_);_(* \(#,##0\);_(* "-"??_);_(@_)</c:formatCode>
                <c:ptCount val="17"/>
                <c:pt idx="0">
                  <c:v>291345.90000000002</c:v>
                </c:pt>
                <c:pt idx="1">
                  <c:v>124803.53</c:v>
                </c:pt>
                <c:pt idx="2">
                  <c:v>80796.25</c:v>
                </c:pt>
                <c:pt idx="3">
                  <c:v>246315.88</c:v>
                </c:pt>
                <c:pt idx="4">
                  <c:v>487798.41000000003</c:v>
                </c:pt>
                <c:pt idx="5">
                  <c:v>95382</c:v>
                </c:pt>
                <c:pt idx="6">
                  <c:v>685084.39</c:v>
                </c:pt>
                <c:pt idx="7">
                  <c:v>92903.170000000042</c:v>
                </c:pt>
                <c:pt idx="8">
                  <c:v>77613.25</c:v>
                </c:pt>
                <c:pt idx="9">
                  <c:v>38771</c:v>
                </c:pt>
                <c:pt idx="10">
                  <c:v>95805.4</c:v>
                </c:pt>
                <c:pt idx="11">
                  <c:v>59118.86</c:v>
                </c:pt>
                <c:pt idx="12">
                  <c:v>42152.12</c:v>
                </c:pt>
                <c:pt idx="13">
                  <c:v>206863.75</c:v>
                </c:pt>
                <c:pt idx="14">
                  <c:v>68624.540000000008</c:v>
                </c:pt>
                <c:pt idx="15">
                  <c:v>18040</c:v>
                </c:pt>
                <c:pt idx="16">
                  <c:v>90455.7</c:v>
                </c:pt>
              </c:numCache>
            </c:numRef>
          </c:val>
          <c:extLst>
            <c:ext xmlns:c16="http://schemas.microsoft.com/office/drawing/2014/chart" uri="{C3380CC4-5D6E-409C-BE32-E72D297353CC}">
              <c16:uniqueId val="{00000000-0ED7-455A-A3FB-8E5A589C7AE0}"/>
            </c:ext>
          </c:extLst>
        </c:ser>
        <c:dLbls>
          <c:showLegendKey val="0"/>
          <c:showVal val="0"/>
          <c:showCatName val="0"/>
          <c:showSerName val="0"/>
          <c:showPercent val="0"/>
          <c:showBubbleSize val="0"/>
        </c:dLbls>
        <c:gapWidth val="118"/>
        <c:axId val="95420880"/>
        <c:axId val="1832835040"/>
      </c:barChart>
      <c:catAx>
        <c:axId val="954208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32835040"/>
        <c:crosses val="autoZero"/>
        <c:auto val="1"/>
        <c:lblAlgn val="ctr"/>
        <c:lblOffset val="100"/>
        <c:noMultiLvlLbl val="0"/>
      </c:catAx>
      <c:valAx>
        <c:axId val="1832835040"/>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20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[6. Marketing_Budget_Analysis.xlsm]Sheet1!Ann</c:name>
    <c:fmtId val="2"/>
  </c:pivotSource>
  <c:chart>
    <c:title>
      <c:tx>
        <c:rich>
          <a:bodyPr rot="0" spcFirstLastPara="1" vertOverflow="ellipsis" vert="horz" wrap="square" anchor="ctr" anchorCtr="1"/>
          <a:lstStyle/>
          <a:p>
            <a:pPr>
              <a:defRPr sz="1400" b="0" i="0" u="none" strike="noStrike" kern="1200" cap="none" spc="150" baseline="0">
                <a:solidFill>
                  <a:srgbClr val="50B47F"/>
                </a:solidFill>
                <a:latin typeface="Arial" panose="020B0604020202020204" pitchFamily="34" charset="0"/>
                <a:ea typeface="+mn-ea"/>
                <a:cs typeface="Arial" panose="020B0604020202020204" pitchFamily="34" charset="0"/>
              </a:defRPr>
            </a:pPr>
            <a:r>
              <a:rPr lang="en-US" sz="1400" b="0" cap="none" baseline="0">
                <a:solidFill>
                  <a:srgbClr val="A32319"/>
                </a:solidFill>
                <a:latin typeface="Arial" panose="020B0604020202020204" pitchFamily="34" charset="0"/>
                <a:cs typeface="Arial" panose="020B0604020202020204" pitchFamily="34" charset="0"/>
              </a:rPr>
              <a:t>Annual Budget per brand</a:t>
            </a:r>
          </a:p>
        </c:rich>
      </c:tx>
      <c:layout>
        <c:manualLayout>
          <c:xMode val="edge"/>
          <c:yMode val="edge"/>
          <c:x val="0.1733776301218162"/>
          <c:y val="4.629631317305088E-3"/>
        </c:manualLayout>
      </c:layout>
      <c:overlay val="0"/>
      <c:spPr>
        <a:noFill/>
        <a:ln>
          <a:noFill/>
        </a:ln>
        <a:effectLst/>
      </c:spPr>
      <c:txPr>
        <a:bodyPr rot="0" spcFirstLastPara="1" vertOverflow="ellipsis" vert="horz" wrap="square" anchor="ctr" anchorCtr="1"/>
        <a:lstStyle/>
        <a:p>
          <a:pPr>
            <a:defRPr sz="1400" b="0" i="0" u="none" strike="noStrike" kern="1200" cap="none" spc="15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40000"/>
              <a:lumOff val="60000"/>
            </a:schemeClr>
          </a:solidFill>
          <a:ln>
            <a:solidFill>
              <a:schemeClr val="accent4">
                <a:lumMod val="20000"/>
                <a:lumOff val="80000"/>
              </a:schemeClr>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Sheet1!$AF$3</c:f>
              <c:strCache>
                <c:ptCount val="1"/>
                <c:pt idx="0">
                  <c:v>Total</c:v>
                </c:pt>
              </c:strCache>
            </c:strRef>
          </c:tx>
          <c:spPr>
            <a:solidFill>
              <a:schemeClr val="accent4">
                <a:lumMod val="40000"/>
                <a:lumOff val="60000"/>
              </a:schemeClr>
            </a:solidFill>
            <a:ln>
              <a:solidFill>
                <a:schemeClr val="accent4">
                  <a:lumMod val="20000"/>
                  <a:lumOff val="80000"/>
                </a:schemeClr>
              </a:solid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Sheet1!$AE$4:$AE$7</c:f>
              <c:strCache>
                <c:ptCount val="3"/>
                <c:pt idx="0">
                  <c:v>Bosch</c:v>
                </c:pt>
                <c:pt idx="1">
                  <c:v>Profilo</c:v>
                </c:pt>
                <c:pt idx="2">
                  <c:v>Siemens</c:v>
                </c:pt>
              </c:strCache>
            </c:strRef>
          </c:cat>
          <c:val>
            <c:numRef>
              <c:f>Sheet1!$AF$4:$AF$7</c:f>
              <c:numCache>
                <c:formatCode>_(* #,##0_);_(* \(#,##0\);_(* "-"??_);_(@_)</c:formatCode>
                <c:ptCount val="3"/>
                <c:pt idx="0">
                  <c:v>5930000</c:v>
                </c:pt>
                <c:pt idx="1">
                  <c:v>1750000</c:v>
                </c:pt>
                <c:pt idx="2">
                  <c:v>2085000</c:v>
                </c:pt>
              </c:numCache>
            </c:numRef>
          </c:val>
          <c:extLst>
            <c:ext xmlns:c16="http://schemas.microsoft.com/office/drawing/2014/chart" uri="{C3380CC4-5D6E-409C-BE32-E72D297353CC}">
              <c16:uniqueId val="{00000000-BD25-497D-B073-B76E8CD35C49}"/>
            </c:ext>
          </c:extLst>
        </c:ser>
        <c:dLbls>
          <c:showLegendKey val="0"/>
          <c:showVal val="0"/>
          <c:showCatName val="0"/>
          <c:showSerName val="0"/>
          <c:showPercent val="0"/>
          <c:showBubbleSize val="0"/>
        </c:dLbls>
        <c:gapWidth val="164"/>
        <c:overlap val="-22"/>
        <c:axId val="1172968879"/>
        <c:axId val="837784959"/>
      </c:barChart>
      <c:catAx>
        <c:axId val="117296887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837784959"/>
        <c:crosses val="autoZero"/>
        <c:auto val="1"/>
        <c:lblAlgn val="ctr"/>
        <c:lblOffset val="100"/>
        <c:noMultiLvlLbl val="0"/>
      </c:catAx>
      <c:valAx>
        <c:axId val="837784959"/>
        <c:scaling>
          <c:orientation val="minMax"/>
        </c:scaling>
        <c:delete val="1"/>
        <c:axPos val="l"/>
        <c:numFmt formatCode="_(* #,##0_);_(* \(#,##0\);_(* &quot;-&quot;??_);_(@_)" sourceLinked="1"/>
        <c:majorTickMark val="none"/>
        <c:minorTickMark val="none"/>
        <c:tickLblPos val="nextTo"/>
        <c:crossAx val="1172968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5.png"/><Relationship Id="rId7" Type="http://schemas.openxmlformats.org/officeDocument/2006/relationships/chart" Target="../charts/chart4.xml"/><Relationship Id="rId2" Type="http://schemas.openxmlformats.org/officeDocument/2006/relationships/image" Target="../media/image4.png"/><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image" Target="../media/image6.png"/><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47624</xdr:colOff>
      <xdr:row>43</xdr:row>
      <xdr:rowOff>19050</xdr:rowOff>
    </xdr:from>
    <xdr:to>
      <xdr:col>14</xdr:col>
      <xdr:colOff>166687</xdr:colOff>
      <xdr:row>47</xdr:row>
      <xdr:rowOff>38100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4210049" y="7096125"/>
          <a:ext cx="6824663" cy="666750"/>
          <a:chOff x="4257674" y="8324850"/>
          <a:chExt cx="7353301" cy="666750"/>
        </a:xfrm>
      </xdr:grpSpPr>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3" name="Rectangle 12">
            <a:extLst>
              <a:ext uri="{FF2B5EF4-FFF2-40B4-BE49-F238E27FC236}">
                <a16:creationId xmlns:a16="http://schemas.microsoft.com/office/drawing/2014/main" id="{00000000-0008-0000-0000-00000D000000}"/>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000-00000E000000}"/>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51</xdr:row>
      <xdr:rowOff>95250</xdr:rowOff>
    </xdr:from>
    <xdr:to>
      <xdr:col>14</xdr:col>
      <xdr:colOff>185737</xdr:colOff>
      <xdr:row>55</xdr:row>
      <xdr:rowOff>114300</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4229099" y="8467725"/>
          <a:ext cx="6824663" cy="666750"/>
          <a:chOff x="4276724" y="9696450"/>
          <a:chExt cx="7353301" cy="666750"/>
        </a:xfrm>
      </xdr:grpSpPr>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7" name="Rectangle 16">
            <a:extLst>
              <a:ext uri="{FF2B5EF4-FFF2-40B4-BE49-F238E27FC236}">
                <a16:creationId xmlns:a16="http://schemas.microsoft.com/office/drawing/2014/main" id="{00000000-0008-0000-0000-000011000000}"/>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57</xdr:row>
      <xdr:rowOff>47625</xdr:rowOff>
    </xdr:from>
    <xdr:to>
      <xdr:col>14</xdr:col>
      <xdr:colOff>140795</xdr:colOff>
      <xdr:row>61</xdr:row>
      <xdr:rowOff>133350</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4248150" y="9391650"/>
          <a:ext cx="6760670" cy="733425"/>
          <a:chOff x="4295775" y="10620375"/>
          <a:chExt cx="7334250" cy="733425"/>
        </a:xfrm>
      </xdr:grpSpPr>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20" name="Rectangle 19">
            <a:extLst>
              <a:ext uri="{FF2B5EF4-FFF2-40B4-BE49-F238E27FC236}">
                <a16:creationId xmlns:a16="http://schemas.microsoft.com/office/drawing/2014/main" id="{00000000-0008-0000-0000-000014000000}"/>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654730</xdr:colOff>
      <xdr:row>4</xdr:row>
      <xdr:rowOff>19050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1866310" cy="68961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16384</xdr:col>
      <xdr:colOff>6381750</xdr:colOff>
      <xdr:row>5</xdr:row>
      <xdr:rowOff>4762</xdr:rowOff>
    </xdr:from>
    <xdr:to>
      <xdr:col>16384</xdr:col>
      <xdr:colOff>10953750</xdr:colOff>
      <xdr:row>21</xdr:row>
      <xdr:rowOff>157162</xdr:rowOff>
    </xdr:to>
    <xdr:graphicFrame macro="">
      <xdr:nvGraphicFramePr>
        <xdr:cNvPr id="2" name="Chart 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6</xdr:row>
          <xdr:rowOff>9525</xdr:rowOff>
        </xdr:from>
        <xdr:to>
          <xdr:col>1</xdr:col>
          <xdr:colOff>352425</xdr:colOff>
          <xdr:row>7</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xdr:row>
          <xdr:rowOff>9525</xdr:rowOff>
        </xdr:from>
        <xdr:to>
          <xdr:col>2</xdr:col>
          <xdr:colOff>638175</xdr:colOff>
          <xdr:row>7</xdr:row>
          <xdr:rowOff>104775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Screen</a:t>
              </a:r>
            </a:p>
          </xdr:txBody>
        </xdr:sp>
        <xdr:clientData fPrintsWithSheet="0"/>
      </xdr:twoCellAnchor>
    </mc:Choice>
    <mc:Fallback/>
  </mc:AlternateContent>
  <xdr:twoCellAnchor editAs="oneCell">
    <xdr:from>
      <xdr:col>0</xdr:col>
      <xdr:colOff>0</xdr:colOff>
      <xdr:row>14</xdr:row>
      <xdr:rowOff>161924</xdr:rowOff>
    </xdr:from>
    <xdr:to>
      <xdr:col>2</xdr:col>
      <xdr:colOff>638735</xdr:colOff>
      <xdr:row>21</xdr:row>
      <xdr:rowOff>154640</xdr:rowOff>
    </xdr:to>
    <mc:AlternateContent xmlns:mc="http://schemas.openxmlformats.org/markup-compatibility/2006" xmlns:a14="http://schemas.microsoft.com/office/drawing/2010/main">
      <mc:Choice Requires="a14">
        <xdr:graphicFrame macro="">
          <xdr:nvGraphicFramePr>
            <xdr:cNvPr id="5" name="Brand">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0" y="2533649"/>
              <a:ext cx="1867460" cy="11261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21</xdr:row>
      <xdr:rowOff>161924</xdr:rowOff>
    </xdr:from>
    <xdr:to>
      <xdr:col>2</xdr:col>
      <xdr:colOff>638735</xdr:colOff>
      <xdr:row>27</xdr:row>
      <xdr:rowOff>132789</xdr:rowOff>
    </xdr:to>
    <mc:AlternateContent xmlns:mc="http://schemas.openxmlformats.org/markup-compatibility/2006" xmlns:a14="http://schemas.microsoft.com/office/drawing/2010/main">
      <mc:Choice Requires="a14">
        <xdr:graphicFrame macro="">
          <xdr:nvGraphicFramePr>
            <xdr:cNvPr id="6" name="Status">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0" y="3667124"/>
              <a:ext cx="1867460" cy="9424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20172</xdr:colOff>
      <xdr:row>27</xdr:row>
      <xdr:rowOff>123825</xdr:rowOff>
    </xdr:from>
    <xdr:to>
      <xdr:col>2</xdr:col>
      <xdr:colOff>638735</xdr:colOff>
      <xdr:row>38</xdr:row>
      <xdr:rowOff>145676</xdr:rowOff>
    </xdr:to>
    <mc:AlternateContent xmlns:mc="http://schemas.openxmlformats.org/markup-compatibility/2006" xmlns:a14="http://schemas.microsoft.com/office/drawing/2010/main">
      <mc:Choice Requires="a14">
        <xdr:graphicFrame macro="">
          <xdr:nvGraphicFramePr>
            <xdr:cNvPr id="7" name="Supplier">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20172" y="4600575"/>
              <a:ext cx="1847288" cy="18030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448235</xdr:colOff>
      <xdr:row>0</xdr:row>
      <xdr:rowOff>112059</xdr:rowOff>
    </xdr:from>
    <xdr:to>
      <xdr:col>8</xdr:col>
      <xdr:colOff>549088</xdr:colOff>
      <xdr:row>4</xdr:row>
      <xdr:rowOff>141803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4930588" y="112059"/>
          <a:ext cx="750794" cy="769332"/>
        </a:xfrm>
        <a:prstGeom prst="rect">
          <a:avLst/>
        </a:prstGeom>
      </xdr:spPr>
    </xdr:pic>
    <xdr:clientData/>
  </xdr:twoCellAnchor>
  <xdr:twoCellAnchor editAs="oneCell">
    <xdr:from>
      <xdr:col>3</xdr:col>
      <xdr:colOff>156885</xdr:colOff>
      <xdr:row>1</xdr:row>
      <xdr:rowOff>89648</xdr:rowOff>
    </xdr:from>
    <xdr:to>
      <xdr:col>4</xdr:col>
      <xdr:colOff>67238</xdr:colOff>
      <xdr:row>5</xdr:row>
      <xdr:rowOff>22412</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2039473" y="358589"/>
          <a:ext cx="560294" cy="560294"/>
        </a:xfrm>
        <a:prstGeom prst="rect">
          <a:avLst/>
        </a:prstGeom>
      </xdr:spPr>
    </xdr:pic>
    <xdr:clientData/>
  </xdr:twoCellAnchor>
  <xdr:twoCellAnchor editAs="oneCell">
    <xdr:from>
      <xdr:col>5</xdr:col>
      <xdr:colOff>201704</xdr:colOff>
      <xdr:row>1</xdr:row>
      <xdr:rowOff>89646</xdr:rowOff>
    </xdr:from>
    <xdr:to>
      <xdr:col>6</xdr:col>
      <xdr:colOff>33616</xdr:colOff>
      <xdr:row>4</xdr:row>
      <xdr:rowOff>100852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3384175" y="358587"/>
          <a:ext cx="481853" cy="481853"/>
        </a:xfrm>
        <a:prstGeom prst="rect">
          <a:avLst/>
        </a:prstGeom>
      </xdr:spPr>
    </xdr:pic>
    <xdr:clientData/>
  </xdr:twoCellAnchor>
  <xdr:twoCellAnchor editAs="oneCell">
    <xdr:from>
      <xdr:col>0</xdr:col>
      <xdr:colOff>0</xdr:colOff>
      <xdr:row>7</xdr:row>
      <xdr:rowOff>104774</xdr:rowOff>
    </xdr:from>
    <xdr:to>
      <xdr:col>2</xdr:col>
      <xdr:colOff>638175</xdr:colOff>
      <xdr:row>14</xdr:row>
      <xdr:rowOff>152399</xdr:rowOff>
    </xdr:to>
    <mc:AlternateContent xmlns:mc="http://schemas.openxmlformats.org/markup-compatibility/2006" xmlns:tsle="http://schemas.microsoft.com/office/drawing/2012/timeslicer">
      <mc:Choice Requires="tsle">
        <xdr:graphicFrame macro="">
          <xdr:nvGraphicFramePr>
            <xdr:cNvPr id="13" name="Dat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0" y="1343024"/>
              <a:ext cx="1866900" cy="11811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3</xdr:col>
      <xdr:colOff>0</xdr:colOff>
      <xdr:row>5</xdr:row>
      <xdr:rowOff>152400</xdr:rowOff>
    </xdr:from>
    <xdr:to>
      <xdr:col>13</xdr:col>
      <xdr:colOff>314325</xdr:colOff>
      <xdr:row>21</xdr:row>
      <xdr:rowOff>85725</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323850</xdr:colOff>
      <xdr:row>6</xdr:row>
      <xdr:rowOff>38100</xdr:rowOff>
    </xdr:from>
    <xdr:to>
      <xdr:col>20</xdr:col>
      <xdr:colOff>0</xdr:colOff>
      <xdr:row>22</xdr:row>
      <xdr:rowOff>66675</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114300</xdr:colOff>
      <xdr:row>22</xdr:row>
      <xdr:rowOff>104776</xdr:rowOff>
    </xdr:from>
    <xdr:to>
      <xdr:col>19</xdr:col>
      <xdr:colOff>638176</xdr:colOff>
      <xdr:row>38</xdr:row>
      <xdr:rowOff>114300</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314327</xdr:colOff>
      <xdr:row>21</xdr:row>
      <xdr:rowOff>66674</xdr:rowOff>
    </xdr:from>
    <xdr:to>
      <xdr:col>14</xdr:col>
      <xdr:colOff>161925</xdr:colOff>
      <xdr:row>39</xdr:row>
      <xdr:rowOff>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9525</xdr:colOff>
      <xdr:row>22</xdr:row>
      <xdr:rowOff>0</xdr:rowOff>
    </xdr:from>
    <xdr:to>
      <xdr:col>7</xdr:col>
      <xdr:colOff>285750</xdr:colOff>
      <xdr:row>38</xdr:row>
      <xdr:rowOff>152399</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dwan Nugroho" refreshedDate="45017.913409606481" createdVersion="6" refreshedVersion="6" minRefreshableVersion="3" recordCount="107" xr:uid="{1C072623-5289-4B75-8406-0F540CB6E6CE}">
  <cacheSource type="worksheet">
    <worksheetSource name="annual"/>
  </cacheSource>
  <cacheFields count="5">
    <cacheField name="Brand" numFmtId="0">
      <sharedItems containsBlank="1" count="4">
        <s v="Bosch"/>
        <s v="Profilo"/>
        <s v="Siemens"/>
        <m/>
      </sharedItems>
    </cacheField>
    <cacheField name="Status" numFmtId="0">
      <sharedItems containsBlank="1"/>
    </cacheField>
    <cacheField name="Section Spending Element" numFmtId="0">
      <sharedItems containsString="0" containsBlank="1" containsNumber="1" containsInteger="1" minValue="7604355010" maxValue="7704351160"/>
    </cacheField>
    <cacheField name="Section Spending Name" numFmtId="0">
      <sharedItems containsBlank="1"/>
    </cacheField>
    <cacheField name="Total Annual budget (FC)" numFmtId="164">
      <sharedItems containsString="0" containsBlank="1" containsNumber="1" containsInteger="1" minValue="500000" maxValue="335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dwan Nugroho" refreshedDate="45017.913409606481" createdVersion="6" refreshedVersion="6" minRefreshableVersion="3" recordCount="102" xr:uid="{E0561661-C67D-453F-9CAC-EA3732143AAA}">
  <cacheSource type="worksheet">
    <worksheetSource name="Marketing"/>
  </cacheSource>
  <cacheFields count="12">
    <cacheField name="Date" numFmtId="165">
      <sharedItems containsNonDate="0" containsDate="1" containsString="0" containsBlank="1" minDate="2020-01-01T00:00:00" maxDate="2020-10-02T00:00:00" count="11">
        <d v="2020-01-01T00:00:00"/>
        <d v="2020-02-01T00:00:00"/>
        <d v="2020-03-01T00:00:00"/>
        <d v="2020-04-01T00:00:00"/>
        <d v="2020-05-01T00:00:00"/>
        <d v="2020-06-01T00:00:00"/>
        <d v="2020-07-01T00:00:00"/>
        <d v="2020-08-01T00:00:00"/>
        <d v="2020-09-01T00:00:00"/>
        <d v="2020-10-01T00:00:00"/>
        <m/>
      </sharedItems>
    </cacheField>
    <cacheField name="Month" numFmtId="166">
      <sharedItems containsDate="1" containsMixedTypes="1" minDate="2020-01-01T00:00:00" maxDate="2020-10-02T00:00:00"/>
    </cacheField>
    <cacheField name="Year" numFmtId="167">
      <sharedItems containsDate="1" containsMixedTypes="1" minDate="2020-01-01T00:00:00" maxDate="2020-10-02T00:00:00"/>
    </cacheField>
    <cacheField name="Brand" numFmtId="0">
      <sharedItems containsBlank="1" count="4">
        <s v="Bosch"/>
        <s v="Profilo"/>
        <s v="Siemens"/>
        <m/>
      </sharedItems>
    </cacheField>
    <cacheField name="Status" numFmtId="0">
      <sharedItems containsBlank="1" count="3">
        <s v="Branding"/>
        <s v="Merch"/>
        <m/>
      </sharedItems>
    </cacheField>
    <cacheField name="Comb." numFmtId="0">
      <sharedItems/>
    </cacheField>
    <cacheField name="Section Spending Element" numFmtId="0">
      <sharedItems containsMixedTypes="1" containsNumber="1" containsInteger="1" minValue="7604355010" maxValue="7704351160"/>
    </cacheField>
    <cacheField name="Section Spending Name" numFmtId="0">
      <sharedItems/>
    </cacheField>
    <cacheField name="Supplier" numFmtId="0">
      <sharedItems containsBlank="1" count="33">
        <s v="PT Supplier 1"/>
        <s v="PT Supplier 2"/>
        <s v="PT Supplier 3"/>
        <s v="PT Supplier 4"/>
        <s v="PT Supplier 5"/>
        <s v="PT Supplier 6"/>
        <s v="PT Supplier 7"/>
        <s v="PT Supplier 8"/>
        <s v="PT Supplier 9"/>
        <s v="PT Supplier 10"/>
        <s v="PT Supplier 11"/>
        <s v="PT Supplier 12"/>
        <s v="PT Supplier 13"/>
        <s v="PT Supplier 14"/>
        <s v="PT Supplier 15"/>
        <s v="PT Supplier 16"/>
        <s v="PT Supplier 17"/>
        <m/>
        <s v="DAMLA HEDİYELİK EŞYA MAT. VE PROM." u="1"/>
        <s v="EUROSERVE HİZMET VE İŞLETM.A.Ş." u="1"/>
        <s v="KAZMAZ MATBAACILIK SAN VE TİC LTD ŞTİ" u="1"/>
        <s v="WORKROOM REKLAM ORGANİZASYON AŞ" u="1"/>
        <s v="NECM KİMYA AKARYAKIT ÜRÜN. MEDİKAL" u="1"/>
        <s v="BRF TİCARİ PAZARLAMA VE DANIŞMANLIK" u="1"/>
        <s v="FOLLOW TANITIM ORGANİZASYON" u="1"/>
        <s v="FİKİR DÜNYASI REKLAM İLETİŞİM" u="1"/>
        <s v="BTL REKLAM VE MİMARLIK" u="1"/>
        <s v="LWP GLOBAL DANIŞMANLIK BASKI REKLAM" u="1"/>
        <s v="RUYA AÇIKHAVA REKLAM VE AJANS" u="1"/>
        <s v="WORKROOM REKLAM ORGANİZASYON" u="1"/>
        <s v="HOROZ LOJİSTİK KARGO HİZMETLERİ VE TİC.A.Ş." u="1"/>
        <s v="ONS TANITIM" u="1"/>
        <s v="GÜÇLÜ İŞ GÜVENLİĞİ HIRDAVAT DERİ VE" u="1"/>
      </sharedItems>
    </cacheField>
    <cacheField name="Estimated Cost (EST)" numFmtId="164">
      <sharedItems containsString="0" containsBlank="1" containsNumber="1" containsInteger="1" minValue="50354" maxValue="74898"/>
    </cacheField>
    <cacheField name="Actual Cost (ACT)" numFmtId="164">
      <sharedItems containsString="0" containsBlank="1" containsNumber="1" minValue="259" maxValue="457967.5"/>
    </cacheField>
    <cacheField name="Gap Amount" numFmtId="164">
      <sharedItems containsSemiMixedTypes="0" containsString="0" containsNumber="1" minValue="-393482.5" maxValue="68101"/>
    </cacheField>
  </cacheFields>
  <extLst>
    <ext xmlns:x14="http://schemas.microsoft.com/office/spreadsheetml/2009/9/main" uri="{725AE2AE-9491-48be-B2B4-4EB974FC3084}">
      <x14:pivotCacheDefinition pivotCacheId="19570180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x v="0"/>
    <s v="Merch"/>
    <n v="7604355010"/>
    <s v="Merchandisers Expences"/>
    <n v="3350000"/>
  </r>
  <r>
    <x v="1"/>
    <s v="Merch"/>
    <n v="7604355010"/>
    <s v="Merchandisers Expences"/>
    <n v="1250000"/>
  </r>
  <r>
    <x v="2"/>
    <s v="Merch"/>
    <n v="7604355010"/>
    <s v="Merchandisers Expences"/>
    <n v="1250000"/>
  </r>
  <r>
    <x v="0"/>
    <s v="Branding"/>
    <n v="7704351160"/>
    <s v="Permanent Indoor POS"/>
    <n v="2580000"/>
  </r>
  <r>
    <x v="1"/>
    <s v="Branding"/>
    <n v="7704351160"/>
    <s v="Permanent Indoor POS"/>
    <n v="500000"/>
  </r>
  <r>
    <x v="2"/>
    <s v="Branding"/>
    <n v="7704351160"/>
    <s v="Permanent Indoor POS"/>
    <n v="835000"/>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
  <r>
    <x v="0"/>
    <d v="2020-01-01T00:00:00"/>
    <d v="2020-01-01T00:00:00"/>
    <x v="0"/>
    <x v="0"/>
    <s v="Bosch Branding"/>
    <n v="7704351160"/>
    <s v="Permanent Indoor POS"/>
    <x v="0"/>
    <n v="62530"/>
    <n v="116202.7"/>
    <n v="-53672.7"/>
  </r>
  <r>
    <x v="0"/>
    <d v="2020-01-01T00:00:00"/>
    <d v="2020-01-01T00:00:00"/>
    <x v="0"/>
    <x v="0"/>
    <s v="Bosch Branding"/>
    <n v="7704351160"/>
    <s v="Permanent Indoor POS"/>
    <x v="1"/>
    <n v="65277"/>
    <n v="27000"/>
    <n v="38277"/>
  </r>
  <r>
    <x v="0"/>
    <d v="2020-01-01T00:00:00"/>
    <d v="2020-01-01T00:00:00"/>
    <x v="0"/>
    <x v="0"/>
    <s v="Bosch Branding"/>
    <n v="7704351160"/>
    <s v="Permanent Indoor POS"/>
    <x v="2"/>
    <n v="52111"/>
    <n v="50000"/>
    <n v="2111"/>
  </r>
  <r>
    <x v="1"/>
    <d v="2020-02-01T00:00:00"/>
    <d v="2020-02-01T00:00:00"/>
    <x v="0"/>
    <x v="0"/>
    <s v="Bosch Branding"/>
    <n v="7704351160"/>
    <s v="Permanent Indoor POS"/>
    <x v="3"/>
    <n v="73775"/>
    <n v="20050"/>
    <n v="53725"/>
  </r>
  <r>
    <x v="1"/>
    <d v="2020-02-01T00:00:00"/>
    <d v="2020-02-01T00:00:00"/>
    <x v="0"/>
    <x v="0"/>
    <s v="Bosch Branding"/>
    <n v="7704351160"/>
    <s v="Permanent Indoor POS"/>
    <x v="4"/>
    <n v="55336"/>
    <n v="324800"/>
    <n v="-269464"/>
  </r>
  <r>
    <x v="1"/>
    <d v="2020-02-01T00:00:00"/>
    <d v="2020-02-01T00:00:00"/>
    <x v="0"/>
    <x v="0"/>
    <s v="Bosch Branding"/>
    <n v="7704351160"/>
    <s v="Permanent Indoor POS"/>
    <x v="5"/>
    <n v="62136"/>
    <n v="50000"/>
    <n v="12136"/>
  </r>
  <r>
    <x v="2"/>
    <d v="2020-03-01T00:00:00"/>
    <d v="2020-03-01T00:00:00"/>
    <x v="0"/>
    <x v="0"/>
    <s v="Bosch Branding"/>
    <n v="7704351160"/>
    <s v="Permanent Indoor POS"/>
    <x v="6"/>
    <n v="69119"/>
    <n v="50000"/>
    <n v="19119"/>
  </r>
  <r>
    <x v="3"/>
    <d v="2020-04-01T00:00:00"/>
    <d v="2020-04-01T00:00:00"/>
    <x v="0"/>
    <x v="0"/>
    <s v="Bosch Branding"/>
    <n v="7704351160"/>
    <s v="Permanent Indoor POS"/>
    <x v="7"/>
    <n v="57135"/>
    <n v="47493.170000000042"/>
    <n v="9641.8299999999581"/>
  </r>
  <r>
    <x v="4"/>
    <d v="2020-05-01T00:00:00"/>
    <d v="2020-05-01T00:00:00"/>
    <x v="0"/>
    <x v="0"/>
    <s v="Bosch Branding"/>
    <n v="7704351160"/>
    <s v="Permanent Indoor POS"/>
    <x v="8"/>
    <n v="58271"/>
    <n v="5856.25"/>
    <n v="52414.75"/>
  </r>
  <r>
    <x v="4"/>
    <d v="2020-05-01T00:00:00"/>
    <d v="2020-05-01T00:00:00"/>
    <x v="0"/>
    <x v="0"/>
    <s v="Bosch Branding"/>
    <n v="7704351160"/>
    <s v="Permanent Indoor POS"/>
    <x v="9"/>
    <n v="61247"/>
    <n v="30350"/>
    <n v="30897"/>
  </r>
  <r>
    <x v="4"/>
    <d v="2020-05-01T00:00:00"/>
    <d v="2020-05-01T00:00:00"/>
    <x v="0"/>
    <x v="0"/>
    <s v="Bosch Branding"/>
    <n v="7704351160"/>
    <s v="Permanent Indoor POS"/>
    <x v="10"/>
    <n v="53298"/>
    <n v="25976"/>
    <n v="27322"/>
  </r>
  <r>
    <x v="4"/>
    <d v="2020-05-01T00:00:00"/>
    <d v="2020-05-01T00:00:00"/>
    <x v="0"/>
    <x v="0"/>
    <s v="Bosch Branding"/>
    <n v="7704351160"/>
    <s v="Permanent Indoor POS"/>
    <x v="11"/>
    <n v="66210"/>
    <n v="2516"/>
    <n v="63694"/>
  </r>
  <r>
    <x v="4"/>
    <d v="2020-05-01T00:00:00"/>
    <d v="2020-05-01T00:00:00"/>
    <x v="0"/>
    <x v="0"/>
    <s v="Bosch Branding"/>
    <n v="7704351160"/>
    <s v="Permanent Indoor POS"/>
    <x v="12"/>
    <n v="57749"/>
    <n v="884"/>
    <n v="56865"/>
  </r>
  <r>
    <x v="4"/>
    <d v="2020-05-01T00:00:00"/>
    <d v="2020-05-01T00:00:00"/>
    <x v="0"/>
    <x v="0"/>
    <s v="Bosch Branding"/>
    <n v="7704351160"/>
    <s v="Permanent Indoor POS"/>
    <x v="13"/>
    <n v="65435"/>
    <n v="262.5"/>
    <n v="65172.5"/>
  </r>
  <r>
    <x v="5"/>
    <d v="2020-06-01T00:00:00"/>
    <d v="2020-06-01T00:00:00"/>
    <x v="0"/>
    <x v="0"/>
    <s v="Bosch Branding"/>
    <n v="7704351160"/>
    <s v="Permanent Indoor POS"/>
    <x v="14"/>
    <n v="66534"/>
    <n v="14400"/>
    <n v="52134"/>
  </r>
  <r>
    <x v="5"/>
    <d v="2020-06-01T00:00:00"/>
    <d v="2020-06-01T00:00:00"/>
    <x v="0"/>
    <x v="0"/>
    <s v="Bosch Branding"/>
    <n v="7704351160"/>
    <s v="Permanent Indoor POS"/>
    <x v="15"/>
    <n v="60710"/>
    <n v="5780"/>
    <n v="54930"/>
  </r>
  <r>
    <x v="5"/>
    <d v="2020-06-01T00:00:00"/>
    <d v="2020-06-01T00:00:00"/>
    <x v="0"/>
    <x v="0"/>
    <s v="Bosch Branding"/>
    <n v="7704351160"/>
    <s v="Permanent Indoor POS"/>
    <x v="16"/>
    <n v="72932"/>
    <n v="15840.7"/>
    <n v="57091.3"/>
  </r>
  <r>
    <x v="6"/>
    <d v="2020-07-01T00:00:00"/>
    <d v="2020-07-01T00:00:00"/>
    <x v="0"/>
    <x v="0"/>
    <s v="Bosch Branding"/>
    <n v="7704351160"/>
    <s v="Permanent Indoor POS"/>
    <x v="0"/>
    <n v="54930"/>
    <n v="39924"/>
    <n v="15006"/>
  </r>
  <r>
    <x v="6"/>
    <d v="2020-07-01T00:00:00"/>
    <d v="2020-07-01T00:00:00"/>
    <x v="0"/>
    <x v="0"/>
    <s v="Bosch Branding"/>
    <n v="7704351160"/>
    <s v="Permanent Indoor POS"/>
    <x v="1"/>
    <n v="60031"/>
    <n v="38342.29"/>
    <n v="21688.71"/>
  </r>
  <r>
    <x v="6"/>
    <d v="2020-07-01T00:00:00"/>
    <d v="2020-07-01T00:00:00"/>
    <x v="0"/>
    <x v="0"/>
    <s v="Bosch Branding"/>
    <n v="7704351160"/>
    <s v="Permanent Indoor POS"/>
    <x v="2"/>
    <n v="52678"/>
    <n v="19776.25"/>
    <n v="32901.75"/>
  </r>
  <r>
    <x v="6"/>
    <d v="2020-07-01T00:00:00"/>
    <d v="2020-07-01T00:00:00"/>
    <x v="0"/>
    <x v="0"/>
    <s v="Bosch Branding"/>
    <n v="7704351160"/>
    <s v="Permanent Indoor POS"/>
    <x v="3"/>
    <n v="70387"/>
    <n v="46096"/>
    <n v="24291"/>
  </r>
  <r>
    <x v="6"/>
    <d v="2020-07-01T00:00:00"/>
    <d v="2020-07-01T00:00:00"/>
    <x v="0"/>
    <x v="0"/>
    <s v="Bosch Branding"/>
    <n v="7704351160"/>
    <s v="Permanent Indoor POS"/>
    <x v="4"/>
    <n v="52366"/>
    <n v="5467.2"/>
    <n v="46898.8"/>
  </r>
  <r>
    <x v="7"/>
    <d v="2020-08-01T00:00:00"/>
    <d v="2020-08-01T00:00:00"/>
    <x v="0"/>
    <x v="0"/>
    <s v="Bosch Branding"/>
    <n v="7704351160"/>
    <s v="Permanent Indoor POS"/>
    <x v="5"/>
    <n v="50531"/>
    <n v="20910.599999999999"/>
    <n v="29620.400000000001"/>
  </r>
  <r>
    <x v="8"/>
    <d v="2020-09-01T00:00:00"/>
    <d v="2020-09-01T00:00:00"/>
    <x v="0"/>
    <x v="0"/>
    <s v="Bosch Branding"/>
    <n v="7704351160"/>
    <s v="Permanent Indoor POS"/>
    <x v="6"/>
    <n v="67485"/>
    <n v="129441.89"/>
    <n v="-61956.89"/>
  </r>
  <r>
    <x v="2"/>
    <d v="2020-03-01T00:00:00"/>
    <d v="2020-03-01T00:00:00"/>
    <x v="0"/>
    <x v="0"/>
    <s v="Bosch Branding"/>
    <n v="7704351160"/>
    <s v="Permanent Indoor POS"/>
    <x v="7"/>
    <n v="56669"/>
    <n v="500"/>
    <n v="56169"/>
  </r>
  <r>
    <x v="0"/>
    <d v="2020-01-01T00:00:00"/>
    <d v="2020-01-01T00:00:00"/>
    <x v="0"/>
    <x v="1"/>
    <s v="Bosch Merch"/>
    <n v="7604355010"/>
    <s v="Merchandisers Expences"/>
    <x v="8"/>
    <n v="64596"/>
    <n v="161138"/>
    <n v="-96542"/>
  </r>
  <r>
    <x v="1"/>
    <d v="2020-02-01T00:00:00"/>
    <d v="2020-02-01T00:00:00"/>
    <x v="0"/>
    <x v="1"/>
    <s v="Bosch Merch"/>
    <n v="7604355010"/>
    <s v="Merchandisers Expences"/>
    <x v="9"/>
    <n v="74198"/>
    <n v="243163"/>
    <n v="-168965"/>
  </r>
  <r>
    <x v="2"/>
    <d v="2020-03-01T00:00:00"/>
    <d v="2020-03-01T00:00:00"/>
    <x v="0"/>
    <x v="1"/>
    <s v="Bosch Merch"/>
    <n v="7604355010"/>
    <s v="Merchandisers Expences"/>
    <x v="10"/>
    <n v="66014"/>
    <n v="854"/>
    <n v="65160"/>
  </r>
  <r>
    <x v="2"/>
    <d v="2020-03-01T00:00:00"/>
    <d v="2020-03-01T00:00:00"/>
    <x v="0"/>
    <x v="1"/>
    <s v="Bosch Merch"/>
    <n v="7604355010"/>
    <s v="Merchandisers Expences"/>
    <x v="11"/>
    <n v="56977"/>
    <n v="45655.839999999997"/>
    <n v="11321.160000000003"/>
  </r>
  <r>
    <x v="2"/>
    <d v="2020-03-01T00:00:00"/>
    <d v="2020-03-01T00:00:00"/>
    <x v="0"/>
    <x v="1"/>
    <s v="Bosch Merch"/>
    <n v="7604355010"/>
    <s v="Merchandisers Expences"/>
    <x v="12"/>
    <n v="51081"/>
    <n v="1033"/>
    <n v="50048"/>
  </r>
  <r>
    <x v="2"/>
    <d v="2020-03-01T00:00:00"/>
    <d v="2020-03-01T00:00:00"/>
    <x v="0"/>
    <x v="1"/>
    <s v="Bosch Merch"/>
    <n v="7604355010"/>
    <s v="Merchandisers Expences"/>
    <x v="13"/>
    <n v="73983"/>
    <n v="186950.85"/>
    <n v="-112967.85"/>
  </r>
  <r>
    <x v="3"/>
    <d v="2020-04-01T00:00:00"/>
    <d v="2020-04-01T00:00:00"/>
    <x v="0"/>
    <x v="1"/>
    <s v="Bosch Merch"/>
    <n v="7604355010"/>
    <s v="Merchandisers Expences"/>
    <x v="14"/>
    <n v="63539"/>
    <n v="3579.0199748901437"/>
    <n v="59959.980025109857"/>
  </r>
  <r>
    <x v="4"/>
    <d v="2020-05-01T00:00:00"/>
    <d v="2020-05-01T00:00:00"/>
    <x v="0"/>
    <x v="1"/>
    <s v="Bosch Merch"/>
    <n v="7604355010"/>
    <s v="Merchandisers Expences"/>
    <x v="15"/>
    <n v="66622"/>
    <n v="50483"/>
    <n v="16139"/>
  </r>
  <r>
    <x v="5"/>
    <d v="2020-06-01T00:00:00"/>
    <d v="2020-06-01T00:00:00"/>
    <x v="0"/>
    <x v="1"/>
    <s v="Bosch Merch"/>
    <n v="7604355010"/>
    <s v="Merchandisers Expences"/>
    <x v="16"/>
    <n v="50354"/>
    <n v="208244"/>
    <n v="-157890"/>
  </r>
  <r>
    <x v="6"/>
    <d v="2020-07-01T00:00:00"/>
    <d v="2020-07-01T00:00:00"/>
    <x v="0"/>
    <x v="1"/>
    <s v="Bosch Merch"/>
    <n v="7604355010"/>
    <s v="Merchandisers Expences"/>
    <x v="0"/>
    <n v="54816"/>
    <n v="228287"/>
    <n v="-173471"/>
  </r>
  <r>
    <x v="7"/>
    <d v="2020-08-01T00:00:00"/>
    <d v="2020-08-01T00:00:00"/>
    <x v="0"/>
    <x v="1"/>
    <s v="Bosch Merch"/>
    <n v="7604355010"/>
    <s v="Merchandisers Expences"/>
    <x v="1"/>
    <n v="52736"/>
    <n v="201450.91"/>
    <n v="-148714.91"/>
  </r>
  <r>
    <x v="8"/>
    <d v="2020-09-01T00:00:00"/>
    <d v="2020-09-01T00:00:00"/>
    <x v="0"/>
    <x v="1"/>
    <s v="Bosch Merch"/>
    <n v="7604355010"/>
    <s v="Merchandisers Expences"/>
    <x v="2"/>
    <n v="68232"/>
    <n v="206061"/>
    <n v="-137829"/>
  </r>
  <r>
    <x v="0"/>
    <d v="2020-01-01T00:00:00"/>
    <d v="2020-01-01T00:00:00"/>
    <x v="1"/>
    <x v="0"/>
    <s v="Profilo Branding"/>
    <n v="7704351160"/>
    <s v="Permanent Indoor POS"/>
    <x v="3"/>
    <n v="62734"/>
    <n v="132970"/>
    <n v="-70236"/>
  </r>
  <r>
    <x v="0"/>
    <d v="2020-01-01T00:00:00"/>
    <d v="2020-01-01T00:00:00"/>
    <x v="1"/>
    <x v="0"/>
    <s v="Profilo Branding"/>
    <n v="7704351160"/>
    <s v="Permanent Indoor POS"/>
    <x v="4"/>
    <n v="74436"/>
    <n v="22000"/>
    <n v="52436"/>
  </r>
  <r>
    <x v="1"/>
    <d v="2020-02-01T00:00:00"/>
    <d v="2020-02-01T00:00:00"/>
    <x v="1"/>
    <x v="0"/>
    <s v="Profilo Branding"/>
    <n v="7704351160"/>
    <s v="Permanent Indoor POS"/>
    <x v="5"/>
    <n v="55988"/>
    <n v="871.4"/>
    <n v="55116.6"/>
  </r>
  <r>
    <x v="1"/>
    <d v="2020-02-01T00:00:00"/>
    <d v="2020-02-01T00:00:00"/>
    <x v="1"/>
    <x v="0"/>
    <s v="Profilo Branding"/>
    <n v="7704351160"/>
    <s v="Permanent Indoor POS"/>
    <x v="6"/>
    <n v="72090"/>
    <n v="47675"/>
    <n v="24415"/>
  </r>
  <r>
    <x v="1"/>
    <d v="2020-02-01T00:00:00"/>
    <d v="2020-02-01T00:00:00"/>
    <x v="1"/>
    <x v="0"/>
    <s v="Profilo Branding"/>
    <n v="7704351160"/>
    <s v="Permanent Indoor POS"/>
    <x v="7"/>
    <n v="53598"/>
    <n v="22000"/>
    <n v="31598"/>
  </r>
  <r>
    <x v="2"/>
    <d v="2020-03-01T00:00:00"/>
    <d v="2020-03-01T00:00:00"/>
    <x v="1"/>
    <x v="0"/>
    <s v="Profilo Branding"/>
    <n v="7704351160"/>
    <s v="Permanent Indoor POS"/>
    <x v="8"/>
    <n v="50966"/>
    <n v="22000"/>
    <n v="28966"/>
  </r>
  <r>
    <x v="2"/>
    <d v="2020-03-01T00:00:00"/>
    <d v="2020-03-01T00:00:00"/>
    <x v="1"/>
    <x v="0"/>
    <s v="Profilo Branding"/>
    <n v="7704351160"/>
    <s v="Permanent Indoor POS"/>
    <x v="9"/>
    <n v="65058"/>
    <n v="6275"/>
    <n v="58783"/>
  </r>
  <r>
    <x v="3"/>
    <d v="2020-04-01T00:00:00"/>
    <d v="2020-04-01T00:00:00"/>
    <x v="1"/>
    <x v="0"/>
    <s v="Profilo Branding"/>
    <n v="7704351160"/>
    <s v="Permanent Indoor POS"/>
    <x v="10"/>
    <n v="57751"/>
    <n v="47526.119999999995"/>
    <n v="10224.880000000005"/>
  </r>
  <r>
    <x v="4"/>
    <d v="2020-05-01T00:00:00"/>
    <d v="2020-05-01T00:00:00"/>
    <x v="1"/>
    <x v="0"/>
    <s v="Profilo Branding"/>
    <n v="7704351160"/>
    <s v="Permanent Indoor POS"/>
    <x v="11"/>
    <n v="65812"/>
    <n v="3550"/>
    <n v="62262"/>
  </r>
  <r>
    <x v="4"/>
    <d v="2020-05-01T00:00:00"/>
    <d v="2020-05-01T00:00:00"/>
    <x v="1"/>
    <x v="0"/>
    <s v="Profilo Branding"/>
    <n v="7704351160"/>
    <s v="Permanent Indoor POS"/>
    <x v="12"/>
    <n v="65862"/>
    <n v="2765"/>
    <n v="63097"/>
  </r>
  <r>
    <x v="4"/>
    <d v="2020-05-01T00:00:00"/>
    <d v="2020-05-01T00:00:00"/>
    <x v="1"/>
    <x v="0"/>
    <s v="Profilo Branding"/>
    <n v="7704351160"/>
    <s v="Permanent Indoor POS"/>
    <x v="13"/>
    <n v="71337"/>
    <n v="167785.15"/>
    <n v="-96448.15"/>
  </r>
  <r>
    <x v="4"/>
    <d v="2020-05-01T00:00:00"/>
    <d v="2020-05-01T00:00:00"/>
    <x v="1"/>
    <x v="0"/>
    <s v="Profilo Branding"/>
    <n v="7704351160"/>
    <s v="Permanent Indoor POS"/>
    <x v="14"/>
    <n v="53620"/>
    <n v="259"/>
    <n v="53361"/>
  </r>
  <r>
    <x v="5"/>
    <d v="2020-06-01T00:00:00"/>
    <d v="2020-06-01T00:00:00"/>
    <x v="1"/>
    <x v="0"/>
    <s v="Profilo Branding"/>
    <n v="7704351160"/>
    <s v="Permanent Indoor POS"/>
    <x v="15"/>
    <n v="54939"/>
    <n v="12260"/>
    <n v="42679"/>
  </r>
  <r>
    <x v="5"/>
    <d v="2020-06-01T00:00:00"/>
    <d v="2020-06-01T00:00:00"/>
    <x v="1"/>
    <x v="0"/>
    <s v="Profilo Branding"/>
    <n v="7704351160"/>
    <s v="Permanent Indoor POS"/>
    <x v="16"/>
    <n v="68653"/>
    <n v="33615"/>
    <n v="35038"/>
  </r>
  <r>
    <x v="6"/>
    <d v="2020-07-01T00:00:00"/>
    <d v="2020-07-01T00:00:00"/>
    <x v="1"/>
    <x v="0"/>
    <s v="Profilo Branding"/>
    <n v="7704351160"/>
    <s v="Permanent Indoor POS"/>
    <x v="0"/>
    <n v="64501"/>
    <n v="1385"/>
    <n v="63116"/>
  </r>
  <r>
    <x v="7"/>
    <d v="2020-08-01T00:00:00"/>
    <d v="2020-08-01T00:00:00"/>
    <x v="1"/>
    <x v="0"/>
    <s v="Profilo Branding"/>
    <n v="7704351160"/>
    <s v="Permanent Indoor POS"/>
    <x v="1"/>
    <n v="50779"/>
    <n v="18461.239999999998"/>
    <n v="32317.760000000002"/>
  </r>
  <r>
    <x v="8"/>
    <d v="2020-09-01T00:00:00"/>
    <d v="2020-09-01T00:00:00"/>
    <x v="1"/>
    <x v="0"/>
    <s v="Profilo Branding"/>
    <n v="7704351160"/>
    <s v="Permanent Indoor POS"/>
    <x v="2"/>
    <n v="56109"/>
    <n v="9220"/>
    <n v="46889"/>
  </r>
  <r>
    <x v="9"/>
    <d v="2020-10-01T00:00:00"/>
    <d v="2020-10-01T00:00:00"/>
    <x v="1"/>
    <x v="0"/>
    <s v="Profilo Branding"/>
    <n v="7704351160"/>
    <s v="Permanent Indoor POS"/>
    <x v="3"/>
    <n v="55057"/>
    <n v="6199.88"/>
    <n v="48857.120000000003"/>
  </r>
  <r>
    <x v="9"/>
    <d v="2020-10-01T00:00:00"/>
    <d v="2020-10-01T00:00:00"/>
    <x v="1"/>
    <x v="0"/>
    <s v="Profilo Branding"/>
    <n v="7704351160"/>
    <s v="Permanent Indoor POS"/>
    <x v="4"/>
    <n v="65588"/>
    <n v="94526.7"/>
    <n v="-28938.699999999997"/>
  </r>
  <r>
    <x v="0"/>
    <d v="2020-01-01T00:00:00"/>
    <d v="2020-01-01T00:00:00"/>
    <x v="1"/>
    <x v="1"/>
    <s v="Profilo Merch"/>
    <n v="7604355010"/>
    <s v="Merchandisers Expences"/>
    <x v="5"/>
    <n v="63887"/>
    <n v="109039.57"/>
    <n v="-45152.570000000007"/>
  </r>
  <r>
    <x v="1"/>
    <d v="2020-02-01T00:00:00"/>
    <d v="2020-02-01T00:00:00"/>
    <x v="1"/>
    <x v="1"/>
    <s v="Profilo Merch"/>
    <n v="7604355010"/>
    <s v="Merchandisers Expences"/>
    <x v="6"/>
    <n v="65283"/>
    <n v="105952.06"/>
    <n v="-40669.06"/>
  </r>
  <r>
    <x v="2"/>
    <d v="2020-03-01T00:00:00"/>
    <d v="2020-03-01T00:00:00"/>
    <x v="1"/>
    <x v="1"/>
    <s v="Profilo Merch"/>
    <n v="7604355010"/>
    <s v="Merchandisers Expences"/>
    <x v="7"/>
    <n v="52410"/>
    <n v="94243.26"/>
    <n v="-41833.259999999995"/>
  </r>
  <r>
    <x v="2"/>
    <d v="2020-03-01T00:00:00"/>
    <d v="2020-03-01T00:00:00"/>
    <x v="1"/>
    <x v="1"/>
    <s v="Profilo Merch"/>
    <n v="7604355010"/>
    <s v="Merchandisers Expences"/>
    <x v="8"/>
    <n v="59256"/>
    <n v="1033"/>
    <n v="58223"/>
  </r>
  <r>
    <x v="2"/>
    <d v="2020-03-01T00:00:00"/>
    <d v="2020-03-01T00:00:00"/>
    <x v="1"/>
    <x v="1"/>
    <s v="Profilo Merch"/>
    <n v="7604355010"/>
    <s v="Merchandisers Expences"/>
    <x v="9"/>
    <n v="62367"/>
    <n v="854"/>
    <n v="61513"/>
  </r>
  <r>
    <x v="3"/>
    <d v="2020-04-01T00:00:00"/>
    <d v="2020-04-01T00:00:00"/>
    <x v="1"/>
    <x v="1"/>
    <s v="Profilo Merch"/>
    <n v="7604355010"/>
    <s v="Merchandisers Expences"/>
    <x v="10"/>
    <n v="56905"/>
    <n v="41100.264915254236"/>
    <n v="15804.735084745764"/>
  </r>
  <r>
    <x v="4"/>
    <d v="2020-05-01T00:00:00"/>
    <d v="2020-05-01T00:00:00"/>
    <x v="1"/>
    <x v="1"/>
    <s v="Profilo Merch"/>
    <n v="7604355010"/>
    <s v="Merchandisers Expences"/>
    <x v="11"/>
    <n v="70631"/>
    <n v="26663.773197289833"/>
    <n v="43967.226802710167"/>
  </r>
  <r>
    <x v="5"/>
    <d v="2020-06-01T00:00:00"/>
    <d v="2020-06-01T00:00:00"/>
    <x v="1"/>
    <x v="1"/>
    <s v="Profilo Merch"/>
    <n v="7604355010"/>
    <s v="Merchandisers Expences"/>
    <x v="12"/>
    <n v="57847"/>
    <n v="100940.81999999999"/>
    <n v="-43093.819999999992"/>
  </r>
  <r>
    <x v="6"/>
    <d v="2020-07-01T00:00:00"/>
    <d v="2020-07-01T00:00:00"/>
    <x v="1"/>
    <x v="1"/>
    <s v="Profilo Merch"/>
    <n v="7604355010"/>
    <s v="Merchandisers Expences"/>
    <x v="13"/>
    <n v="72076"/>
    <n v="110042.54000000001"/>
    <n v="-37966.540000000008"/>
  </r>
  <r>
    <x v="7"/>
    <d v="2020-08-01T00:00:00"/>
    <d v="2020-08-01T00:00:00"/>
    <x v="1"/>
    <x v="1"/>
    <s v="Profilo Merch"/>
    <n v="7604355010"/>
    <s v="Merchandisers Expences"/>
    <x v="14"/>
    <n v="53329"/>
    <n v="91642.61"/>
    <n v="-38313.61"/>
  </r>
  <r>
    <x v="8"/>
    <d v="2020-09-01T00:00:00"/>
    <d v="2020-09-01T00:00:00"/>
    <x v="1"/>
    <x v="1"/>
    <s v="Profilo Merch"/>
    <n v="7604355010"/>
    <s v="Merchandisers Expences"/>
    <x v="15"/>
    <n v="68779"/>
    <n v="90459"/>
    <n v="-21680"/>
  </r>
  <r>
    <x v="0"/>
    <d v="2020-01-01T00:00:00"/>
    <d v="2020-01-01T00:00:00"/>
    <x v="2"/>
    <x v="0"/>
    <s v="Siemens Branding"/>
    <n v="7704351160"/>
    <s v="Permanent Indoor POS"/>
    <x v="16"/>
    <n v="64259"/>
    <n v="41000"/>
    <n v="23259"/>
  </r>
  <r>
    <x v="0"/>
    <d v="2020-01-01T00:00:00"/>
    <d v="2020-01-01T00:00:00"/>
    <x v="2"/>
    <x v="0"/>
    <s v="Siemens Branding"/>
    <n v="7704351160"/>
    <s v="Permanent Indoor POS"/>
    <x v="0"/>
    <n v="58730"/>
    <n v="133834.20000000001"/>
    <n v="-75104.200000000012"/>
  </r>
  <r>
    <x v="1"/>
    <d v="2020-02-01T00:00:00"/>
    <d v="2020-02-01T00:00:00"/>
    <x v="2"/>
    <x v="0"/>
    <s v="Siemens Branding"/>
    <n v="7704351160"/>
    <s v="Permanent Indoor POS"/>
    <x v="1"/>
    <n v="67030"/>
    <n v="41000"/>
    <n v="26030"/>
  </r>
  <r>
    <x v="2"/>
    <d v="2020-03-01T00:00:00"/>
    <d v="2020-03-01T00:00:00"/>
    <x v="2"/>
    <x v="0"/>
    <s v="Siemens Branding"/>
    <n v="7704351160"/>
    <s v="Permanent Indoor POS"/>
    <x v="2"/>
    <n v="53563"/>
    <n v="1800"/>
    <n v="51763"/>
  </r>
  <r>
    <x v="2"/>
    <d v="2020-03-01T00:00:00"/>
    <d v="2020-03-01T00:00:00"/>
    <x v="2"/>
    <x v="0"/>
    <s v="Siemens Branding"/>
    <n v="7704351160"/>
    <s v="Permanent Indoor POS"/>
    <x v="3"/>
    <n v="68791"/>
    <n v="41000"/>
    <n v="27791"/>
  </r>
  <r>
    <x v="3"/>
    <d v="2020-04-01T00:00:00"/>
    <d v="2020-04-01T00:00:00"/>
    <x v="2"/>
    <x v="0"/>
    <s v="Siemens Branding"/>
    <n v="7704351160"/>
    <s v="Permanent Indoor POS"/>
    <x v="4"/>
    <n v="50600"/>
    <n v="41004.510000000009"/>
    <n v="9595.4899999999907"/>
  </r>
  <r>
    <x v="4"/>
    <d v="2020-05-01T00:00:00"/>
    <d v="2020-05-01T00:00:00"/>
    <x v="2"/>
    <x v="0"/>
    <s v="Siemens Branding"/>
    <n v="7704351160"/>
    <s v="Permanent Indoor POS"/>
    <x v="5"/>
    <n v="74240"/>
    <n v="23600"/>
    <n v="50640"/>
  </r>
  <r>
    <x v="4"/>
    <d v="2020-05-01T00:00:00"/>
    <d v="2020-05-01T00:00:00"/>
    <x v="2"/>
    <x v="0"/>
    <s v="Siemens Branding"/>
    <n v="7704351160"/>
    <s v="Permanent Indoor POS"/>
    <x v="6"/>
    <n v="64485"/>
    <n v="457967.5"/>
    <n v="-393482.5"/>
  </r>
  <r>
    <x v="4"/>
    <d v="2020-05-01T00:00:00"/>
    <d v="2020-05-01T00:00:00"/>
    <x v="2"/>
    <x v="0"/>
    <s v="Siemens Branding"/>
    <n v="7704351160"/>
    <s v="Permanent Indoor POS"/>
    <x v="7"/>
    <n v="65765"/>
    <n v="22910"/>
    <n v="42855"/>
  </r>
  <r>
    <x v="4"/>
    <d v="2020-05-01T00:00:00"/>
    <d v="2020-05-01T00:00:00"/>
    <x v="2"/>
    <x v="0"/>
    <s v="Siemens Branding"/>
    <n v="7704351160"/>
    <s v="Permanent Indoor POS"/>
    <x v="8"/>
    <n v="69165"/>
    <n v="49757"/>
    <n v="19408"/>
  </r>
  <r>
    <x v="4"/>
    <d v="2020-05-01T00:00:00"/>
    <d v="2020-05-01T00:00:00"/>
    <x v="2"/>
    <x v="0"/>
    <s v="Siemens Branding"/>
    <n v="7704351160"/>
    <s v="Permanent Indoor POS"/>
    <x v="9"/>
    <n v="61086"/>
    <n v="2146"/>
    <n v="58940"/>
  </r>
  <r>
    <x v="5"/>
    <d v="2020-06-01T00:00:00"/>
    <d v="2020-06-01T00:00:00"/>
    <x v="2"/>
    <x v="0"/>
    <s v="Siemens Branding"/>
    <n v="7704351160"/>
    <s v="Permanent Indoor POS"/>
    <x v="10"/>
    <n v="71468"/>
    <n v="22303.279999999999"/>
    <n v="49164.72"/>
  </r>
  <r>
    <x v="6"/>
    <d v="2020-07-01T00:00:00"/>
    <d v="2020-07-01T00:00:00"/>
    <x v="2"/>
    <x v="0"/>
    <s v="Siemens Branding"/>
    <n v="7704351160"/>
    <s v="Permanent Indoor POS"/>
    <x v="11"/>
    <n v="66875"/>
    <n v="53052.86"/>
    <n v="13822.14"/>
  </r>
  <r>
    <x v="7"/>
    <d v="2020-08-01T00:00:00"/>
    <d v="2020-08-01T00:00:00"/>
    <x v="2"/>
    <x v="0"/>
    <s v="Siemens Branding"/>
    <n v="7704351160"/>
    <s v="Permanent Indoor POS"/>
    <x v="12"/>
    <n v="58238"/>
    <n v="38503.120000000003"/>
    <n v="19734.879999999997"/>
  </r>
  <r>
    <x v="8"/>
    <d v="2020-09-01T00:00:00"/>
    <d v="2020-09-01T00:00:00"/>
    <x v="2"/>
    <x v="0"/>
    <s v="Siemens Branding"/>
    <n v="7704351160"/>
    <s v="Permanent Indoor POS"/>
    <x v="13"/>
    <n v="53981"/>
    <n v="38816.1"/>
    <n v="15164.900000000001"/>
  </r>
  <r>
    <x v="9"/>
    <d v="2020-10-01T00:00:00"/>
    <d v="2020-10-01T00:00:00"/>
    <x v="2"/>
    <x v="0"/>
    <s v="Siemens Branding"/>
    <n v="7704351160"/>
    <s v="Permanent Indoor POS"/>
    <x v="14"/>
    <n v="52721"/>
    <n v="53965.54"/>
    <n v="-1244.5400000000009"/>
  </r>
  <r>
    <x v="0"/>
    <d v="2020-01-01T00:00:00"/>
    <d v="2020-01-01T00:00:00"/>
    <x v="2"/>
    <x v="1"/>
    <s v="Siemens Merch"/>
    <n v="7604355010"/>
    <s v="Merchandisers Expences"/>
    <x v="15"/>
    <n v="54429"/>
    <n v="120138.51000000001"/>
    <n v="-65709.510000000009"/>
  </r>
  <r>
    <x v="1"/>
    <d v="2020-02-01T00:00:00"/>
    <d v="2020-02-01T00:00:00"/>
    <x v="2"/>
    <x v="1"/>
    <s v="Siemens Merch"/>
    <n v="7604355010"/>
    <s v="Merchandisers Expences"/>
    <x v="16"/>
    <n v="65384"/>
    <n v="91546.86"/>
    <n v="-26162.86"/>
  </r>
  <r>
    <x v="2"/>
    <d v="2020-03-01T00:00:00"/>
    <d v="2020-03-01T00:00:00"/>
    <x v="2"/>
    <x v="1"/>
    <s v="Siemens Merch"/>
    <n v="7604355010"/>
    <s v="Merchandisers Expences"/>
    <x v="0"/>
    <n v="61062"/>
    <n v="1033"/>
    <n v="60029"/>
  </r>
  <r>
    <x v="2"/>
    <d v="2020-03-01T00:00:00"/>
    <d v="2020-03-01T00:00:00"/>
    <x v="2"/>
    <x v="1"/>
    <s v="Siemens Merch"/>
    <n v="7604355010"/>
    <s v="Merchandisers Expences"/>
    <x v="1"/>
    <n v="56439"/>
    <n v="93835.48000000001"/>
    <n v="-37396.48000000001"/>
  </r>
  <r>
    <x v="2"/>
    <d v="2020-03-01T00:00:00"/>
    <d v="2020-03-01T00:00:00"/>
    <x v="2"/>
    <x v="1"/>
    <s v="Siemens Merch"/>
    <n v="7604355010"/>
    <s v="Merchandisers Expences"/>
    <x v="2"/>
    <n v="68954"/>
    <n v="853"/>
    <n v="68101"/>
  </r>
  <r>
    <x v="3"/>
    <d v="2020-04-01T00:00:00"/>
    <d v="2020-04-01T00:00:00"/>
    <x v="2"/>
    <x v="1"/>
    <s v="Siemens Merch"/>
    <n v="7604355010"/>
    <s v="Merchandisers Expences"/>
    <x v="3"/>
    <n v="58473"/>
    <n v="63249"/>
    <n v="-4776"/>
  </r>
  <r>
    <x v="4"/>
    <d v="2020-05-01T00:00:00"/>
    <d v="2020-05-01T00:00:00"/>
    <x v="2"/>
    <x v="1"/>
    <s v="Siemens Merch"/>
    <n v="7604355010"/>
    <s v="Merchandisers Expences"/>
    <x v="4"/>
    <n v="73460"/>
    <n v="36219"/>
    <n v="37241"/>
  </r>
  <r>
    <x v="5"/>
    <d v="2020-06-01T00:00:00"/>
    <d v="2020-06-01T00:00:00"/>
    <x v="2"/>
    <x v="1"/>
    <s v="Siemens Merch"/>
    <n v="7604355010"/>
    <s v="Merchandisers Expences"/>
    <x v="5"/>
    <n v="51724"/>
    <n v="110875"/>
    <n v="-59151"/>
  </r>
  <r>
    <x v="6"/>
    <d v="2020-07-01T00:00:00"/>
    <d v="2020-07-01T00:00:00"/>
    <x v="2"/>
    <x v="1"/>
    <s v="Siemens Merch"/>
    <n v="7604355010"/>
    <s v="Merchandisers Expences"/>
    <x v="6"/>
    <n v="74898"/>
    <n v="93878"/>
    <n v="-18980"/>
  </r>
  <r>
    <x v="7"/>
    <d v="2020-08-01T00:00:00"/>
    <d v="2020-08-01T00:00:00"/>
    <x v="2"/>
    <x v="1"/>
    <s v="Siemens Merch"/>
    <n v="7604355010"/>
    <s v="Merchandisers Expences"/>
    <x v="7"/>
    <n v="73021"/>
    <n v="91735"/>
    <n v="-18714"/>
  </r>
  <r>
    <x v="8"/>
    <d v="2020-09-01T00:00:00"/>
    <d v="2020-09-01T00:00:00"/>
    <x v="2"/>
    <x v="1"/>
    <s v="Siemens Merch"/>
    <n v="7604355010"/>
    <s v="Merchandisers Expences"/>
    <x v="8"/>
    <n v="52939"/>
    <n v="123461"/>
    <n v="-70522"/>
  </r>
  <r>
    <x v="10"/>
    <s v=""/>
    <s v=""/>
    <x v="3"/>
    <x v="2"/>
    <s v=" "/>
    <s v=""/>
    <s v=""/>
    <x v="17"/>
    <m/>
    <m/>
    <n v="0"/>
  </r>
  <r>
    <x v="10"/>
    <s v=""/>
    <s v=""/>
    <x v="3"/>
    <x v="2"/>
    <s v=" "/>
    <s v=""/>
    <s v=""/>
    <x v="17"/>
    <m/>
    <m/>
    <n v="0"/>
  </r>
  <r>
    <x v="10"/>
    <s v=""/>
    <s v=""/>
    <x v="3"/>
    <x v="2"/>
    <s v=" "/>
    <s v=""/>
    <s v=""/>
    <x v="17"/>
    <m/>
    <m/>
    <n v="0"/>
  </r>
  <r>
    <x v="10"/>
    <s v=""/>
    <s v=""/>
    <x v="3"/>
    <x v="2"/>
    <s v=" "/>
    <s v=""/>
    <s v=""/>
    <x v="17"/>
    <m/>
    <m/>
    <n v="0"/>
  </r>
  <r>
    <x v="10"/>
    <s v=""/>
    <s v=""/>
    <x v="3"/>
    <x v="2"/>
    <s v=" "/>
    <s v=""/>
    <s v=""/>
    <x v="17"/>
    <m/>
    <m/>
    <n v="0"/>
  </r>
  <r>
    <x v="10"/>
    <s v=""/>
    <s v=""/>
    <x v="3"/>
    <x v="2"/>
    <s v=" "/>
    <s v=""/>
    <s v=""/>
    <x v="17"/>
    <m/>
    <m/>
    <n v="0"/>
  </r>
  <r>
    <x v="10"/>
    <s v=""/>
    <s v=""/>
    <x v="3"/>
    <x v="2"/>
    <s v=" "/>
    <s v=""/>
    <s v=""/>
    <x v="17"/>
    <m/>
    <m/>
    <n v="0"/>
  </r>
  <r>
    <x v="10"/>
    <s v=""/>
    <s v=""/>
    <x v="3"/>
    <x v="2"/>
    <s v=" "/>
    <s v=""/>
    <s v=""/>
    <x v="17"/>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367F73-5E91-4389-80B8-08FCDDE847DF}" name="Suppliers" cacheId="10"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C3:C20" firstHeaderRow="1" firstDataRow="1" firstDataCol="1"/>
  <pivotFields count="12">
    <pivotField numFmtId="165" showAll="0">
      <items count="12">
        <item x="0"/>
        <item x="1"/>
        <item x="2"/>
        <item x="3"/>
        <item x="4"/>
        <item x="5"/>
        <item x="6"/>
        <item x="7"/>
        <item x="8"/>
        <item x="9"/>
        <item x="10"/>
        <item t="default"/>
      </items>
    </pivotField>
    <pivotField numFmtId="166" showAll="0"/>
    <pivotField numFmtId="167" showAll="0"/>
    <pivotField showAll="0">
      <items count="5">
        <item h="1" x="0"/>
        <item x="1"/>
        <item h="1" x="2"/>
        <item h="1" x="3"/>
        <item t="default"/>
      </items>
    </pivotField>
    <pivotField showAll="0">
      <items count="4">
        <item x="0"/>
        <item h="1" x="1"/>
        <item h="1" x="2"/>
        <item t="default"/>
      </items>
    </pivotField>
    <pivotField showAll="0"/>
    <pivotField showAll="0"/>
    <pivotField showAll="0"/>
    <pivotField axis="axisRow" showAll="0">
      <items count="34">
        <item m="1" x="23"/>
        <item m="1" x="26"/>
        <item m="1" x="18"/>
        <item m="1" x="19"/>
        <item m="1" x="25"/>
        <item m="1" x="24"/>
        <item m="1" x="32"/>
        <item m="1" x="30"/>
        <item m="1" x="20"/>
        <item m="1" x="27"/>
        <item m="1" x="22"/>
        <item m="1" x="31"/>
        <item m="1" x="28"/>
        <item m="1" x="29"/>
        <item m="1" x="21"/>
        <item x="0"/>
        <item x="1"/>
        <item x="2"/>
        <item x="3"/>
        <item x="4"/>
        <item x="5"/>
        <item x="6"/>
        <item x="7"/>
        <item x="8"/>
        <item x="9"/>
        <item x="10"/>
        <item x="11"/>
        <item x="12"/>
        <item x="13"/>
        <item x="14"/>
        <item x="15"/>
        <item x="16"/>
        <item x="17"/>
        <item t="default"/>
      </items>
    </pivotField>
    <pivotField showAll="0"/>
    <pivotField showAll="0"/>
    <pivotField numFmtId="164" showAll="0"/>
  </pivotFields>
  <rowFields count="1">
    <field x="8"/>
  </rowFields>
  <rowItems count="17">
    <i>
      <x v="15"/>
    </i>
    <i>
      <x v="16"/>
    </i>
    <i>
      <x v="17"/>
    </i>
    <i>
      <x v="18"/>
    </i>
    <i>
      <x v="19"/>
    </i>
    <i>
      <x v="20"/>
    </i>
    <i>
      <x v="21"/>
    </i>
    <i>
      <x v="22"/>
    </i>
    <i>
      <x v="23"/>
    </i>
    <i>
      <x v="24"/>
    </i>
    <i>
      <x v="25"/>
    </i>
    <i>
      <x v="26"/>
    </i>
    <i>
      <x v="27"/>
    </i>
    <i>
      <x v="28"/>
    </i>
    <i>
      <x v="29"/>
    </i>
    <i>
      <x v="30"/>
    </i>
    <i>
      <x v="31"/>
    </i>
  </rowItems>
  <colItems count="1">
    <i/>
  </colItems>
  <pivotTableStyleInfo name="PivotStyleLight16" showRowHeaders="1" showColHeaders="1" showRowStripes="0" showColStripes="0" showLastColumn="1"/>
  <filters count="1">
    <filter fld="0" type="dateBetween" evalOrder="-1" id="38" name="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92EE57-FB49-4B98-878E-44D4F714193D}" name="brands" cacheId="10" applyNumberFormats="0" applyBorderFormats="0" applyFontFormats="0" applyPatternFormats="0" applyAlignmentFormats="0" applyWidthHeightFormats="1" dataCaption="Values" updatedVersion="6" minRefreshableVersion="5" useAutoFormatting="1" rowGrandTotals="0" colGrandTotals="0" itemPrintTitles="1" createdVersion="6" indent="0" outline="1" outlineData="1" multipleFieldFilters="0" chartFormat="2">
  <location ref="A3:A4" firstHeaderRow="1" firstDataRow="1" firstDataCol="1"/>
  <pivotFields count="12">
    <pivotField numFmtId="165" showAll="0">
      <items count="12">
        <item x="0"/>
        <item x="1"/>
        <item x="2"/>
        <item x="3"/>
        <item x="4"/>
        <item x="5"/>
        <item x="6"/>
        <item x="7"/>
        <item x="8"/>
        <item x="9"/>
        <item x="10"/>
        <item t="default"/>
      </items>
    </pivotField>
    <pivotField numFmtId="166" showAll="0"/>
    <pivotField numFmtId="167" showAll="0"/>
    <pivotField axis="axisRow" showAll="0">
      <items count="5">
        <item h="1" x="0"/>
        <item x="1"/>
        <item h="1" x="2"/>
        <item h="1" x="3"/>
        <item t="default"/>
      </items>
    </pivotField>
    <pivotField showAll="0">
      <items count="4">
        <item x="0"/>
        <item h="1" x="1"/>
        <item h="1" x="2"/>
        <item t="default"/>
      </items>
    </pivotField>
    <pivotField showAll="0"/>
    <pivotField showAll="0"/>
    <pivotField showAll="0"/>
    <pivotField showAll="0">
      <items count="34">
        <item m="1" x="23"/>
        <item m="1" x="26"/>
        <item m="1" x="18"/>
        <item m="1" x="19"/>
        <item m="1" x="25"/>
        <item m="1" x="24"/>
        <item m="1" x="32"/>
        <item m="1" x="30"/>
        <item m="1" x="20"/>
        <item m="1" x="27"/>
        <item m="1" x="22"/>
        <item m="1" x="31"/>
        <item x="0"/>
        <item x="9"/>
        <item x="10"/>
        <item x="11"/>
        <item x="12"/>
        <item x="13"/>
        <item x="14"/>
        <item x="15"/>
        <item x="16"/>
        <item x="1"/>
        <item x="2"/>
        <item x="3"/>
        <item x="4"/>
        <item x="5"/>
        <item x="6"/>
        <item x="7"/>
        <item x="8"/>
        <item m="1" x="28"/>
        <item m="1" x="29"/>
        <item m="1" x="21"/>
        <item x="17"/>
        <item t="default"/>
      </items>
    </pivotField>
    <pivotField showAll="0"/>
    <pivotField numFmtId="164" showAll="0"/>
    <pivotField numFmtId="164" showAll="0"/>
  </pivotFields>
  <rowFields count="1">
    <field x="3"/>
  </rowFields>
  <rowItems count="1">
    <i>
      <x v="1"/>
    </i>
  </rowItems>
  <colItems count="1">
    <i/>
  </colItems>
  <formats count="1">
    <format dxfId="21">
      <pivotArea outline="0" collapsedLevelsAreSubtotals="1" fieldPosition="0"/>
    </format>
  </formats>
  <pivotTableStyleInfo name="PivotStyleLight16" showRowHeaders="1" showColHeaders="1" showRowStripes="0" showColStripes="0" showLastColumn="1"/>
  <filters count="1">
    <filter fld="0" type="dateBetween" evalOrder="-1" id="50" name="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E49176-E6E2-46B7-8643-8F1A7B3B6993}" name="Actual spending 2"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B3:AC7" firstHeaderRow="1" firstDataRow="1" firstDataCol="1"/>
  <pivotFields count="12">
    <pivotField numFmtId="165" showAll="0"/>
    <pivotField numFmtId="166" showAll="0"/>
    <pivotField numFmtId="167" showAll="0"/>
    <pivotField axis="axisRow" showAll="0">
      <items count="5">
        <item x="0"/>
        <item x="1"/>
        <item x="2"/>
        <item x="3"/>
        <item t="default"/>
      </items>
    </pivotField>
    <pivotField showAll="0">
      <items count="4">
        <item x="0"/>
        <item h="1" x="1"/>
        <item h="1" x="2"/>
        <item t="default"/>
      </items>
    </pivotField>
    <pivotField showAll="0"/>
    <pivotField showAll="0"/>
    <pivotField showAll="0"/>
    <pivotField showAll="0"/>
    <pivotField showAll="0"/>
    <pivotField dataField="1" showAll="0"/>
    <pivotField numFmtId="164" showAll="0"/>
  </pivotFields>
  <rowFields count="1">
    <field x="3"/>
  </rowFields>
  <rowItems count="4">
    <i>
      <x/>
    </i>
    <i>
      <x v="1"/>
    </i>
    <i>
      <x v="2"/>
    </i>
    <i t="grand">
      <x/>
    </i>
  </rowItems>
  <colItems count="1">
    <i/>
  </colItems>
  <dataFields count="1">
    <dataField name="Sum of Actual Cost (ACT)" fld="10" baseField="0" baseItem="0" numFmtId="164"/>
  </dataFields>
  <formats count="1">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B13C7A-D86D-4457-A5A1-AB0872D463D4}" name="Brand Spending" cacheId="1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V3:W7" firstHeaderRow="1" firstDataRow="1" firstDataCol="1"/>
  <pivotFields count="12">
    <pivotField numFmtId="165" showAll="0">
      <items count="12">
        <item x="0"/>
        <item x="1"/>
        <item x="2"/>
        <item x="3"/>
        <item x="4"/>
        <item x="5"/>
        <item x="6"/>
        <item x="7"/>
        <item x="8"/>
        <item x="9"/>
        <item x="10"/>
        <item t="default"/>
      </items>
    </pivotField>
    <pivotField numFmtId="166" showAll="0"/>
    <pivotField numFmtId="167" showAll="0"/>
    <pivotField axis="axisRow" showAll="0">
      <items count="5">
        <item x="0"/>
        <item x="1"/>
        <item x="2"/>
        <item x="3"/>
        <item t="default"/>
      </items>
    </pivotField>
    <pivotField showAll="0">
      <items count="4">
        <item x="0"/>
        <item h="1" x="1"/>
        <item h="1" x="2"/>
        <item t="default"/>
      </items>
    </pivotField>
    <pivotField showAll="0"/>
    <pivotField showAll="0"/>
    <pivotField showAll="0"/>
    <pivotField showAll="0">
      <items count="34">
        <item m="1" x="23"/>
        <item m="1" x="26"/>
        <item m="1" x="18"/>
        <item m="1" x="19"/>
        <item m="1" x="25"/>
        <item m="1" x="24"/>
        <item m="1" x="32"/>
        <item m="1" x="30"/>
        <item m="1" x="20"/>
        <item m="1" x="27"/>
        <item m="1" x="22"/>
        <item m="1" x="31"/>
        <item x="0"/>
        <item x="9"/>
        <item x="10"/>
        <item x="11"/>
        <item x="12"/>
        <item x="13"/>
        <item x="14"/>
        <item x="15"/>
        <item x="16"/>
        <item x="1"/>
        <item x="2"/>
        <item x="3"/>
        <item x="4"/>
        <item x="5"/>
        <item x="6"/>
        <item x="7"/>
        <item x="8"/>
        <item m="1" x="28"/>
        <item m="1" x="29"/>
        <item m="1" x="21"/>
        <item x="17"/>
        <item t="default"/>
      </items>
    </pivotField>
    <pivotField showAll="0"/>
    <pivotField dataField="1" showAll="0"/>
    <pivotField numFmtId="164" showAll="0"/>
  </pivotFields>
  <rowFields count="1">
    <field x="3"/>
  </rowFields>
  <rowItems count="4">
    <i>
      <x/>
    </i>
    <i>
      <x v="1"/>
    </i>
    <i>
      <x v="2"/>
    </i>
    <i t="grand">
      <x/>
    </i>
  </rowItems>
  <colItems count="1">
    <i/>
  </colItems>
  <dataFields count="1">
    <dataField name="Sum of Actual Cost (ACT)" fld="10" baseField="0" baseItem="0" numFmtId="164"/>
  </dataFields>
  <formats count="1">
    <format dxfId="23">
      <pivotArea outline="0" collapsedLevelsAreSubtotals="1"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3" count="1" selected="0">
            <x v="0"/>
          </reference>
        </references>
      </pivotArea>
    </chartFormat>
    <chartFormat chart="2" format="7">
      <pivotArea type="data" outline="0" fieldPosition="0">
        <references count="2">
          <reference field="4294967294" count="1" selected="0">
            <x v="0"/>
          </reference>
          <reference field="3" count="1" selected="0">
            <x v="1"/>
          </reference>
        </references>
      </pivotArea>
    </chartFormat>
    <chartFormat chart="2" format="8">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filters count="1">
    <filter fld="0" type="dateBetween" evalOrder="-1" id="38" name="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D991E34-4516-49E0-9BFA-CC50C9C23E40}" name="Annual Cost"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3:E5" firstHeaderRow="1" firstDataRow="1" firstDataCol="1"/>
  <pivotFields count="12">
    <pivotField numFmtId="165" showAll="0"/>
    <pivotField numFmtId="166" showAll="0"/>
    <pivotField numFmtId="167" showAll="0"/>
    <pivotField axis="axisRow" showAll="0">
      <items count="5">
        <item h="1" x="0"/>
        <item x="1"/>
        <item h="1" x="2"/>
        <item h="1" x="3"/>
        <item t="default"/>
      </items>
    </pivotField>
    <pivotField showAll="0">
      <items count="4">
        <item x="0"/>
        <item h="1" x="1"/>
        <item h="1" x="2"/>
        <item t="default"/>
      </items>
    </pivotField>
    <pivotField showAll="0"/>
    <pivotField showAll="0"/>
    <pivotField showAll="0"/>
    <pivotField showAll="0"/>
    <pivotField showAll="0"/>
    <pivotField showAll="0"/>
    <pivotField numFmtId="164" showAll="0"/>
  </pivotFields>
  <rowFields count="1">
    <field x="3"/>
  </rowFields>
  <rowItems count="2">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29763E8-C2DC-4F94-8F1A-4C0E6E3ADD6A}" name="Costs" cacheId="1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H3:J5" firstHeaderRow="0" firstDataRow="1" firstDataCol="1"/>
  <pivotFields count="12">
    <pivotField numFmtId="165" showAll="0">
      <items count="12">
        <item x="0"/>
        <item x="1"/>
        <item x="2"/>
        <item x="3"/>
        <item x="4"/>
        <item x="5"/>
        <item x="6"/>
        <item x="7"/>
        <item x="8"/>
        <item x="9"/>
        <item x="10"/>
        <item t="default"/>
      </items>
    </pivotField>
    <pivotField numFmtId="166" showAll="0"/>
    <pivotField numFmtId="167" showAll="0"/>
    <pivotField axis="axisRow" showAll="0">
      <items count="5">
        <item h="1" x="0"/>
        <item x="1"/>
        <item h="1" x="2"/>
        <item h="1" x="3"/>
        <item t="default"/>
      </items>
    </pivotField>
    <pivotField showAll="0">
      <items count="4">
        <item x="0"/>
        <item h="1" x="1"/>
        <item h="1" x="2"/>
        <item t="default"/>
      </items>
    </pivotField>
    <pivotField showAll="0"/>
    <pivotField showAll="0"/>
    <pivotField showAll="0"/>
    <pivotField showAll="0">
      <items count="34">
        <item m="1" x="23"/>
        <item m="1" x="26"/>
        <item m="1" x="18"/>
        <item m="1" x="19"/>
        <item m="1" x="25"/>
        <item m="1" x="24"/>
        <item m="1" x="32"/>
        <item m="1" x="30"/>
        <item m="1" x="20"/>
        <item m="1" x="27"/>
        <item m="1" x="22"/>
        <item m="1" x="31"/>
        <item x="0"/>
        <item x="9"/>
        <item x="10"/>
        <item x="11"/>
        <item x="12"/>
        <item x="13"/>
        <item x="14"/>
        <item x="15"/>
        <item x="16"/>
        <item x="1"/>
        <item x="2"/>
        <item x="3"/>
        <item x="4"/>
        <item x="5"/>
        <item x="6"/>
        <item x="7"/>
        <item x="8"/>
        <item m="1" x="28"/>
        <item m="1" x="29"/>
        <item m="1" x="21"/>
        <item x="17"/>
        <item t="default"/>
      </items>
    </pivotField>
    <pivotField dataField="1" showAll="0"/>
    <pivotField dataField="1" showAll="0"/>
    <pivotField numFmtId="164" showAll="0"/>
  </pivotFields>
  <rowFields count="1">
    <field x="3"/>
  </rowFields>
  <rowItems count="2">
    <i>
      <x v="1"/>
    </i>
    <i t="grand">
      <x/>
    </i>
  </rowItems>
  <colFields count="1">
    <field x="-2"/>
  </colFields>
  <colItems count="2">
    <i>
      <x/>
    </i>
    <i i="1">
      <x v="1"/>
    </i>
  </colItems>
  <dataFields count="2">
    <dataField name="Sum of Estimated Cost (EST)" fld="9" baseField="0" baseItem="0"/>
    <dataField name="Sum of Actual Cost (ACT)" fld="10" baseField="0" baseItem="0"/>
  </dataFields>
  <pivotTableStyleInfo name="PivotStyleLight16" showRowHeaders="1" showColHeaders="1" showRowStripes="0" showColStripes="0" showLastColumn="1"/>
  <filters count="1">
    <filter fld="0" type="dateBetween" evalOrder="-1" id="38" name="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4B76F49-211A-42E7-AA76-23A88C5F0F8F}" name="Time Gap" cacheId="1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N3:O14" firstHeaderRow="1" firstDataRow="1" firstDataCol="1"/>
  <pivotFields count="12">
    <pivotField axis="axisRow" numFmtId="165" showAll="0">
      <items count="12">
        <item x="0"/>
        <item x="1"/>
        <item x="2"/>
        <item x="3"/>
        <item x="4"/>
        <item x="5"/>
        <item x="6"/>
        <item x="7"/>
        <item x="8"/>
        <item x="9"/>
        <item x="10"/>
        <item t="default"/>
      </items>
    </pivotField>
    <pivotField numFmtId="166" showAll="0"/>
    <pivotField numFmtId="167" showAll="0"/>
    <pivotField showAll="0">
      <items count="5">
        <item h="1" x="0"/>
        <item x="1"/>
        <item h="1" x="2"/>
        <item h="1" x="3"/>
        <item t="default"/>
      </items>
    </pivotField>
    <pivotField showAll="0">
      <items count="4">
        <item x="0"/>
        <item h="1" x="1"/>
        <item h="1" x="2"/>
        <item t="default"/>
      </items>
    </pivotField>
    <pivotField showAll="0"/>
    <pivotField showAll="0"/>
    <pivotField showAll="0"/>
    <pivotField showAll="0">
      <items count="34">
        <item m="1" x="23"/>
        <item m="1" x="26"/>
        <item m="1" x="18"/>
        <item m="1" x="19"/>
        <item m="1" x="25"/>
        <item m="1" x="24"/>
        <item m="1" x="32"/>
        <item m="1" x="30"/>
        <item m="1" x="20"/>
        <item m="1" x="27"/>
        <item m="1" x="22"/>
        <item m="1" x="31"/>
        <item x="0"/>
        <item x="9"/>
        <item x="10"/>
        <item x="11"/>
        <item x="12"/>
        <item x="13"/>
        <item x="14"/>
        <item x="15"/>
        <item x="16"/>
        <item x="1"/>
        <item x="2"/>
        <item x="3"/>
        <item x="4"/>
        <item x="5"/>
        <item x="6"/>
        <item x="7"/>
        <item x="8"/>
        <item m="1" x="28"/>
        <item m="1" x="29"/>
        <item m="1" x="21"/>
        <item x="17"/>
        <item t="default"/>
      </items>
    </pivotField>
    <pivotField showAll="0"/>
    <pivotField showAll="0"/>
    <pivotField dataField="1" numFmtId="164" showAll="0"/>
  </pivotFields>
  <rowFields count="1">
    <field x="0"/>
  </rowFields>
  <rowItems count="11">
    <i>
      <x/>
    </i>
    <i>
      <x v="1"/>
    </i>
    <i>
      <x v="2"/>
    </i>
    <i>
      <x v="3"/>
    </i>
    <i>
      <x v="4"/>
    </i>
    <i>
      <x v="5"/>
    </i>
    <i>
      <x v="6"/>
    </i>
    <i>
      <x v="7"/>
    </i>
    <i>
      <x v="8"/>
    </i>
    <i>
      <x v="9"/>
    </i>
    <i t="grand">
      <x/>
    </i>
  </rowItems>
  <colItems count="1">
    <i/>
  </colItems>
  <dataFields count="1">
    <dataField name="Sum of Gap Amount" fld="11" baseField="0" baseItem="0" numFmtId="164"/>
  </dataFields>
  <formats count="1">
    <format dxfId="2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35" name="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8746D3F-8C5B-4DB2-A67D-36723BBED9F7}" name="Supplier spending" cacheId="1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
  <location ref="Y3:Z21" firstHeaderRow="1" firstDataRow="1" firstDataCol="1"/>
  <pivotFields count="12">
    <pivotField numFmtId="165" showAll="0">
      <items count="12">
        <item x="0"/>
        <item x="1"/>
        <item x="2"/>
        <item x="3"/>
        <item x="4"/>
        <item x="5"/>
        <item x="6"/>
        <item x="7"/>
        <item x="8"/>
        <item x="9"/>
        <item x="10"/>
        <item t="default"/>
      </items>
    </pivotField>
    <pivotField numFmtId="166" showAll="0"/>
    <pivotField numFmtId="167" showAll="0"/>
    <pivotField showAll="0"/>
    <pivotField showAll="0">
      <items count="4">
        <item x="0"/>
        <item h="1" x="1"/>
        <item h="1" x="2"/>
        <item t="default"/>
      </items>
    </pivotField>
    <pivotField showAll="0"/>
    <pivotField showAll="0"/>
    <pivotField showAll="0"/>
    <pivotField axis="axisRow" showAll="0">
      <items count="34">
        <item m="1" x="23"/>
        <item m="1" x="26"/>
        <item m="1" x="18"/>
        <item m="1" x="19"/>
        <item m="1" x="25"/>
        <item m="1" x="24"/>
        <item m="1" x="32"/>
        <item m="1" x="30"/>
        <item m="1" x="20"/>
        <item m="1" x="27"/>
        <item m="1" x="22"/>
        <item m="1" x="31"/>
        <item m="1" x="28"/>
        <item m="1" x="29"/>
        <item m="1" x="21"/>
        <item x="0"/>
        <item x="1"/>
        <item x="2"/>
        <item x="3"/>
        <item x="4"/>
        <item x="5"/>
        <item x="6"/>
        <item x="7"/>
        <item x="8"/>
        <item x="9"/>
        <item x="10"/>
        <item x="11"/>
        <item x="12"/>
        <item x="13"/>
        <item x="14"/>
        <item x="15"/>
        <item x="16"/>
        <item x="17"/>
        <item t="default"/>
      </items>
    </pivotField>
    <pivotField showAll="0"/>
    <pivotField dataField="1" showAll="0"/>
    <pivotField numFmtId="164" showAll="0"/>
  </pivotFields>
  <rowFields count="1">
    <field x="8"/>
  </rowFields>
  <rowItems count="18">
    <i>
      <x v="15"/>
    </i>
    <i>
      <x v="16"/>
    </i>
    <i>
      <x v="17"/>
    </i>
    <i>
      <x v="18"/>
    </i>
    <i>
      <x v="19"/>
    </i>
    <i>
      <x v="20"/>
    </i>
    <i>
      <x v="21"/>
    </i>
    <i>
      <x v="22"/>
    </i>
    <i>
      <x v="23"/>
    </i>
    <i>
      <x v="24"/>
    </i>
    <i>
      <x v="25"/>
    </i>
    <i>
      <x v="26"/>
    </i>
    <i>
      <x v="27"/>
    </i>
    <i>
      <x v="28"/>
    </i>
    <i>
      <x v="29"/>
    </i>
    <i>
      <x v="30"/>
    </i>
    <i>
      <x v="31"/>
    </i>
    <i t="grand">
      <x/>
    </i>
  </rowItems>
  <colItems count="1">
    <i/>
  </colItems>
  <dataFields count="1">
    <dataField name="Sum of Actual Cost (ACT)" fld="10" baseField="0" baseItem="0"/>
  </dataFields>
  <formats count="1">
    <format dxfId="25">
      <pivotArea outline="0" collapsedLevelsAreSubtotals="1" fieldPosition="0"/>
    </format>
  </formats>
  <chartFormats count="2">
    <chartFormat chart="4" format="3"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38" name="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7DA63E0-20EF-42BC-BEA1-D3DA0A0FD9FE}" name="Estimated vs Actual" cacheId="1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Q3:T7" firstHeaderRow="0" firstDataRow="1" firstDataCol="1"/>
  <pivotFields count="12">
    <pivotField numFmtId="165" showAll="0">
      <items count="12">
        <item x="0"/>
        <item x="1"/>
        <item x="2"/>
        <item x="3"/>
        <item x="4"/>
        <item x="5"/>
        <item x="6"/>
        <item x="7"/>
        <item x="8"/>
        <item x="9"/>
        <item x="10"/>
        <item t="default"/>
      </items>
    </pivotField>
    <pivotField numFmtId="166" showAll="0"/>
    <pivotField numFmtId="167" showAll="0"/>
    <pivotField axis="axisRow" showAll="0">
      <items count="5">
        <item x="0"/>
        <item x="1"/>
        <item x="2"/>
        <item x="3"/>
        <item t="default"/>
      </items>
    </pivotField>
    <pivotField showAll="0">
      <items count="4">
        <item x="0"/>
        <item h="1" x="1"/>
        <item h="1" x="2"/>
        <item t="default"/>
      </items>
    </pivotField>
    <pivotField showAll="0"/>
    <pivotField showAll="0"/>
    <pivotField showAll="0"/>
    <pivotField showAll="0">
      <items count="34">
        <item m="1" x="23"/>
        <item m="1" x="26"/>
        <item m="1" x="18"/>
        <item m="1" x="19"/>
        <item m="1" x="25"/>
        <item m="1" x="24"/>
        <item m="1" x="32"/>
        <item m="1" x="30"/>
        <item m="1" x="20"/>
        <item m="1" x="27"/>
        <item m="1" x="22"/>
        <item m="1" x="31"/>
        <item x="0"/>
        <item x="9"/>
        <item x="10"/>
        <item x="11"/>
        <item x="12"/>
        <item x="13"/>
        <item x="14"/>
        <item x="15"/>
        <item x="16"/>
        <item x="1"/>
        <item x="2"/>
        <item x="3"/>
        <item x="4"/>
        <item x="5"/>
        <item x="6"/>
        <item x="7"/>
        <item x="8"/>
        <item m="1" x="28"/>
        <item m="1" x="29"/>
        <item m="1" x="21"/>
        <item x="17"/>
        <item t="default"/>
      </items>
    </pivotField>
    <pivotField dataField="1" showAll="0"/>
    <pivotField dataField="1" showAll="0"/>
    <pivotField dataField="1" numFmtId="164" showAll="0"/>
  </pivotFields>
  <rowFields count="1">
    <field x="3"/>
  </rowFields>
  <rowItems count="4">
    <i>
      <x/>
    </i>
    <i>
      <x v="1"/>
    </i>
    <i>
      <x v="2"/>
    </i>
    <i t="grand">
      <x/>
    </i>
  </rowItems>
  <colFields count="1">
    <field x="-2"/>
  </colFields>
  <colItems count="3">
    <i>
      <x/>
    </i>
    <i i="1">
      <x v="1"/>
    </i>
    <i i="2">
      <x v="2"/>
    </i>
  </colItems>
  <dataFields count="3">
    <dataField name="Sum of Estimated Cost (EST)" fld="9" baseField="0" baseItem="0"/>
    <dataField name="Sum of Actual Cost (ACT)" fld="10" baseField="0" baseItem="0"/>
    <dataField name="Sum of Gap Amount" fld="11" baseField="0" baseItem="0"/>
  </dataFields>
  <formats count="1">
    <format dxfId="26">
      <pivotArea outline="0" collapsedLevelsAreSubtotals="1" fieldPosition="0"/>
    </format>
  </formats>
  <chartFormats count="3">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dateBetween" evalOrder="-1" id="38" name="Date">
      <autoFilter ref="A1">
        <filterColumn colId="0">
          <customFilters and="1">
            <customFilter operator="greaterThanOrEqual" val="43831"/>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FA8F8E8-A2AB-43CA-B88A-139A73F70404}" name="Ann"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E3:AF7" firstHeaderRow="1" firstDataRow="1" firstDataCol="1"/>
  <pivotFields count="5">
    <pivotField axis="axisRow" showAll="0">
      <items count="5">
        <item x="0"/>
        <item x="1"/>
        <item x="2"/>
        <item h="1" x="3"/>
        <item t="default"/>
      </items>
    </pivotField>
    <pivotField showAll="0"/>
    <pivotField showAll="0"/>
    <pivotField showAll="0"/>
    <pivotField dataField="1" showAll="0"/>
  </pivotFields>
  <rowFields count="1">
    <field x="0"/>
  </rowFields>
  <rowItems count="4">
    <i>
      <x/>
    </i>
    <i>
      <x v="1"/>
    </i>
    <i>
      <x v="2"/>
    </i>
    <i t="grand">
      <x/>
    </i>
  </rowItems>
  <colItems count="1">
    <i/>
  </colItems>
  <dataFields count="1">
    <dataField name="Sum of Total Annual budget (FC)" fld="4" baseField="0" baseItem="0" numFmtId="164"/>
  </dataFields>
  <formats count="1">
    <format dxfId="27">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DEDFC2DE-CD1A-4DAB-B67C-19CC67C4B4C4}" sourceName="Brand">
  <pivotTables>
    <pivotTable tabId="5" name="Annual Cost"/>
    <pivotTable tabId="5" name="brands"/>
    <pivotTable tabId="5" name="Costs"/>
    <pivotTable tabId="5" name="Suppliers"/>
    <pivotTable tabId="5" name="Time Gap"/>
  </pivotTables>
  <data>
    <tabular pivotCacheId="1957018039">
      <items count="4">
        <i x="0"/>
        <i x="1" s="1"/>
        <i x="2"/>
        <i x="3"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E4AF511F-B30D-4818-A6A0-C5F324AEF497}" sourceName="Status">
  <pivotTables>
    <pivotTable tabId="5" name="Annual Cost"/>
    <pivotTable tabId="5" name="Brand Spending"/>
    <pivotTable tabId="5" name="brands"/>
    <pivotTable tabId="5" name="Costs"/>
    <pivotTable tabId="5" name="Estimated vs Actual"/>
    <pivotTable tabId="5" name="Supplier spending"/>
    <pivotTable tabId="5" name="Suppliers"/>
    <pivotTable tabId="5" name="Time Gap"/>
    <pivotTable tabId="5" name="Actual spending 2"/>
  </pivotTables>
  <data>
    <tabular pivotCacheId="1957018039">
      <items count="3">
        <i x="0" s="1"/>
        <i x="1"/>
        <i x="2"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 xr10:uid="{2E5B4316-7875-402F-8D80-18E07139E8FC}" sourceName="Supplier">
  <pivotTables>
    <pivotTable tabId="5" name="Brand Spending"/>
    <pivotTable tabId="5" name="brands"/>
    <pivotTable tabId="5" name="Costs"/>
    <pivotTable tabId="5" name="Estimated vs Actual"/>
    <pivotTable tabId="5" name="Time Gap"/>
  </pivotTables>
  <data>
    <tabular pivotCacheId="1957018039">
      <items count="33">
        <i x="0" s="1"/>
        <i x="9" s="1"/>
        <i x="10" s="1"/>
        <i x="11" s="1"/>
        <i x="12" s="1"/>
        <i x="13" s="1"/>
        <i x="14" s="1"/>
        <i x="15" s="1"/>
        <i x="16" s="1"/>
        <i x="1" s="1"/>
        <i x="2" s="1"/>
        <i x="3" s="1"/>
        <i x="4" s="1"/>
        <i x="5" s="1"/>
        <i x="6" s="1"/>
        <i x="7" s="1"/>
        <i x="8" s="1"/>
        <i x="23" s="1" nd="1"/>
        <i x="26" s="1" nd="1"/>
        <i x="18" s="1" nd="1"/>
        <i x="19" s="1" nd="1"/>
        <i x="25" s="1" nd="1"/>
        <i x="24" s="1" nd="1"/>
        <i x="32" s="1" nd="1"/>
        <i x="30" s="1" nd="1"/>
        <i x="20" s="1" nd="1"/>
        <i x="27" s="1" nd="1"/>
        <i x="22" s="1" nd="1"/>
        <i x="31" s="1" nd="1"/>
        <i x="28" s="1" nd="1"/>
        <i x="29" s="1" nd="1"/>
        <i x="21" s="1" nd="1"/>
        <i x="17"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xr10:uid="{553758B3-1B9F-4F21-9BA5-F433062E3027}" cache="Slicer_Brand" caption="Brand" style="Slicer Style 1" rowHeight="241300"/>
  <slicer name="Status" xr10:uid="{8E12F00C-05D9-4148-A26D-FF36409EE50E}" cache="Slicer_Status" caption="Status" style="Slicer Style 1" rowHeight="241300"/>
  <slicer name="Supplier" xr10:uid="{07A3ABED-6E20-4DFC-96FA-288B1C77F7F4}" cache="Slicer_Supplier" caption="Supplier"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BA3E47-B0C2-464B-8ACE-759D52BE6538}" name="Marketing" displayName="Marketing" ref="A2:L104" totalsRowShown="0" headerRowDxfId="20" tableBorderDxfId="19">
  <autoFilter ref="A2:L104" xr:uid="{34696E2F-B1B0-4F09-B695-90E8D3621360}"/>
  <tableColumns count="12">
    <tableColumn id="1" xr3:uid="{DFB2D906-1217-4AA6-8AC6-26438DB79914}" name="Date" dataDxfId="18"/>
    <tableColumn id="2" xr3:uid="{B7639269-6274-4FF5-8196-04640D62E7C1}" name="Month" dataDxfId="17">
      <calculatedColumnFormula>IF('Raw Data'!$A3="","",'Raw Data'!$A3)</calculatedColumnFormula>
    </tableColumn>
    <tableColumn id="3" xr3:uid="{5B237740-7EF6-419A-B584-5E541B18DD0C}" name="Year" dataDxfId="16">
      <calculatedColumnFormula>'Raw Data'!$B3</calculatedColumnFormula>
    </tableColumn>
    <tableColumn id="4" xr3:uid="{85279B3F-1C79-44B2-A02D-AB4482E9F344}" name="Brand" dataDxfId="15"/>
    <tableColumn id="5" xr3:uid="{2E71B3C7-0756-438D-9F17-C24CCD56C291}" name="Status" dataDxfId="14"/>
    <tableColumn id="6" xr3:uid="{02A324FC-8CB4-4C6A-9376-FA58FA2D1910}" name="Comb." dataDxfId="13">
      <calculatedColumnFormula>'Raw Data'!$D3&amp;" "&amp;'Raw Data'!$E3</calculatedColumnFormula>
    </tableColumn>
    <tableColumn id="7" xr3:uid="{5381C360-00BB-42DB-9814-A6854DD5B03F}" name="Section Spending Element" dataDxfId="12">
      <calculatedColumnFormula>IFERROR(VLOOKUP('Raw Data'!$F3,Database!O:S,2,0),"")</calculatedColumnFormula>
    </tableColumn>
    <tableColumn id="8" xr3:uid="{6644163D-4E1E-4FD7-9FA9-CA473A5EA328}" name="Section Spending Name" dataDxfId="11">
      <calculatedColumnFormula>IFERROR(VLOOKUP('Raw Data'!$F3,Database!O:S,3,0),"")</calculatedColumnFormula>
    </tableColumn>
    <tableColumn id="9" xr3:uid="{93D514E6-B74D-40E9-902F-7606562E6F46}" name="Supplier" dataDxfId="10"/>
    <tableColumn id="11" xr3:uid="{80B79C38-3DB9-465D-951F-4ECC40208E45}" name="Estimated Cost (EST)" dataDxfId="9" dataCellStyle="Comma"/>
    <tableColumn id="12" xr3:uid="{8B71C47D-1FA0-4FEB-AE9F-DB5AB552F733}" name="Actual Cost (ACT)" dataDxfId="8" dataCellStyle="Comma"/>
    <tableColumn id="13" xr3:uid="{6068AC36-CF91-4D0E-ABC4-6A31800D0AF7}" name="Gap Amount" dataDxfId="7">
      <calculatedColumnFormula>IFERROR('Raw Data'!$J3-'Raw Data'!$K3,"")</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C97626-026F-4A47-88E2-CDA05FD473B9}" name="annual" displayName="annual" ref="H4:L111" totalsRowShown="0" headerRowDxfId="6" tableBorderDxfId="5">
  <tableColumns count="5">
    <tableColumn id="1" xr3:uid="{6880E1DB-16E4-4165-8B73-C90EC3D4F73C}" name="Brand" dataDxfId="4"/>
    <tableColumn id="2" xr3:uid="{BCAAA621-C2DB-40F0-8A82-7E731433DAED}" name="Status" dataDxfId="3"/>
    <tableColumn id="3" xr3:uid="{ED3BEF3D-723B-4204-BBEF-E153053A645B}" name="Section Spending Element" dataDxfId="2"/>
    <tableColumn id="4" xr3:uid="{7B6F510B-A13B-493F-A300-C672F7776ADF}" name="Section Spending Name" dataDxfId="1"/>
    <tableColumn id="5" xr3:uid="{B28CF22C-7647-4366-953C-9D73B9BCB2EB}" name="Total Annual budget (FC)" dataDxfId="0" dataCellStyle="Comma"/>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E0F86395-2CD2-490D-A8D1-83AA04ABCD93}" sourceName="Date">
  <pivotTables>
    <pivotTable tabId="5" name="Brand Spending"/>
    <pivotTable tabId="5" name="brands"/>
    <pivotTable tabId="5" name="Costs"/>
    <pivotTable tabId="5" name="Estimated vs Actual"/>
    <pivotTable tabId="5" name="Supplier spending"/>
    <pivotTable tabId="5" name="Suppliers"/>
    <pivotTable tabId="5" name="Time Gap"/>
  </pivotTables>
  <state minimalRefreshVersion="6" lastRefreshVersion="6" pivotCacheId="1957018039" filterType="dateBetween">
    <selection startDate="2020-01-01T00:00:00" endDate="2020-12-31T00:00:00"/>
    <bounds startDate="2020-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1C4AEF8-E5C6-436E-A9EC-2B7424076C25}" cache="NativeTimeline_Date" caption="Date" showHorizontalScrollbar="0" level="1" selectionLevel="0" scrollPosition="2020-01-01T00:00:00" style="Timeline Style 1"/>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N69"/>
  <sheetViews>
    <sheetView showGridLines="0" showRowColHeaders="0" topLeftCell="A58" zoomScaleNormal="100" workbookViewId="0">
      <pane xSplit="3" topLeftCell="D1" activePane="topRight" state="frozen"/>
      <selection activeCell="I101" sqref="I101"/>
      <selection pane="topRight" activeCell="C4" sqref="C4"/>
    </sheetView>
  </sheetViews>
  <sheetFormatPr defaultColWidth="9.140625" defaultRowHeight="12.75" x14ac:dyDescent="0.2"/>
  <cols>
    <col min="1" max="1" width="17.7109375" style="61" customWidth="1"/>
    <col min="2" max="2" width="20.28515625" style="1" customWidth="1"/>
    <col min="3" max="3" width="24.42578125" style="1" customWidth="1"/>
    <col min="4" max="16384" width="9.140625" style="1"/>
  </cols>
  <sheetData>
    <row r="1" spans="1:4" x14ac:dyDescent="0.2">
      <c r="A1" s="1"/>
    </row>
    <row r="2" spans="1:4" x14ac:dyDescent="0.2">
      <c r="A2" s="1"/>
    </row>
    <row r="3" spans="1:4" x14ac:dyDescent="0.2">
      <c r="A3" s="1"/>
    </row>
    <row r="4" spans="1:4" x14ac:dyDescent="0.2">
      <c r="A4" s="1"/>
    </row>
    <row r="5" spans="1:4" x14ac:dyDescent="0.2">
      <c r="B5" s="2"/>
      <c r="D5" s="2"/>
    </row>
    <row r="6" spans="1:4" ht="15" x14ac:dyDescent="0.25">
      <c r="A6" s="58" t="s">
        <v>12</v>
      </c>
      <c r="B6" s="2" t="s">
        <v>60</v>
      </c>
      <c r="D6" s="2" t="s">
        <v>59</v>
      </c>
    </row>
    <row r="7" spans="1:4" ht="15" x14ac:dyDescent="0.25">
      <c r="A7" s="58" t="s">
        <v>13</v>
      </c>
    </row>
    <row r="8" spans="1:4" ht="15" x14ac:dyDescent="0.25">
      <c r="A8" s="58" t="s">
        <v>14</v>
      </c>
      <c r="B8" s="2" t="s">
        <v>61</v>
      </c>
      <c r="D8" s="1" t="s">
        <v>62</v>
      </c>
    </row>
    <row r="9" spans="1:4" ht="15" x14ac:dyDescent="0.25">
      <c r="A9" s="59"/>
    </row>
    <row r="11" spans="1:4" x14ac:dyDescent="0.2">
      <c r="A11" s="60"/>
    </row>
    <row r="12" spans="1:4" x14ac:dyDescent="0.2">
      <c r="C12" s="4" t="s">
        <v>43</v>
      </c>
      <c r="D12" s="1" t="s">
        <v>63</v>
      </c>
    </row>
    <row r="13" spans="1:4" x14ac:dyDescent="0.2">
      <c r="C13" s="4" t="s">
        <v>46</v>
      </c>
      <c r="D13" s="1" t="s">
        <v>64</v>
      </c>
    </row>
    <row r="14" spans="1:4" x14ac:dyDescent="0.2">
      <c r="C14" s="4" t="s">
        <v>54</v>
      </c>
      <c r="D14" s="1" t="s">
        <v>65</v>
      </c>
    </row>
    <row r="15" spans="1:4" x14ac:dyDescent="0.2">
      <c r="C15" s="4" t="s">
        <v>55</v>
      </c>
      <c r="D15" s="1" t="s">
        <v>66</v>
      </c>
    </row>
    <row r="16" spans="1:4" x14ac:dyDescent="0.2">
      <c r="C16" s="4"/>
    </row>
    <row r="19" spans="2:4" x14ac:dyDescent="0.2">
      <c r="B19" s="3" t="s">
        <v>67</v>
      </c>
      <c r="D19" s="3">
        <v>2</v>
      </c>
    </row>
    <row r="21" spans="2:4" x14ac:dyDescent="0.2">
      <c r="B21" s="3" t="s">
        <v>68</v>
      </c>
      <c r="C21" s="5" t="s">
        <v>12</v>
      </c>
      <c r="D21" s="1" t="s">
        <v>69</v>
      </c>
    </row>
    <row r="22" spans="2:4" x14ac:dyDescent="0.2">
      <c r="C22" s="5" t="s">
        <v>13</v>
      </c>
      <c r="D22" s="1" t="s">
        <v>70</v>
      </c>
    </row>
    <row r="23" spans="2:4" x14ac:dyDescent="0.2">
      <c r="C23" s="5" t="s">
        <v>14</v>
      </c>
      <c r="D23" s="1" t="s">
        <v>71</v>
      </c>
    </row>
    <row r="24" spans="2:4" x14ac:dyDescent="0.2">
      <c r="C24" s="5"/>
    </row>
    <row r="26" spans="2:4" x14ac:dyDescent="0.2">
      <c r="B26" s="3" t="s">
        <v>72</v>
      </c>
      <c r="C26" s="6" t="s">
        <v>0</v>
      </c>
      <c r="D26" s="1" t="s">
        <v>73</v>
      </c>
    </row>
    <row r="27" spans="2:4" x14ac:dyDescent="0.2">
      <c r="C27" s="6" t="s">
        <v>1</v>
      </c>
      <c r="D27" s="1" t="s">
        <v>74</v>
      </c>
    </row>
    <row r="28" spans="2:4" x14ac:dyDescent="0.2">
      <c r="C28" s="6" t="s">
        <v>2</v>
      </c>
      <c r="D28" s="1" t="s">
        <v>75</v>
      </c>
    </row>
    <row r="29" spans="2:4" x14ac:dyDescent="0.2">
      <c r="C29" s="6" t="s">
        <v>3</v>
      </c>
      <c r="D29" s="1" t="s">
        <v>76</v>
      </c>
    </row>
    <row r="30" spans="2:4" x14ac:dyDescent="0.2">
      <c r="C30" s="6" t="s">
        <v>4</v>
      </c>
      <c r="D30" s="1" t="s">
        <v>77</v>
      </c>
    </row>
    <row r="31" spans="2:4" x14ac:dyDescent="0.2">
      <c r="C31" s="6" t="s">
        <v>5</v>
      </c>
      <c r="D31" s="1" t="s">
        <v>78</v>
      </c>
    </row>
    <row r="32" spans="2:4" x14ac:dyDescent="0.2">
      <c r="C32" s="6" t="s">
        <v>6</v>
      </c>
      <c r="D32" s="1" t="s">
        <v>79</v>
      </c>
    </row>
    <row r="33" spans="2:14" x14ac:dyDescent="0.2">
      <c r="C33" s="6" t="s">
        <v>7</v>
      </c>
      <c r="D33" s="1" t="s">
        <v>80</v>
      </c>
    </row>
    <row r="34" spans="2:14" x14ac:dyDescent="0.2">
      <c r="C34" s="6" t="s">
        <v>8</v>
      </c>
      <c r="D34" s="1" t="s">
        <v>81</v>
      </c>
    </row>
    <row r="35" spans="2:14" x14ac:dyDescent="0.2">
      <c r="C35" s="6" t="s">
        <v>15</v>
      </c>
      <c r="D35" s="1" t="s">
        <v>82</v>
      </c>
    </row>
    <row r="36" spans="2:14" x14ac:dyDescent="0.2">
      <c r="C36" s="6" t="s">
        <v>56</v>
      </c>
      <c r="D36" s="1" t="s">
        <v>83</v>
      </c>
    </row>
    <row r="37" spans="2:14" x14ac:dyDescent="0.2">
      <c r="C37" s="6" t="s">
        <v>57</v>
      </c>
      <c r="D37" s="1" t="s">
        <v>84</v>
      </c>
    </row>
    <row r="40" spans="2:14" x14ac:dyDescent="0.2">
      <c r="B40" s="2" t="s">
        <v>85</v>
      </c>
      <c r="C40" s="6"/>
      <c r="D40" s="43" t="s">
        <v>86</v>
      </c>
      <c r="H40" s="45"/>
      <c r="I40" s="45"/>
      <c r="J40" s="45"/>
      <c r="K40" s="45"/>
      <c r="L40" s="45"/>
      <c r="M40" s="45"/>
      <c r="N40" s="45"/>
    </row>
    <row r="41" spans="2:14" x14ac:dyDescent="0.2">
      <c r="D41" s="43" t="s">
        <v>87</v>
      </c>
      <c r="H41" s="45"/>
      <c r="I41" s="45"/>
      <c r="J41" s="45"/>
      <c r="K41" s="45"/>
      <c r="L41" s="45"/>
      <c r="M41" s="45"/>
      <c r="N41" s="45"/>
    </row>
    <row r="42" spans="2:14" x14ac:dyDescent="0.2">
      <c r="H42" s="45"/>
      <c r="I42" s="45"/>
      <c r="J42" s="45"/>
      <c r="K42" s="45"/>
      <c r="L42" s="45"/>
      <c r="M42" s="45"/>
      <c r="N42" s="45"/>
    </row>
    <row r="43" spans="2:14" x14ac:dyDescent="0.2">
      <c r="C43" s="44" t="s">
        <v>88</v>
      </c>
      <c r="D43" s="1" t="s">
        <v>89</v>
      </c>
      <c r="H43" s="45"/>
      <c r="I43" s="45"/>
      <c r="J43" s="45"/>
      <c r="K43" s="45"/>
      <c r="L43" s="45"/>
      <c r="M43" s="45"/>
      <c r="N43" s="45"/>
    </row>
    <row r="44" spans="2:14" x14ac:dyDescent="0.2">
      <c r="D44" s="6"/>
      <c r="H44" s="45"/>
      <c r="I44" s="45"/>
      <c r="J44" s="45"/>
      <c r="K44" s="45"/>
      <c r="L44" s="45"/>
      <c r="M44" s="45"/>
      <c r="N44" s="45"/>
    </row>
    <row r="45" spans="2:14" x14ac:dyDescent="0.2">
      <c r="D45" s="6"/>
      <c r="H45" s="45"/>
      <c r="I45" s="45"/>
      <c r="J45" s="45"/>
      <c r="K45" s="45"/>
      <c r="L45" s="45"/>
      <c r="M45" s="45"/>
      <c r="N45" s="45"/>
    </row>
    <row r="46" spans="2:14" x14ac:dyDescent="0.2">
      <c r="D46" s="6"/>
      <c r="H46" s="45"/>
      <c r="I46" s="45"/>
      <c r="J46" s="45"/>
      <c r="K46" s="45"/>
      <c r="L46" s="45"/>
      <c r="M46" s="45"/>
      <c r="N46" s="45"/>
    </row>
    <row r="47" spans="2:14" x14ac:dyDescent="0.2">
      <c r="D47" s="6"/>
      <c r="H47" s="45"/>
      <c r="I47" s="45"/>
      <c r="J47" s="45"/>
      <c r="K47" s="45"/>
      <c r="L47" s="45"/>
      <c r="M47" s="45"/>
      <c r="N47" s="45"/>
    </row>
    <row r="48" spans="2:14" x14ac:dyDescent="0.2">
      <c r="D48" s="6"/>
      <c r="H48" s="45"/>
      <c r="I48" s="45"/>
      <c r="J48" s="45"/>
      <c r="K48" s="45"/>
      <c r="L48" s="45"/>
      <c r="M48" s="45"/>
      <c r="N48" s="45"/>
    </row>
    <row r="49" spans="3:14" x14ac:dyDescent="0.2">
      <c r="C49" s="44" t="s">
        <v>58</v>
      </c>
      <c r="D49" s="1" t="s">
        <v>90</v>
      </c>
      <c r="H49" s="45"/>
      <c r="I49" s="45"/>
      <c r="J49" s="45"/>
      <c r="K49" s="45"/>
      <c r="L49" s="45"/>
      <c r="M49" s="45"/>
      <c r="N49" s="45"/>
    </row>
    <row r="50" spans="3:14" x14ac:dyDescent="0.2">
      <c r="H50" s="45"/>
      <c r="I50" s="45"/>
      <c r="J50" s="45"/>
      <c r="K50" s="45"/>
      <c r="L50" s="45"/>
      <c r="M50" s="45"/>
      <c r="N50" s="45"/>
    </row>
    <row r="51" spans="3:14" x14ac:dyDescent="0.2">
      <c r="C51" s="44" t="s">
        <v>91</v>
      </c>
      <c r="D51" s="1" t="s">
        <v>92</v>
      </c>
      <c r="H51" s="45"/>
      <c r="I51" s="45"/>
      <c r="J51" s="45"/>
      <c r="K51" s="45"/>
      <c r="L51" s="45"/>
      <c r="M51" s="45"/>
      <c r="N51" s="45"/>
    </row>
    <row r="52" spans="3:14" x14ac:dyDescent="0.2">
      <c r="H52" s="45"/>
      <c r="I52" s="45"/>
      <c r="J52" s="45"/>
      <c r="K52" s="45"/>
      <c r="L52" s="45"/>
      <c r="M52" s="45"/>
      <c r="N52" s="45"/>
    </row>
    <row r="53" spans="3:14" x14ac:dyDescent="0.2">
      <c r="H53" s="45"/>
      <c r="I53" s="45"/>
      <c r="J53" s="45"/>
      <c r="K53" s="45"/>
      <c r="L53" s="45"/>
      <c r="M53" s="45"/>
      <c r="N53" s="45"/>
    </row>
    <row r="54" spans="3:14" x14ac:dyDescent="0.2">
      <c r="H54" s="45"/>
      <c r="I54" s="45"/>
      <c r="J54" s="45"/>
      <c r="K54" s="45"/>
      <c r="L54" s="45"/>
      <c r="M54" s="45"/>
      <c r="N54" s="45"/>
    </row>
    <row r="55" spans="3:14" x14ac:dyDescent="0.2">
      <c r="H55" s="45"/>
      <c r="I55" s="45"/>
      <c r="J55" s="45"/>
      <c r="K55" s="45"/>
      <c r="L55" s="45"/>
      <c r="M55" s="45"/>
      <c r="N55" s="45"/>
    </row>
    <row r="56" spans="3:14" x14ac:dyDescent="0.2">
      <c r="H56" s="45"/>
      <c r="I56" s="45"/>
      <c r="J56" s="45"/>
      <c r="K56" s="45"/>
      <c r="L56" s="45"/>
      <c r="M56" s="45"/>
      <c r="N56" s="45"/>
    </row>
    <row r="57" spans="3:14" x14ac:dyDescent="0.2">
      <c r="C57" s="44" t="s">
        <v>93</v>
      </c>
      <c r="D57" s="1" t="s">
        <v>94</v>
      </c>
      <c r="H57" s="45"/>
      <c r="I57" s="45"/>
      <c r="J57" s="45"/>
      <c r="K57" s="45"/>
      <c r="L57" s="45"/>
      <c r="M57" s="45"/>
      <c r="N57" s="45"/>
    </row>
    <row r="58" spans="3:14" x14ac:dyDescent="0.2">
      <c r="H58" s="45"/>
      <c r="I58" s="45"/>
      <c r="J58" s="45"/>
      <c r="K58" s="45"/>
      <c r="L58" s="45"/>
      <c r="M58" s="45"/>
      <c r="N58" s="45"/>
    </row>
    <row r="59" spans="3:14" x14ac:dyDescent="0.2">
      <c r="H59" s="45"/>
      <c r="I59" s="45"/>
      <c r="J59" s="45"/>
      <c r="K59" s="45"/>
      <c r="L59" s="45"/>
      <c r="M59" s="45"/>
      <c r="N59" s="45"/>
    </row>
    <row r="60" spans="3:14" x14ac:dyDescent="0.2">
      <c r="H60" s="45"/>
      <c r="I60" s="45"/>
      <c r="J60" s="45"/>
      <c r="K60" s="45"/>
      <c r="L60" s="45"/>
      <c r="M60" s="45"/>
      <c r="N60" s="45"/>
    </row>
    <row r="61" spans="3:14" x14ac:dyDescent="0.2">
      <c r="H61" s="45"/>
      <c r="I61" s="45"/>
      <c r="J61" s="45"/>
      <c r="K61" s="45"/>
      <c r="L61" s="45"/>
      <c r="M61" s="45"/>
      <c r="N61" s="45"/>
    </row>
    <row r="62" spans="3:14" x14ac:dyDescent="0.2">
      <c r="H62" s="45"/>
      <c r="I62" s="45"/>
      <c r="J62" s="45"/>
      <c r="K62" s="45"/>
      <c r="L62" s="45"/>
      <c r="M62" s="45"/>
      <c r="N62" s="45"/>
    </row>
    <row r="63" spans="3:14" x14ac:dyDescent="0.2">
      <c r="D63" s="43"/>
      <c r="H63" s="45"/>
      <c r="I63" s="45"/>
      <c r="J63" s="45"/>
      <c r="K63" s="45"/>
      <c r="L63" s="45"/>
      <c r="M63" s="45"/>
      <c r="N63" s="45"/>
    </row>
    <row r="64" spans="3:14" x14ac:dyDescent="0.2">
      <c r="D64" s="45"/>
      <c r="H64" s="45"/>
      <c r="I64" s="45"/>
      <c r="J64" s="45"/>
      <c r="K64" s="45"/>
      <c r="L64" s="45"/>
      <c r="M64" s="45"/>
      <c r="N64" s="45"/>
    </row>
    <row r="65" spans="2:14" ht="15" x14ac:dyDescent="0.25">
      <c r="D65" s="46"/>
      <c r="H65" s="45"/>
      <c r="I65" s="45"/>
      <c r="J65" s="45"/>
      <c r="K65" s="45"/>
      <c r="L65" s="45"/>
      <c r="M65" s="45"/>
      <c r="N65" s="45"/>
    </row>
    <row r="66" spans="2:14" x14ac:dyDescent="0.2">
      <c r="D66" s="45"/>
      <c r="H66" s="45"/>
      <c r="I66" s="45"/>
      <c r="J66" s="45"/>
      <c r="K66" s="45"/>
      <c r="L66" s="45"/>
      <c r="M66" s="45"/>
      <c r="N66" s="45"/>
    </row>
    <row r="67" spans="2:14" x14ac:dyDescent="0.2">
      <c r="D67" s="45"/>
      <c r="H67" s="45"/>
      <c r="I67" s="45"/>
      <c r="J67" s="45"/>
      <c r="K67" s="45"/>
      <c r="L67" s="45"/>
      <c r="M67" s="45"/>
      <c r="N67" s="45"/>
    </row>
    <row r="68" spans="2:14" x14ac:dyDescent="0.2">
      <c r="D68" s="45"/>
      <c r="H68" s="45"/>
      <c r="I68" s="45"/>
      <c r="J68" s="45"/>
      <c r="K68" s="45"/>
      <c r="L68" s="45"/>
      <c r="M68" s="45"/>
      <c r="N68" s="45"/>
    </row>
    <row r="69" spans="2:14" x14ac:dyDescent="0.2">
      <c r="B69" s="45"/>
      <c r="C69" s="45"/>
      <c r="D69" s="45"/>
      <c r="E69" s="45"/>
      <c r="F69" s="45"/>
      <c r="G69" s="45"/>
      <c r="H69" s="45"/>
      <c r="I69" s="45"/>
      <c r="J69" s="45"/>
      <c r="K69" s="45"/>
      <c r="L69" s="45"/>
      <c r="M69" s="45"/>
      <c r="N69" s="45"/>
    </row>
  </sheetData>
  <conditionalFormatting sqref="D19">
    <cfRule type="iconSet" priority="1">
      <iconSet reverse="1">
        <cfvo type="percent" val="0"/>
        <cfvo type="num" val="1" gte="0"/>
        <cfvo type="num" val="2" gte="0"/>
      </iconSet>
    </cfRule>
  </conditionalFormatting>
  <hyperlinks>
    <hyperlink ref="A6" location="Dashboard!A1" display="Dashboard" xr:uid="{B750E473-2D27-4488-AAA8-F8779EAB1FEF}"/>
    <hyperlink ref="A7" location="'Raw Data'!A1" display="Raw Data" xr:uid="{8CC00887-B4B6-42BE-B0AB-4697EF9CE2D9}"/>
    <hyperlink ref="A8" location="Database!A1" display="Database" xr:uid="{EC55BB6E-CC63-4F8A-A1E2-F29EA00E7C5B}"/>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BE5E7-56FE-477D-9226-1AE46C73938A}">
  <sheetPr codeName="Sheet2">
    <tabColor rgb="FF50B47F"/>
  </sheetPr>
  <dimension ref="A1:T45"/>
  <sheetViews>
    <sheetView showGridLines="0" showRowColHeaders="0" tabSelected="1" zoomScaleNormal="100" workbookViewId="0">
      <selection activeCell="J28" sqref="J28"/>
    </sheetView>
  </sheetViews>
  <sheetFormatPr defaultColWidth="0" defaultRowHeight="12.75" zeroHeight="1" x14ac:dyDescent="0.2"/>
  <cols>
    <col min="1" max="1" width="8.7109375" style="1" customWidth="1"/>
    <col min="2" max="9" width="9.7109375" style="1" customWidth="1"/>
    <col min="10" max="15" width="10.28515625" style="1" customWidth="1"/>
    <col min="16" max="16" width="2.42578125" style="1" customWidth="1"/>
    <col min="17" max="18" width="9.7109375" style="1" customWidth="1"/>
    <col min="19" max="19" width="10.28515625" style="1" customWidth="1"/>
    <col min="20" max="20" width="9.7109375" style="1" customWidth="1"/>
    <col min="21" max="16384" width="9.140625" style="1" hidden="1"/>
  </cols>
  <sheetData>
    <row r="1" spans="1:20" ht="21" customHeight="1" x14ac:dyDescent="0.25">
      <c r="A1" s="63" t="s">
        <v>16</v>
      </c>
      <c r="B1" s="63"/>
      <c r="C1" s="63"/>
      <c r="D1" s="65" t="s">
        <v>44</v>
      </c>
      <c r="E1" s="65"/>
      <c r="F1" s="65" t="s">
        <v>45</v>
      </c>
      <c r="G1" s="65"/>
      <c r="H1" s="50"/>
      <c r="I1" s="50"/>
      <c r="J1" s="65" t="s">
        <v>43</v>
      </c>
      <c r="K1" s="65"/>
      <c r="L1" s="65" t="s">
        <v>46</v>
      </c>
      <c r="M1" s="65"/>
      <c r="N1" s="65" t="s">
        <v>51</v>
      </c>
      <c r="O1" s="65"/>
      <c r="P1" s="50"/>
      <c r="Q1" s="65" t="s">
        <v>47</v>
      </c>
      <c r="R1" s="65"/>
      <c r="S1" s="65" t="s">
        <v>52</v>
      </c>
      <c r="T1" s="65"/>
    </row>
    <row r="2" spans="1:20" ht="12.75" customHeight="1" x14ac:dyDescent="0.2">
      <c r="A2" s="63"/>
      <c r="B2" s="63"/>
      <c r="C2" s="63"/>
      <c r="D2" s="66">
        <f>IFERROR(IF(Sheet1!A4="(BLANK)",0,COUNTA(Sheet1!A:A)-1),"")</f>
        <v>1</v>
      </c>
      <c r="E2" s="66"/>
      <c r="F2" s="68">
        <f>IFERROR(IF(Sheet1!C4="(BLANK)",0,COUNTA(Sheet1!C:C)-1),"")</f>
        <v>17</v>
      </c>
      <c r="G2" s="68"/>
      <c r="H2" s="51"/>
      <c r="I2" s="52"/>
      <c r="J2" s="70">
        <f>SUM(Sheet1!K:K)</f>
        <v>1750000</v>
      </c>
      <c r="K2" s="70"/>
      <c r="L2" s="70">
        <f>IFERROR(GETPIVOTDATA("Sum of Estimated Cost (EST)",Sheet1!$H$3),"")</f>
        <v>1164878</v>
      </c>
      <c r="M2" s="70"/>
      <c r="N2" s="70">
        <f>IFERROR(GETPIVOTDATA("Sum of Actual Cost (ACT)",Sheet1!$H$3),"")</f>
        <v>651344.49</v>
      </c>
      <c r="O2" s="70"/>
      <c r="P2" s="53"/>
      <c r="Q2" s="70">
        <f>IFERROR(L2-N2,"")</f>
        <v>513533.51</v>
      </c>
      <c r="R2" s="70"/>
      <c r="S2" s="72">
        <f>IFERROR(L2/N2,"")</f>
        <v>1.7884207479823773</v>
      </c>
      <c r="T2" s="72"/>
    </row>
    <row r="3" spans="1:20" ht="12.75" customHeight="1" x14ac:dyDescent="0.2">
      <c r="A3" s="63"/>
      <c r="B3" s="63"/>
      <c r="C3" s="63"/>
      <c r="D3" s="66"/>
      <c r="E3" s="66"/>
      <c r="F3" s="68"/>
      <c r="G3" s="68"/>
      <c r="H3" s="51"/>
      <c r="I3" s="52"/>
      <c r="J3" s="70"/>
      <c r="K3" s="70"/>
      <c r="L3" s="70"/>
      <c r="M3" s="70"/>
      <c r="N3" s="70"/>
      <c r="O3" s="70"/>
      <c r="P3" s="53"/>
      <c r="Q3" s="70"/>
      <c r="R3" s="70"/>
      <c r="S3" s="72"/>
      <c r="T3" s="72"/>
    </row>
    <row r="4" spans="1:20" ht="12.75" customHeight="1" x14ac:dyDescent="0.2">
      <c r="A4" s="63"/>
      <c r="B4" s="63"/>
      <c r="C4" s="63"/>
      <c r="D4" s="66"/>
      <c r="E4" s="66"/>
      <c r="F4" s="68"/>
      <c r="G4" s="68"/>
      <c r="H4" s="51"/>
      <c r="I4" s="52"/>
      <c r="J4" s="70"/>
      <c r="K4" s="70"/>
      <c r="L4" s="70"/>
      <c r="M4" s="70"/>
      <c r="N4" s="70"/>
      <c r="O4" s="70"/>
      <c r="P4" s="53"/>
      <c r="Q4" s="70"/>
      <c r="R4" s="70"/>
      <c r="S4" s="72"/>
      <c r="T4" s="72"/>
    </row>
    <row r="5" spans="1:20" ht="12.75" customHeight="1" x14ac:dyDescent="0.2">
      <c r="A5" s="63"/>
      <c r="B5" s="63"/>
      <c r="C5" s="63"/>
      <c r="D5" s="66"/>
      <c r="E5" s="66"/>
      <c r="F5" s="68"/>
      <c r="G5" s="68"/>
      <c r="H5" s="51"/>
      <c r="I5" s="52"/>
      <c r="J5" s="70"/>
      <c r="K5" s="70"/>
      <c r="L5" s="70"/>
      <c r="M5" s="70"/>
      <c r="N5" s="70"/>
      <c r="O5" s="70"/>
      <c r="P5" s="53"/>
      <c r="Q5" s="70"/>
      <c r="R5" s="70"/>
      <c r="S5" s="72"/>
      <c r="T5" s="72"/>
    </row>
    <row r="6" spans="1:20" ht="12.75" customHeight="1" thickBot="1" x14ac:dyDescent="0.25">
      <c r="A6" s="64"/>
      <c r="B6" s="64"/>
      <c r="C6" s="64"/>
      <c r="D6" s="67"/>
      <c r="E6" s="67"/>
      <c r="F6" s="69"/>
      <c r="G6" s="69"/>
      <c r="H6" s="54"/>
      <c r="I6" s="55"/>
      <c r="J6" s="71"/>
      <c r="K6" s="71"/>
      <c r="L6" s="71"/>
      <c r="M6" s="71"/>
      <c r="N6" s="71"/>
      <c r="O6" s="71"/>
      <c r="P6" s="56"/>
      <c r="Q6" s="71"/>
      <c r="R6" s="71"/>
      <c r="S6" s="73"/>
      <c r="T6" s="73"/>
    </row>
    <row r="7" spans="1:20" x14ac:dyDescent="0.2">
      <c r="A7" s="14"/>
      <c r="B7" s="14"/>
      <c r="C7" s="14"/>
      <c r="D7" s="14"/>
      <c r="E7" s="14"/>
      <c r="F7" s="14"/>
      <c r="G7" s="14"/>
      <c r="H7" s="14"/>
      <c r="I7" s="14"/>
      <c r="J7" s="14"/>
      <c r="K7" s="14"/>
      <c r="L7" s="14"/>
      <c r="M7" s="14"/>
      <c r="N7" s="14"/>
      <c r="O7" s="14"/>
      <c r="P7" s="14"/>
      <c r="Q7" s="14"/>
      <c r="R7" s="14"/>
      <c r="S7" s="14"/>
      <c r="T7" s="14"/>
    </row>
    <row r="8" spans="1:20" x14ac:dyDescent="0.2"/>
    <row r="9" spans="1:20" x14ac:dyDescent="0.2"/>
    <row r="10" spans="1:20" x14ac:dyDescent="0.2"/>
    <row r="11" spans="1:20" x14ac:dyDescent="0.2"/>
    <row r="12" spans="1:20" x14ac:dyDescent="0.2"/>
    <row r="13" spans="1:20" x14ac:dyDescent="0.2"/>
    <row r="14" spans="1:20" x14ac:dyDescent="0.2"/>
    <row r="15" spans="1:20" x14ac:dyDescent="0.2"/>
    <row r="16" spans="1:20"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hidden="1" x14ac:dyDescent="0.2"/>
    <row r="41" hidden="1" x14ac:dyDescent="0.2"/>
    <row r="42" hidden="1" x14ac:dyDescent="0.2"/>
    <row r="43" hidden="1" x14ac:dyDescent="0.2"/>
    <row r="44" hidden="1" x14ac:dyDescent="0.2"/>
    <row r="45" hidden="1" x14ac:dyDescent="0.2"/>
  </sheetData>
  <sheetProtection selectLockedCells="1" selectUnlockedCells="1"/>
  <mergeCells count="15">
    <mergeCell ref="A1:C6"/>
    <mergeCell ref="S1:T1"/>
    <mergeCell ref="D2:E6"/>
    <mergeCell ref="F2:G6"/>
    <mergeCell ref="J2:K6"/>
    <mergeCell ref="L2:M6"/>
    <mergeCell ref="N2:O6"/>
    <mergeCell ref="Q2:R6"/>
    <mergeCell ref="S2:T6"/>
    <mergeCell ref="D1:E1"/>
    <mergeCell ref="F1:G1"/>
    <mergeCell ref="J1:K1"/>
    <mergeCell ref="L1:M1"/>
    <mergeCell ref="N1:O1"/>
    <mergeCell ref="Q1:R1"/>
  </mergeCells>
  <conditionalFormatting sqref="Q2:R6">
    <cfRule type="cellIs" dxfId="30" priority="3" operator="lessThan">
      <formula>0</formula>
    </cfRule>
  </conditionalFormatting>
  <conditionalFormatting sqref="S2:T6">
    <cfRule type="cellIs" dxfId="29" priority="1" operator="between">
      <formula>0.9</formula>
      <formula>0.995</formula>
    </cfRule>
    <cfRule type="cellIs" dxfId="28" priority="2" operator="lessThan">
      <formula>0.9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
                <anchor moveWithCells="1" sizeWithCells="1">
                  <from>
                    <xdr:col>0</xdr:col>
                    <xdr:colOff>0</xdr:colOff>
                    <xdr:row>6</xdr:row>
                    <xdr:rowOff>9525</xdr:rowOff>
                  </from>
                  <to>
                    <xdr:col>1</xdr:col>
                    <xdr:colOff>352425</xdr:colOff>
                    <xdr:row>7</xdr:row>
                    <xdr:rowOff>104775</xdr:rowOff>
                  </to>
                </anchor>
              </controlPr>
            </control>
          </mc:Choice>
        </mc:AlternateContent>
        <mc:AlternateContent xmlns:mc="http://schemas.openxmlformats.org/markup-compatibility/2006">
          <mc:Choice Requires="x14">
            <control shapeId="2051" r:id="rId5" name="Button 3">
              <controlPr defaultSize="0" print="0" autoFill="0" autoPict="0" macro="[0]!Full_screen">
                <anchor moveWithCells="1" sizeWithCells="1">
                  <from>
                    <xdr:col>1</xdr:col>
                    <xdr:colOff>371475</xdr:colOff>
                    <xdr:row>6</xdr:row>
                    <xdr:rowOff>9525</xdr:rowOff>
                  </from>
                  <to>
                    <xdr:col>2</xdr:col>
                    <xdr:colOff>638175</xdr:colOff>
                    <xdr:row>7</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4" id="{161A8CB7-DF4A-4562-9FD5-2BC73371C03B}">
            <x14:iconSet iconSet="3Triangles">
              <x14:cfvo type="percent">
                <xm:f>0</xm:f>
              </x14:cfvo>
              <x14:cfvo type="num">
                <xm:f>0</xm:f>
              </x14:cfvo>
              <x14:cfvo type="num">
                <xm:f>0</xm:f>
              </x14:cfvo>
            </x14:iconSet>
          </x14:cfRule>
          <xm:sqref>Q2:R6</xm:sqref>
        </x14:conditionalFormatting>
      </x14:conditionalFormattings>
    </ex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F0DE2-8475-486C-A01D-792C7274BCB9}">
  <dimension ref="A3:AF1010"/>
  <sheetViews>
    <sheetView topLeftCell="D1" workbookViewId="0">
      <selection activeCell="F2" sqref="F2:G6"/>
    </sheetView>
  </sheetViews>
  <sheetFormatPr defaultRowHeight="15" x14ac:dyDescent="0.25"/>
  <cols>
    <col min="1" max="1" width="13.140625" bestFit="1" customWidth="1"/>
    <col min="2" max="2" width="14.5703125" bestFit="1" customWidth="1"/>
    <col min="3" max="3" width="13.5703125" bestFit="1" customWidth="1"/>
    <col min="4" max="4" width="11.28515625" bestFit="1" customWidth="1"/>
    <col min="5" max="5" width="13.140625" bestFit="1" customWidth="1"/>
    <col min="6" max="6" width="22.5703125" bestFit="1" customWidth="1"/>
    <col min="8" max="8" width="13.140625" bestFit="1" customWidth="1"/>
    <col min="9" max="9" width="26.140625" bestFit="1" customWidth="1"/>
    <col min="10" max="10" width="23.140625" bestFit="1" customWidth="1"/>
    <col min="11" max="12" width="23.140625" customWidth="1"/>
    <col min="14" max="14" width="13.140625" bestFit="1" customWidth="1"/>
    <col min="15" max="15" width="19" bestFit="1" customWidth="1"/>
    <col min="17" max="17" width="13.140625" bestFit="1" customWidth="1"/>
    <col min="18" max="18" width="26.140625" bestFit="1" customWidth="1"/>
    <col min="19" max="19" width="23.140625" bestFit="1" customWidth="1"/>
    <col min="20" max="20" width="19" bestFit="1" customWidth="1"/>
    <col min="22" max="22" width="13.140625" bestFit="1" customWidth="1"/>
    <col min="23" max="23" width="23.140625" bestFit="1" customWidth="1"/>
    <col min="25" max="25" width="13.5703125" bestFit="1" customWidth="1"/>
    <col min="26" max="27" width="23.140625" bestFit="1" customWidth="1"/>
    <col min="28" max="28" width="13.140625" bestFit="1" customWidth="1"/>
    <col min="29" max="29" width="23.140625" bestFit="1" customWidth="1"/>
    <col min="31" max="31" width="13.140625" bestFit="1" customWidth="1"/>
    <col min="32" max="32" width="30.140625" bestFit="1" customWidth="1"/>
    <col min="33" max="33" width="8" bestFit="1" customWidth="1"/>
    <col min="34" max="34" width="7.28515625" bestFit="1" customWidth="1"/>
    <col min="35" max="35" width="11.28515625" bestFit="1" customWidth="1"/>
  </cols>
  <sheetData>
    <row r="3" spans="1:32" x14ac:dyDescent="0.25">
      <c r="A3" s="31" t="s">
        <v>39</v>
      </c>
      <c r="C3" s="31" t="s">
        <v>39</v>
      </c>
      <c r="E3" s="31" t="s">
        <v>39</v>
      </c>
      <c r="H3" s="31" t="s">
        <v>39</v>
      </c>
      <c r="I3" t="s">
        <v>48</v>
      </c>
      <c r="J3" t="s">
        <v>49</v>
      </c>
      <c r="N3" s="31" t="s">
        <v>39</v>
      </c>
      <c r="O3" t="s">
        <v>50</v>
      </c>
      <c r="Q3" s="31" t="s">
        <v>39</v>
      </c>
      <c r="R3" t="s">
        <v>48</v>
      </c>
      <c r="S3" t="s">
        <v>49</v>
      </c>
      <c r="T3" t="s">
        <v>50</v>
      </c>
      <c r="V3" s="31" t="s">
        <v>39</v>
      </c>
      <c r="W3" t="s">
        <v>49</v>
      </c>
      <c r="Y3" s="31" t="s">
        <v>39</v>
      </c>
      <c r="Z3" t="s">
        <v>49</v>
      </c>
      <c r="AB3" s="31" t="s">
        <v>39</v>
      </c>
      <c r="AC3" t="s">
        <v>49</v>
      </c>
      <c r="AE3" s="31" t="s">
        <v>39</v>
      </c>
      <c r="AF3" t="s">
        <v>53</v>
      </c>
    </row>
    <row r="4" spans="1:32" x14ac:dyDescent="0.25">
      <c r="A4" s="32" t="s">
        <v>24</v>
      </c>
      <c r="C4" s="32" t="s">
        <v>95</v>
      </c>
      <c r="E4" s="32" t="s">
        <v>24</v>
      </c>
      <c r="H4" s="32" t="s">
        <v>24</v>
      </c>
      <c r="I4" s="47">
        <v>1164878</v>
      </c>
      <c r="J4" s="47">
        <v>651344.49</v>
      </c>
      <c r="K4" s="42">
        <f>IFERROR(IF(OR(H4="(blank)",H4="grand total"),"",VLOOKUP(H4,AE:AF,2,0)),"")</f>
        <v>1750000</v>
      </c>
      <c r="N4" s="36">
        <v>43831</v>
      </c>
      <c r="O4" s="33">
        <v>-17800</v>
      </c>
      <c r="Q4" s="32" t="s">
        <v>23</v>
      </c>
      <c r="R4" s="33">
        <v>1524882</v>
      </c>
      <c r="S4" s="33">
        <v>1087869.5499999998</v>
      </c>
      <c r="T4" s="33">
        <v>437012.44999999995</v>
      </c>
      <c r="V4" s="32" t="s">
        <v>23</v>
      </c>
      <c r="W4" s="33">
        <v>1087869.5499999998</v>
      </c>
      <c r="Y4" s="32" t="s">
        <v>95</v>
      </c>
      <c r="Z4" s="33">
        <v>291345.90000000002</v>
      </c>
      <c r="AB4" s="32" t="s">
        <v>23</v>
      </c>
      <c r="AC4" s="33">
        <v>1087869.5499999998</v>
      </c>
      <c r="AE4" s="32" t="s">
        <v>23</v>
      </c>
      <c r="AF4" s="33">
        <v>5930000</v>
      </c>
    </row>
    <row r="5" spans="1:32" x14ac:dyDescent="0.25">
      <c r="C5" s="32" t="s">
        <v>96</v>
      </c>
      <c r="E5" s="32" t="s">
        <v>40</v>
      </c>
      <c r="H5" s="32" t="s">
        <v>40</v>
      </c>
      <c r="I5" s="47">
        <v>1164878</v>
      </c>
      <c r="J5" s="47">
        <v>651344.49</v>
      </c>
      <c r="K5" s="42" t="str">
        <f t="shared" ref="K5:K68" si="0">IFERROR(IF(OR(H5="(blank)",H5="grand total"),"",VLOOKUP(H5,AE:AF,2,0)),"")</f>
        <v/>
      </c>
      <c r="N5" s="36">
        <v>43862</v>
      </c>
      <c r="O5" s="33">
        <v>111129.60000000001</v>
      </c>
      <c r="Q5" s="32" t="s">
        <v>24</v>
      </c>
      <c r="R5" s="33">
        <v>1164878</v>
      </c>
      <c r="S5" s="33">
        <v>651344.49</v>
      </c>
      <c r="T5" s="33">
        <v>513533.50999999995</v>
      </c>
      <c r="V5" s="32" t="s">
        <v>24</v>
      </c>
      <c r="W5" s="33">
        <v>651344.49</v>
      </c>
      <c r="Y5" s="32" t="s">
        <v>96</v>
      </c>
      <c r="Z5" s="33">
        <v>124803.53</v>
      </c>
      <c r="AB5" s="32" t="s">
        <v>24</v>
      </c>
      <c r="AC5" s="33">
        <v>651344.49</v>
      </c>
      <c r="AE5" s="32" t="s">
        <v>24</v>
      </c>
      <c r="AF5" s="33">
        <v>1750000</v>
      </c>
    </row>
    <row r="6" spans="1:32" x14ac:dyDescent="0.25">
      <c r="C6" s="32" t="s">
        <v>97</v>
      </c>
      <c r="K6" s="42" t="str">
        <f t="shared" si="0"/>
        <v/>
      </c>
      <c r="N6" s="36">
        <v>43891</v>
      </c>
      <c r="O6" s="33">
        <v>87749</v>
      </c>
      <c r="Q6" s="32" t="s">
        <v>25</v>
      </c>
      <c r="R6" s="33">
        <v>1000997</v>
      </c>
      <c r="S6" s="33">
        <v>1062660.1100000001</v>
      </c>
      <c r="T6" s="33">
        <v>-61663.110000000015</v>
      </c>
      <c r="V6" s="32" t="s">
        <v>25</v>
      </c>
      <c r="W6" s="33">
        <v>1062660.1100000001</v>
      </c>
      <c r="Y6" s="32" t="s">
        <v>97</v>
      </c>
      <c r="Z6" s="33">
        <v>80796.25</v>
      </c>
      <c r="AB6" s="32" t="s">
        <v>25</v>
      </c>
      <c r="AC6" s="33">
        <v>1062660.1100000001</v>
      </c>
      <c r="AE6" s="32" t="s">
        <v>25</v>
      </c>
      <c r="AF6" s="33">
        <v>2085000</v>
      </c>
    </row>
    <row r="7" spans="1:32" x14ac:dyDescent="0.25">
      <c r="C7" s="32" t="s">
        <v>98</v>
      </c>
      <c r="K7" s="42" t="str">
        <f t="shared" si="0"/>
        <v/>
      </c>
      <c r="N7" s="36">
        <v>43922</v>
      </c>
      <c r="O7" s="33">
        <v>10224.880000000005</v>
      </c>
      <c r="Q7" s="32" t="s">
        <v>40</v>
      </c>
      <c r="R7" s="33">
        <v>3690757</v>
      </c>
      <c r="S7" s="33">
        <v>2801874.15</v>
      </c>
      <c r="T7" s="33">
        <v>888882.85</v>
      </c>
      <c r="V7" s="32" t="s">
        <v>40</v>
      </c>
      <c r="W7" s="33">
        <v>2801874.15</v>
      </c>
      <c r="Y7" s="32" t="s">
        <v>98</v>
      </c>
      <c r="Z7" s="33">
        <v>246315.88</v>
      </c>
      <c r="AB7" s="32" t="s">
        <v>40</v>
      </c>
      <c r="AC7" s="33">
        <v>2801874.15</v>
      </c>
      <c r="AE7" s="32" t="s">
        <v>40</v>
      </c>
      <c r="AF7" s="33">
        <v>9765000</v>
      </c>
    </row>
    <row r="8" spans="1:32" x14ac:dyDescent="0.25">
      <c r="C8" s="32" t="s">
        <v>99</v>
      </c>
      <c r="K8" s="42" t="str">
        <f t="shared" si="0"/>
        <v/>
      </c>
      <c r="N8" s="36">
        <v>43952</v>
      </c>
      <c r="O8" s="33">
        <v>82271.850000000006</v>
      </c>
      <c r="Y8" s="32" t="s">
        <v>99</v>
      </c>
      <c r="Z8" s="33">
        <v>487798.41000000003</v>
      </c>
    </row>
    <row r="9" spans="1:32" x14ac:dyDescent="0.25">
      <c r="C9" s="32" t="s">
        <v>100</v>
      </c>
      <c r="K9" s="42" t="str">
        <f t="shared" si="0"/>
        <v/>
      </c>
      <c r="N9" s="36">
        <v>43983</v>
      </c>
      <c r="O9" s="33">
        <v>77717</v>
      </c>
      <c r="Y9" s="32" t="s">
        <v>100</v>
      </c>
      <c r="Z9" s="33">
        <v>95382</v>
      </c>
    </row>
    <row r="10" spans="1:32" x14ac:dyDescent="0.25">
      <c r="C10" s="32" t="s">
        <v>101</v>
      </c>
      <c r="K10" s="42" t="str">
        <f t="shared" si="0"/>
        <v/>
      </c>
      <c r="N10" s="36">
        <v>44013</v>
      </c>
      <c r="O10" s="33">
        <v>63116</v>
      </c>
      <c r="Y10" s="32" t="s">
        <v>101</v>
      </c>
      <c r="Z10" s="33">
        <v>685084.39</v>
      </c>
    </row>
    <row r="11" spans="1:32" x14ac:dyDescent="0.25">
      <c r="C11" s="32" t="s">
        <v>102</v>
      </c>
      <c r="K11" s="42" t="str">
        <f t="shared" si="0"/>
        <v/>
      </c>
      <c r="N11" s="36">
        <v>44044</v>
      </c>
      <c r="O11" s="33">
        <v>32317.760000000002</v>
      </c>
      <c r="Y11" s="32" t="s">
        <v>102</v>
      </c>
      <c r="Z11" s="33">
        <v>92903.170000000042</v>
      </c>
    </row>
    <row r="12" spans="1:32" x14ac:dyDescent="0.25">
      <c r="C12" s="32" t="s">
        <v>103</v>
      </c>
      <c r="K12" s="42" t="str">
        <f t="shared" si="0"/>
        <v/>
      </c>
      <c r="N12" s="36">
        <v>44075</v>
      </c>
      <c r="O12" s="33">
        <v>46889</v>
      </c>
      <c r="Y12" s="32" t="s">
        <v>103</v>
      </c>
      <c r="Z12" s="33">
        <v>77613.25</v>
      </c>
    </row>
    <row r="13" spans="1:32" x14ac:dyDescent="0.25">
      <c r="C13" s="32" t="s">
        <v>104</v>
      </c>
      <c r="K13" s="42" t="str">
        <f t="shared" si="0"/>
        <v/>
      </c>
      <c r="N13" s="36">
        <v>44105</v>
      </c>
      <c r="O13" s="33">
        <v>19918.420000000006</v>
      </c>
      <c r="Y13" s="32" t="s">
        <v>104</v>
      </c>
      <c r="Z13" s="33">
        <v>38771</v>
      </c>
    </row>
    <row r="14" spans="1:32" x14ac:dyDescent="0.25">
      <c r="C14" s="32" t="s">
        <v>105</v>
      </c>
      <c r="K14" s="42" t="str">
        <f t="shared" si="0"/>
        <v/>
      </c>
      <c r="N14" s="36" t="s">
        <v>40</v>
      </c>
      <c r="O14" s="33">
        <v>513533.51</v>
      </c>
      <c r="Y14" s="32" t="s">
        <v>105</v>
      </c>
      <c r="Z14" s="33">
        <v>95805.4</v>
      </c>
    </row>
    <row r="15" spans="1:32" x14ac:dyDescent="0.25">
      <c r="C15" s="32" t="s">
        <v>106</v>
      </c>
      <c r="K15" s="42" t="str">
        <f t="shared" si="0"/>
        <v/>
      </c>
      <c r="Y15" s="32" t="s">
        <v>106</v>
      </c>
      <c r="Z15" s="33">
        <v>59118.86</v>
      </c>
    </row>
    <row r="16" spans="1:32" x14ac:dyDescent="0.25">
      <c r="C16" s="32" t="s">
        <v>107</v>
      </c>
      <c r="K16" s="42" t="str">
        <f t="shared" si="0"/>
        <v/>
      </c>
      <c r="Y16" s="32" t="s">
        <v>107</v>
      </c>
      <c r="Z16" s="33">
        <v>42152.12</v>
      </c>
    </row>
    <row r="17" spans="3:26" x14ac:dyDescent="0.25">
      <c r="C17" s="32" t="s">
        <v>108</v>
      </c>
      <c r="K17" s="42" t="str">
        <f t="shared" si="0"/>
        <v/>
      </c>
      <c r="Y17" s="32" t="s">
        <v>108</v>
      </c>
      <c r="Z17" s="33">
        <v>206863.75</v>
      </c>
    </row>
    <row r="18" spans="3:26" x14ac:dyDescent="0.25">
      <c r="C18" s="32" t="s">
        <v>109</v>
      </c>
      <c r="K18" s="42" t="str">
        <f t="shared" si="0"/>
        <v/>
      </c>
      <c r="Y18" s="32" t="s">
        <v>109</v>
      </c>
      <c r="Z18" s="33">
        <v>68624.540000000008</v>
      </c>
    </row>
    <row r="19" spans="3:26" x14ac:dyDescent="0.25">
      <c r="C19" s="32" t="s">
        <v>110</v>
      </c>
      <c r="K19" s="42" t="str">
        <f t="shared" si="0"/>
        <v/>
      </c>
      <c r="Y19" s="32" t="s">
        <v>110</v>
      </c>
      <c r="Z19" s="33">
        <v>18040</v>
      </c>
    </row>
    <row r="20" spans="3:26" x14ac:dyDescent="0.25">
      <c r="C20" s="32" t="s">
        <v>111</v>
      </c>
      <c r="K20" s="42" t="str">
        <f t="shared" si="0"/>
        <v/>
      </c>
      <c r="Y20" s="32" t="s">
        <v>111</v>
      </c>
      <c r="Z20" s="33">
        <v>90455.7</v>
      </c>
    </row>
    <row r="21" spans="3:26" x14ac:dyDescent="0.25">
      <c r="K21" s="42" t="str">
        <f t="shared" si="0"/>
        <v/>
      </c>
      <c r="Y21" s="32" t="s">
        <v>40</v>
      </c>
      <c r="Z21" s="33">
        <v>2801874.1500000004</v>
      </c>
    </row>
    <row r="22" spans="3:26" x14ac:dyDescent="0.25">
      <c r="K22" s="42" t="str">
        <f t="shared" si="0"/>
        <v/>
      </c>
    </row>
    <row r="23" spans="3:26" x14ac:dyDescent="0.25">
      <c r="K23" s="42" t="str">
        <f t="shared" si="0"/>
        <v/>
      </c>
    </row>
    <row r="24" spans="3:26" x14ac:dyDescent="0.25">
      <c r="K24" s="42" t="str">
        <f t="shared" si="0"/>
        <v/>
      </c>
    </row>
    <row r="25" spans="3:26" x14ac:dyDescent="0.25">
      <c r="K25" s="42" t="str">
        <f t="shared" si="0"/>
        <v/>
      </c>
    </row>
    <row r="26" spans="3:26" x14ac:dyDescent="0.25">
      <c r="K26" s="42" t="str">
        <f t="shared" si="0"/>
        <v/>
      </c>
    </row>
    <row r="27" spans="3:26" x14ac:dyDescent="0.25">
      <c r="K27" s="42" t="str">
        <f t="shared" si="0"/>
        <v/>
      </c>
    </row>
    <row r="28" spans="3:26" x14ac:dyDescent="0.25">
      <c r="K28" s="42" t="str">
        <f t="shared" si="0"/>
        <v/>
      </c>
    </row>
    <row r="29" spans="3:26" x14ac:dyDescent="0.25">
      <c r="K29" s="42" t="str">
        <f t="shared" si="0"/>
        <v/>
      </c>
    </row>
    <row r="30" spans="3:26" x14ac:dyDescent="0.25">
      <c r="K30" s="42" t="str">
        <f t="shared" si="0"/>
        <v/>
      </c>
    </row>
    <row r="31" spans="3:26" x14ac:dyDescent="0.25">
      <c r="K31" s="42" t="str">
        <f t="shared" si="0"/>
        <v/>
      </c>
    </row>
    <row r="32" spans="3:26" x14ac:dyDescent="0.25">
      <c r="K32" s="42" t="str">
        <f t="shared" si="0"/>
        <v/>
      </c>
    </row>
    <row r="33" spans="11:11" x14ac:dyDescent="0.25">
      <c r="K33" s="42" t="str">
        <f t="shared" si="0"/>
        <v/>
      </c>
    </row>
    <row r="34" spans="11:11" x14ac:dyDescent="0.25">
      <c r="K34" s="42" t="str">
        <f t="shared" si="0"/>
        <v/>
      </c>
    </row>
    <row r="35" spans="11:11" x14ac:dyDescent="0.25">
      <c r="K35" s="42" t="str">
        <f t="shared" si="0"/>
        <v/>
      </c>
    </row>
    <row r="36" spans="11:11" x14ac:dyDescent="0.25">
      <c r="K36" s="42" t="str">
        <f t="shared" si="0"/>
        <v/>
      </c>
    </row>
    <row r="37" spans="11:11" x14ac:dyDescent="0.25">
      <c r="K37" s="42" t="str">
        <f t="shared" si="0"/>
        <v/>
      </c>
    </row>
    <row r="38" spans="11:11" x14ac:dyDescent="0.25">
      <c r="K38" s="42" t="str">
        <f t="shared" si="0"/>
        <v/>
      </c>
    </row>
    <row r="39" spans="11:11" x14ac:dyDescent="0.25">
      <c r="K39" s="42" t="str">
        <f t="shared" si="0"/>
        <v/>
      </c>
    </row>
    <row r="40" spans="11:11" x14ac:dyDescent="0.25">
      <c r="K40" s="42" t="str">
        <f t="shared" si="0"/>
        <v/>
      </c>
    </row>
    <row r="41" spans="11:11" x14ac:dyDescent="0.25">
      <c r="K41" s="42" t="str">
        <f t="shared" si="0"/>
        <v/>
      </c>
    </row>
    <row r="42" spans="11:11" x14ac:dyDescent="0.25">
      <c r="K42" s="42" t="str">
        <f t="shared" si="0"/>
        <v/>
      </c>
    </row>
    <row r="43" spans="11:11" x14ac:dyDescent="0.25">
      <c r="K43" s="42" t="str">
        <f t="shared" si="0"/>
        <v/>
      </c>
    </row>
    <row r="44" spans="11:11" x14ac:dyDescent="0.25">
      <c r="K44" s="42" t="str">
        <f t="shared" si="0"/>
        <v/>
      </c>
    </row>
    <row r="45" spans="11:11" x14ac:dyDescent="0.25">
      <c r="K45" s="42" t="str">
        <f t="shared" si="0"/>
        <v/>
      </c>
    </row>
    <row r="46" spans="11:11" x14ac:dyDescent="0.25">
      <c r="K46" s="42" t="str">
        <f t="shared" si="0"/>
        <v/>
      </c>
    </row>
    <row r="47" spans="11:11" x14ac:dyDescent="0.25">
      <c r="K47" s="42" t="str">
        <f t="shared" si="0"/>
        <v/>
      </c>
    </row>
    <row r="48" spans="11:11" x14ac:dyDescent="0.25">
      <c r="K48" s="42" t="str">
        <f t="shared" si="0"/>
        <v/>
      </c>
    </row>
    <row r="49" spans="11:11" x14ac:dyDescent="0.25">
      <c r="K49" s="42" t="str">
        <f t="shared" si="0"/>
        <v/>
      </c>
    </row>
    <row r="50" spans="11:11" x14ac:dyDescent="0.25">
      <c r="K50" s="42" t="str">
        <f t="shared" si="0"/>
        <v/>
      </c>
    </row>
    <row r="51" spans="11:11" x14ac:dyDescent="0.25">
      <c r="K51" s="42" t="str">
        <f t="shared" si="0"/>
        <v/>
      </c>
    </row>
    <row r="52" spans="11:11" x14ac:dyDescent="0.25">
      <c r="K52" s="42" t="str">
        <f t="shared" si="0"/>
        <v/>
      </c>
    </row>
    <row r="53" spans="11:11" x14ac:dyDescent="0.25">
      <c r="K53" s="42" t="str">
        <f t="shared" si="0"/>
        <v/>
      </c>
    </row>
    <row r="54" spans="11:11" x14ac:dyDescent="0.25">
      <c r="K54" s="42" t="str">
        <f t="shared" si="0"/>
        <v/>
      </c>
    </row>
    <row r="55" spans="11:11" x14ac:dyDescent="0.25">
      <c r="K55" s="42" t="str">
        <f t="shared" si="0"/>
        <v/>
      </c>
    </row>
    <row r="56" spans="11:11" x14ac:dyDescent="0.25">
      <c r="K56" s="42" t="str">
        <f t="shared" si="0"/>
        <v/>
      </c>
    </row>
    <row r="57" spans="11:11" x14ac:dyDescent="0.25">
      <c r="K57" s="42" t="str">
        <f t="shared" si="0"/>
        <v/>
      </c>
    </row>
    <row r="58" spans="11:11" x14ac:dyDescent="0.25">
      <c r="K58" s="42" t="str">
        <f t="shared" si="0"/>
        <v/>
      </c>
    </row>
    <row r="59" spans="11:11" x14ac:dyDescent="0.25">
      <c r="K59" s="42" t="str">
        <f t="shared" si="0"/>
        <v/>
      </c>
    </row>
    <row r="60" spans="11:11" x14ac:dyDescent="0.25">
      <c r="K60" s="42" t="str">
        <f t="shared" si="0"/>
        <v/>
      </c>
    </row>
    <row r="61" spans="11:11" x14ac:dyDescent="0.25">
      <c r="K61" s="42" t="str">
        <f t="shared" si="0"/>
        <v/>
      </c>
    </row>
    <row r="62" spans="11:11" x14ac:dyDescent="0.25">
      <c r="K62" s="42" t="str">
        <f t="shared" si="0"/>
        <v/>
      </c>
    </row>
    <row r="63" spans="11:11" x14ac:dyDescent="0.25">
      <c r="K63" s="42" t="str">
        <f t="shared" si="0"/>
        <v/>
      </c>
    </row>
    <row r="64" spans="11:11" x14ac:dyDescent="0.25">
      <c r="K64" s="42" t="str">
        <f t="shared" si="0"/>
        <v/>
      </c>
    </row>
    <row r="65" spans="11:11" x14ac:dyDescent="0.25">
      <c r="K65" s="42" t="str">
        <f t="shared" si="0"/>
        <v/>
      </c>
    </row>
    <row r="66" spans="11:11" x14ac:dyDescent="0.25">
      <c r="K66" s="42" t="str">
        <f t="shared" si="0"/>
        <v/>
      </c>
    </row>
    <row r="67" spans="11:11" x14ac:dyDescent="0.25">
      <c r="K67" s="42" t="str">
        <f t="shared" si="0"/>
        <v/>
      </c>
    </row>
    <row r="68" spans="11:11" x14ac:dyDescent="0.25">
      <c r="K68" s="42" t="str">
        <f t="shared" si="0"/>
        <v/>
      </c>
    </row>
    <row r="69" spans="11:11" x14ac:dyDescent="0.25">
      <c r="K69" s="42" t="str">
        <f t="shared" ref="K69:K132" si="1">IFERROR(IF(OR(H69="(blank)",H69="grand total"),"",VLOOKUP(H69,AE:AF,2,0)),"")</f>
        <v/>
      </c>
    </row>
    <row r="70" spans="11:11" x14ac:dyDescent="0.25">
      <c r="K70" s="42" t="str">
        <f t="shared" si="1"/>
        <v/>
      </c>
    </row>
    <row r="71" spans="11:11" x14ac:dyDescent="0.25">
      <c r="K71" s="42" t="str">
        <f t="shared" si="1"/>
        <v/>
      </c>
    </row>
    <row r="72" spans="11:11" x14ac:dyDescent="0.25">
      <c r="K72" s="42" t="str">
        <f t="shared" si="1"/>
        <v/>
      </c>
    </row>
    <row r="73" spans="11:11" x14ac:dyDescent="0.25">
      <c r="K73" s="42" t="str">
        <f t="shared" si="1"/>
        <v/>
      </c>
    </row>
    <row r="74" spans="11:11" x14ac:dyDescent="0.25">
      <c r="K74" s="42" t="str">
        <f t="shared" si="1"/>
        <v/>
      </c>
    </row>
    <row r="75" spans="11:11" x14ac:dyDescent="0.25">
      <c r="K75" s="42" t="str">
        <f t="shared" si="1"/>
        <v/>
      </c>
    </row>
    <row r="76" spans="11:11" x14ac:dyDescent="0.25">
      <c r="K76" s="42" t="str">
        <f t="shared" si="1"/>
        <v/>
      </c>
    </row>
    <row r="77" spans="11:11" x14ac:dyDescent="0.25">
      <c r="K77" s="42" t="str">
        <f t="shared" si="1"/>
        <v/>
      </c>
    </row>
    <row r="78" spans="11:11" x14ac:dyDescent="0.25">
      <c r="K78" s="42" t="str">
        <f t="shared" si="1"/>
        <v/>
      </c>
    </row>
    <row r="79" spans="11:11" x14ac:dyDescent="0.25">
      <c r="K79" s="42" t="str">
        <f t="shared" si="1"/>
        <v/>
      </c>
    </row>
    <row r="80" spans="11:11" x14ac:dyDescent="0.25">
      <c r="K80" s="42" t="str">
        <f t="shared" si="1"/>
        <v/>
      </c>
    </row>
    <row r="81" spans="11:11" x14ac:dyDescent="0.25">
      <c r="K81" s="42" t="str">
        <f t="shared" si="1"/>
        <v/>
      </c>
    </row>
    <row r="82" spans="11:11" x14ac:dyDescent="0.25">
      <c r="K82" s="42" t="str">
        <f t="shared" si="1"/>
        <v/>
      </c>
    </row>
    <row r="83" spans="11:11" x14ac:dyDescent="0.25">
      <c r="K83" s="42" t="str">
        <f t="shared" si="1"/>
        <v/>
      </c>
    </row>
    <row r="84" spans="11:11" x14ac:dyDescent="0.25">
      <c r="K84" s="42" t="str">
        <f t="shared" si="1"/>
        <v/>
      </c>
    </row>
    <row r="85" spans="11:11" x14ac:dyDescent="0.25">
      <c r="K85" s="42" t="str">
        <f t="shared" si="1"/>
        <v/>
      </c>
    </row>
    <row r="86" spans="11:11" x14ac:dyDescent="0.25">
      <c r="K86" s="42" t="str">
        <f t="shared" si="1"/>
        <v/>
      </c>
    </row>
    <row r="87" spans="11:11" x14ac:dyDescent="0.25">
      <c r="K87" s="42" t="str">
        <f t="shared" si="1"/>
        <v/>
      </c>
    </row>
    <row r="88" spans="11:11" x14ac:dyDescent="0.25">
      <c r="K88" s="42" t="str">
        <f t="shared" si="1"/>
        <v/>
      </c>
    </row>
    <row r="89" spans="11:11" x14ac:dyDescent="0.25">
      <c r="K89" s="42" t="str">
        <f t="shared" si="1"/>
        <v/>
      </c>
    </row>
    <row r="90" spans="11:11" x14ac:dyDescent="0.25">
      <c r="K90" s="42" t="str">
        <f t="shared" si="1"/>
        <v/>
      </c>
    </row>
    <row r="91" spans="11:11" x14ac:dyDescent="0.25">
      <c r="K91" s="42" t="str">
        <f t="shared" si="1"/>
        <v/>
      </c>
    </row>
    <row r="92" spans="11:11" x14ac:dyDescent="0.25">
      <c r="K92" s="42" t="str">
        <f t="shared" si="1"/>
        <v/>
      </c>
    </row>
    <row r="93" spans="11:11" x14ac:dyDescent="0.25">
      <c r="K93" s="42" t="str">
        <f t="shared" si="1"/>
        <v/>
      </c>
    </row>
    <row r="94" spans="11:11" x14ac:dyDescent="0.25">
      <c r="K94" s="42" t="str">
        <f t="shared" si="1"/>
        <v/>
      </c>
    </row>
    <row r="95" spans="11:11" x14ac:dyDescent="0.25">
      <c r="K95" s="42" t="str">
        <f t="shared" si="1"/>
        <v/>
      </c>
    </row>
    <row r="96" spans="11:11" x14ac:dyDescent="0.25">
      <c r="K96" s="42" t="str">
        <f t="shared" si="1"/>
        <v/>
      </c>
    </row>
    <row r="97" spans="11:11" x14ac:dyDescent="0.25">
      <c r="K97" s="42" t="str">
        <f t="shared" si="1"/>
        <v/>
      </c>
    </row>
    <row r="98" spans="11:11" x14ac:dyDescent="0.25">
      <c r="K98" s="42" t="str">
        <f t="shared" si="1"/>
        <v/>
      </c>
    </row>
    <row r="99" spans="11:11" x14ac:dyDescent="0.25">
      <c r="K99" s="42" t="str">
        <f t="shared" si="1"/>
        <v/>
      </c>
    </row>
    <row r="100" spans="11:11" x14ac:dyDescent="0.25">
      <c r="K100" s="42" t="str">
        <f t="shared" si="1"/>
        <v/>
      </c>
    </row>
    <row r="101" spans="11:11" x14ac:dyDescent="0.25">
      <c r="K101" s="42" t="str">
        <f t="shared" si="1"/>
        <v/>
      </c>
    </row>
    <row r="102" spans="11:11" x14ac:dyDescent="0.25">
      <c r="K102" s="42" t="str">
        <f t="shared" si="1"/>
        <v/>
      </c>
    </row>
    <row r="103" spans="11:11" x14ac:dyDescent="0.25">
      <c r="K103" s="42" t="str">
        <f t="shared" si="1"/>
        <v/>
      </c>
    </row>
    <row r="104" spans="11:11" x14ac:dyDescent="0.25">
      <c r="K104" s="42" t="str">
        <f t="shared" si="1"/>
        <v/>
      </c>
    </row>
    <row r="105" spans="11:11" x14ac:dyDescent="0.25">
      <c r="K105" s="42" t="str">
        <f t="shared" si="1"/>
        <v/>
      </c>
    </row>
    <row r="106" spans="11:11" x14ac:dyDescent="0.25">
      <c r="K106" s="42" t="str">
        <f t="shared" si="1"/>
        <v/>
      </c>
    </row>
    <row r="107" spans="11:11" x14ac:dyDescent="0.25">
      <c r="K107" s="42" t="str">
        <f t="shared" si="1"/>
        <v/>
      </c>
    </row>
    <row r="108" spans="11:11" x14ac:dyDescent="0.25">
      <c r="K108" s="42" t="str">
        <f t="shared" si="1"/>
        <v/>
      </c>
    </row>
    <row r="109" spans="11:11" x14ac:dyDescent="0.25">
      <c r="K109" s="42" t="str">
        <f t="shared" si="1"/>
        <v/>
      </c>
    </row>
    <row r="110" spans="11:11" x14ac:dyDescent="0.25">
      <c r="K110" s="42" t="str">
        <f t="shared" si="1"/>
        <v/>
      </c>
    </row>
    <row r="111" spans="11:11" x14ac:dyDescent="0.25">
      <c r="K111" s="42" t="str">
        <f t="shared" si="1"/>
        <v/>
      </c>
    </row>
    <row r="112" spans="11:11" x14ac:dyDescent="0.25">
      <c r="K112" s="42" t="str">
        <f t="shared" si="1"/>
        <v/>
      </c>
    </row>
    <row r="113" spans="11:11" x14ac:dyDescent="0.25">
      <c r="K113" s="42" t="str">
        <f t="shared" si="1"/>
        <v/>
      </c>
    </row>
    <row r="114" spans="11:11" x14ac:dyDescent="0.25">
      <c r="K114" s="42" t="str">
        <f t="shared" si="1"/>
        <v/>
      </c>
    </row>
    <row r="115" spans="11:11" x14ac:dyDescent="0.25">
      <c r="K115" s="42" t="str">
        <f t="shared" si="1"/>
        <v/>
      </c>
    </row>
    <row r="116" spans="11:11" x14ac:dyDescent="0.25">
      <c r="K116" s="42" t="str">
        <f t="shared" si="1"/>
        <v/>
      </c>
    </row>
    <row r="117" spans="11:11" x14ac:dyDescent="0.25">
      <c r="K117" s="42" t="str">
        <f t="shared" si="1"/>
        <v/>
      </c>
    </row>
    <row r="118" spans="11:11" x14ac:dyDescent="0.25">
      <c r="K118" s="42" t="str">
        <f t="shared" si="1"/>
        <v/>
      </c>
    </row>
    <row r="119" spans="11:11" x14ac:dyDescent="0.25">
      <c r="K119" s="42" t="str">
        <f t="shared" si="1"/>
        <v/>
      </c>
    </row>
    <row r="120" spans="11:11" x14ac:dyDescent="0.25">
      <c r="K120" s="42" t="str">
        <f t="shared" si="1"/>
        <v/>
      </c>
    </row>
    <row r="121" spans="11:11" x14ac:dyDescent="0.25">
      <c r="K121" s="42" t="str">
        <f t="shared" si="1"/>
        <v/>
      </c>
    </row>
    <row r="122" spans="11:11" x14ac:dyDescent="0.25">
      <c r="K122" s="42" t="str">
        <f t="shared" si="1"/>
        <v/>
      </c>
    </row>
    <row r="123" spans="11:11" x14ac:dyDescent="0.25">
      <c r="K123" s="42" t="str">
        <f t="shared" si="1"/>
        <v/>
      </c>
    </row>
    <row r="124" spans="11:11" x14ac:dyDescent="0.25">
      <c r="K124" s="42" t="str">
        <f t="shared" si="1"/>
        <v/>
      </c>
    </row>
    <row r="125" spans="11:11" x14ac:dyDescent="0.25">
      <c r="K125" s="42" t="str">
        <f t="shared" si="1"/>
        <v/>
      </c>
    </row>
    <row r="126" spans="11:11" x14ac:dyDescent="0.25">
      <c r="K126" s="42" t="str">
        <f t="shared" si="1"/>
        <v/>
      </c>
    </row>
    <row r="127" spans="11:11" x14ac:dyDescent="0.25">
      <c r="K127" s="42" t="str">
        <f t="shared" si="1"/>
        <v/>
      </c>
    </row>
    <row r="128" spans="11:11" x14ac:dyDescent="0.25">
      <c r="K128" s="42" t="str">
        <f t="shared" si="1"/>
        <v/>
      </c>
    </row>
    <row r="129" spans="11:11" x14ac:dyDescent="0.25">
      <c r="K129" s="42" t="str">
        <f t="shared" si="1"/>
        <v/>
      </c>
    </row>
    <row r="130" spans="11:11" x14ac:dyDescent="0.25">
      <c r="K130" s="42" t="str">
        <f t="shared" si="1"/>
        <v/>
      </c>
    </row>
    <row r="131" spans="11:11" x14ac:dyDescent="0.25">
      <c r="K131" s="42" t="str">
        <f t="shared" si="1"/>
        <v/>
      </c>
    </row>
    <row r="132" spans="11:11" x14ac:dyDescent="0.25">
      <c r="K132" s="42" t="str">
        <f t="shared" si="1"/>
        <v/>
      </c>
    </row>
    <row r="133" spans="11:11" x14ac:dyDescent="0.25">
      <c r="K133" s="42" t="str">
        <f t="shared" ref="K133:K196" si="2">IFERROR(IF(OR(H133="(blank)",H133="grand total"),"",VLOOKUP(H133,AE:AF,2,0)),"")</f>
        <v/>
      </c>
    </row>
    <row r="134" spans="11:11" x14ac:dyDescent="0.25">
      <c r="K134" s="42" t="str">
        <f t="shared" si="2"/>
        <v/>
      </c>
    </row>
    <row r="135" spans="11:11" x14ac:dyDescent="0.25">
      <c r="K135" s="42" t="str">
        <f t="shared" si="2"/>
        <v/>
      </c>
    </row>
    <row r="136" spans="11:11" x14ac:dyDescent="0.25">
      <c r="K136" s="42" t="str">
        <f t="shared" si="2"/>
        <v/>
      </c>
    </row>
    <row r="137" spans="11:11" x14ac:dyDescent="0.25">
      <c r="K137" s="42" t="str">
        <f t="shared" si="2"/>
        <v/>
      </c>
    </row>
    <row r="138" spans="11:11" x14ac:dyDescent="0.25">
      <c r="K138" s="42" t="str">
        <f t="shared" si="2"/>
        <v/>
      </c>
    </row>
    <row r="139" spans="11:11" x14ac:dyDescent="0.25">
      <c r="K139" s="42" t="str">
        <f t="shared" si="2"/>
        <v/>
      </c>
    </row>
    <row r="140" spans="11:11" x14ac:dyDescent="0.25">
      <c r="K140" s="42" t="str">
        <f t="shared" si="2"/>
        <v/>
      </c>
    </row>
    <row r="141" spans="11:11" x14ac:dyDescent="0.25">
      <c r="K141" s="42" t="str">
        <f t="shared" si="2"/>
        <v/>
      </c>
    </row>
    <row r="142" spans="11:11" x14ac:dyDescent="0.25">
      <c r="K142" s="42" t="str">
        <f t="shared" si="2"/>
        <v/>
      </c>
    </row>
    <row r="143" spans="11:11" x14ac:dyDescent="0.25">
      <c r="K143" s="42" t="str">
        <f t="shared" si="2"/>
        <v/>
      </c>
    </row>
    <row r="144" spans="11:11" x14ac:dyDescent="0.25">
      <c r="K144" s="42" t="str">
        <f t="shared" si="2"/>
        <v/>
      </c>
    </row>
    <row r="145" spans="11:11" x14ac:dyDescent="0.25">
      <c r="K145" s="42" t="str">
        <f t="shared" si="2"/>
        <v/>
      </c>
    </row>
    <row r="146" spans="11:11" x14ac:dyDescent="0.25">
      <c r="K146" s="42" t="str">
        <f t="shared" si="2"/>
        <v/>
      </c>
    </row>
    <row r="147" spans="11:11" x14ac:dyDescent="0.25">
      <c r="K147" s="42" t="str">
        <f t="shared" si="2"/>
        <v/>
      </c>
    </row>
    <row r="148" spans="11:11" x14ac:dyDescent="0.25">
      <c r="K148" s="42" t="str">
        <f t="shared" si="2"/>
        <v/>
      </c>
    </row>
    <row r="149" spans="11:11" x14ac:dyDescent="0.25">
      <c r="K149" s="42" t="str">
        <f t="shared" si="2"/>
        <v/>
      </c>
    </row>
    <row r="150" spans="11:11" x14ac:dyDescent="0.25">
      <c r="K150" s="42" t="str">
        <f t="shared" si="2"/>
        <v/>
      </c>
    </row>
    <row r="151" spans="11:11" x14ac:dyDescent="0.25">
      <c r="K151" s="42" t="str">
        <f t="shared" si="2"/>
        <v/>
      </c>
    </row>
    <row r="152" spans="11:11" x14ac:dyDescent="0.25">
      <c r="K152" s="42" t="str">
        <f t="shared" si="2"/>
        <v/>
      </c>
    </row>
    <row r="153" spans="11:11" x14ac:dyDescent="0.25">
      <c r="K153" s="42" t="str">
        <f t="shared" si="2"/>
        <v/>
      </c>
    </row>
    <row r="154" spans="11:11" x14ac:dyDescent="0.25">
      <c r="K154" s="42" t="str">
        <f t="shared" si="2"/>
        <v/>
      </c>
    </row>
    <row r="155" spans="11:11" x14ac:dyDescent="0.25">
      <c r="K155" s="42" t="str">
        <f t="shared" si="2"/>
        <v/>
      </c>
    </row>
    <row r="156" spans="11:11" x14ac:dyDescent="0.25">
      <c r="K156" s="42" t="str">
        <f t="shared" si="2"/>
        <v/>
      </c>
    </row>
    <row r="157" spans="11:11" x14ac:dyDescent="0.25">
      <c r="K157" s="42" t="str">
        <f t="shared" si="2"/>
        <v/>
      </c>
    </row>
    <row r="158" spans="11:11" x14ac:dyDescent="0.25">
      <c r="K158" s="42" t="str">
        <f t="shared" si="2"/>
        <v/>
      </c>
    </row>
    <row r="159" spans="11:11" x14ac:dyDescent="0.25">
      <c r="K159" s="42" t="str">
        <f t="shared" si="2"/>
        <v/>
      </c>
    </row>
    <row r="160" spans="11:11" x14ac:dyDescent="0.25">
      <c r="K160" s="42" t="str">
        <f t="shared" si="2"/>
        <v/>
      </c>
    </row>
    <row r="161" spans="11:11" x14ac:dyDescent="0.25">
      <c r="K161" s="42" t="str">
        <f t="shared" si="2"/>
        <v/>
      </c>
    </row>
    <row r="162" spans="11:11" x14ac:dyDescent="0.25">
      <c r="K162" s="42" t="str">
        <f t="shared" si="2"/>
        <v/>
      </c>
    </row>
    <row r="163" spans="11:11" x14ac:dyDescent="0.25">
      <c r="K163" s="42" t="str">
        <f t="shared" si="2"/>
        <v/>
      </c>
    </row>
    <row r="164" spans="11:11" x14ac:dyDescent="0.25">
      <c r="K164" s="42" t="str">
        <f t="shared" si="2"/>
        <v/>
      </c>
    </row>
    <row r="165" spans="11:11" x14ac:dyDescent="0.25">
      <c r="K165" s="42" t="str">
        <f t="shared" si="2"/>
        <v/>
      </c>
    </row>
    <row r="166" spans="11:11" x14ac:dyDescent="0.25">
      <c r="K166" s="42" t="str">
        <f t="shared" si="2"/>
        <v/>
      </c>
    </row>
    <row r="167" spans="11:11" x14ac:dyDescent="0.25">
      <c r="K167" s="42" t="str">
        <f t="shared" si="2"/>
        <v/>
      </c>
    </row>
    <row r="168" spans="11:11" x14ac:dyDescent="0.25">
      <c r="K168" s="42" t="str">
        <f t="shared" si="2"/>
        <v/>
      </c>
    </row>
    <row r="169" spans="11:11" x14ac:dyDescent="0.25">
      <c r="K169" s="42" t="str">
        <f t="shared" si="2"/>
        <v/>
      </c>
    </row>
    <row r="170" spans="11:11" x14ac:dyDescent="0.25">
      <c r="K170" s="42" t="str">
        <f t="shared" si="2"/>
        <v/>
      </c>
    </row>
    <row r="171" spans="11:11" x14ac:dyDescent="0.25">
      <c r="K171" s="42" t="str">
        <f t="shared" si="2"/>
        <v/>
      </c>
    </row>
    <row r="172" spans="11:11" x14ac:dyDescent="0.25">
      <c r="K172" s="42" t="str">
        <f t="shared" si="2"/>
        <v/>
      </c>
    </row>
    <row r="173" spans="11:11" x14ac:dyDescent="0.25">
      <c r="K173" s="42" t="str">
        <f t="shared" si="2"/>
        <v/>
      </c>
    </row>
    <row r="174" spans="11:11" x14ac:dyDescent="0.25">
      <c r="K174" s="42" t="str">
        <f t="shared" si="2"/>
        <v/>
      </c>
    </row>
    <row r="175" spans="11:11" x14ac:dyDescent="0.25">
      <c r="K175" s="42" t="str">
        <f t="shared" si="2"/>
        <v/>
      </c>
    </row>
    <row r="176" spans="11:11" x14ac:dyDescent="0.25">
      <c r="K176" s="42" t="str">
        <f t="shared" si="2"/>
        <v/>
      </c>
    </row>
    <row r="177" spans="11:11" x14ac:dyDescent="0.25">
      <c r="K177" s="42" t="str">
        <f t="shared" si="2"/>
        <v/>
      </c>
    </row>
    <row r="178" spans="11:11" x14ac:dyDescent="0.25">
      <c r="K178" s="42" t="str">
        <f t="shared" si="2"/>
        <v/>
      </c>
    </row>
    <row r="179" spans="11:11" x14ac:dyDescent="0.25">
      <c r="K179" s="42" t="str">
        <f t="shared" si="2"/>
        <v/>
      </c>
    </row>
    <row r="180" spans="11:11" x14ac:dyDescent="0.25">
      <c r="K180" s="42" t="str">
        <f t="shared" si="2"/>
        <v/>
      </c>
    </row>
    <row r="181" spans="11:11" x14ac:dyDescent="0.25">
      <c r="K181" s="42" t="str">
        <f t="shared" si="2"/>
        <v/>
      </c>
    </row>
    <row r="182" spans="11:11" x14ac:dyDescent="0.25">
      <c r="K182" s="42" t="str">
        <f t="shared" si="2"/>
        <v/>
      </c>
    </row>
    <row r="183" spans="11:11" x14ac:dyDescent="0.25">
      <c r="K183" s="42" t="str">
        <f t="shared" si="2"/>
        <v/>
      </c>
    </row>
    <row r="184" spans="11:11" x14ac:dyDescent="0.25">
      <c r="K184" s="42" t="str">
        <f t="shared" si="2"/>
        <v/>
      </c>
    </row>
    <row r="185" spans="11:11" x14ac:dyDescent="0.25">
      <c r="K185" s="42" t="str">
        <f t="shared" si="2"/>
        <v/>
      </c>
    </row>
    <row r="186" spans="11:11" x14ac:dyDescent="0.25">
      <c r="K186" s="42" t="str">
        <f t="shared" si="2"/>
        <v/>
      </c>
    </row>
    <row r="187" spans="11:11" x14ac:dyDescent="0.25">
      <c r="K187" s="42" t="str">
        <f t="shared" si="2"/>
        <v/>
      </c>
    </row>
    <row r="188" spans="11:11" x14ac:dyDescent="0.25">
      <c r="K188" s="42" t="str">
        <f t="shared" si="2"/>
        <v/>
      </c>
    </row>
    <row r="189" spans="11:11" x14ac:dyDescent="0.25">
      <c r="K189" s="42" t="str">
        <f t="shared" si="2"/>
        <v/>
      </c>
    </row>
    <row r="190" spans="11:11" x14ac:dyDescent="0.25">
      <c r="K190" s="42" t="str">
        <f t="shared" si="2"/>
        <v/>
      </c>
    </row>
    <row r="191" spans="11:11" x14ac:dyDescent="0.25">
      <c r="K191" s="42" t="str">
        <f t="shared" si="2"/>
        <v/>
      </c>
    </row>
    <row r="192" spans="11:11" x14ac:dyDescent="0.25">
      <c r="K192" s="42" t="str">
        <f t="shared" si="2"/>
        <v/>
      </c>
    </row>
    <row r="193" spans="11:11" x14ac:dyDescent="0.25">
      <c r="K193" s="42" t="str">
        <f t="shared" si="2"/>
        <v/>
      </c>
    </row>
    <row r="194" spans="11:11" x14ac:dyDescent="0.25">
      <c r="K194" s="42" t="str">
        <f t="shared" si="2"/>
        <v/>
      </c>
    </row>
    <row r="195" spans="11:11" x14ac:dyDescent="0.25">
      <c r="K195" s="42" t="str">
        <f t="shared" si="2"/>
        <v/>
      </c>
    </row>
    <row r="196" spans="11:11" x14ac:dyDescent="0.25">
      <c r="K196" s="42" t="str">
        <f t="shared" si="2"/>
        <v/>
      </c>
    </row>
    <row r="197" spans="11:11" x14ac:dyDescent="0.25">
      <c r="K197" s="42" t="str">
        <f t="shared" ref="K197:K260" si="3">IFERROR(IF(OR(H197="(blank)",H197="grand total"),"",VLOOKUP(H197,AE:AF,2,0)),"")</f>
        <v/>
      </c>
    </row>
    <row r="198" spans="11:11" x14ac:dyDescent="0.25">
      <c r="K198" s="42" t="str">
        <f t="shared" si="3"/>
        <v/>
      </c>
    </row>
    <row r="199" spans="11:11" x14ac:dyDescent="0.25">
      <c r="K199" s="42" t="str">
        <f t="shared" si="3"/>
        <v/>
      </c>
    </row>
    <row r="200" spans="11:11" x14ac:dyDescent="0.25">
      <c r="K200" s="42" t="str">
        <f t="shared" si="3"/>
        <v/>
      </c>
    </row>
    <row r="201" spans="11:11" x14ac:dyDescent="0.25">
      <c r="K201" s="42" t="str">
        <f t="shared" si="3"/>
        <v/>
      </c>
    </row>
    <row r="202" spans="11:11" x14ac:dyDescent="0.25">
      <c r="K202" s="42" t="str">
        <f t="shared" si="3"/>
        <v/>
      </c>
    </row>
    <row r="203" spans="11:11" x14ac:dyDescent="0.25">
      <c r="K203" s="42" t="str">
        <f t="shared" si="3"/>
        <v/>
      </c>
    </row>
    <row r="204" spans="11:11" x14ac:dyDescent="0.25">
      <c r="K204" s="42" t="str">
        <f t="shared" si="3"/>
        <v/>
      </c>
    </row>
    <row r="205" spans="11:11" x14ac:dyDescent="0.25">
      <c r="K205" s="42" t="str">
        <f t="shared" si="3"/>
        <v/>
      </c>
    </row>
    <row r="206" spans="11:11" x14ac:dyDescent="0.25">
      <c r="K206" s="42" t="str">
        <f t="shared" si="3"/>
        <v/>
      </c>
    </row>
    <row r="207" spans="11:11" x14ac:dyDescent="0.25">
      <c r="K207" s="42" t="str">
        <f t="shared" si="3"/>
        <v/>
      </c>
    </row>
    <row r="208" spans="11:11" x14ac:dyDescent="0.25">
      <c r="K208" s="42" t="str">
        <f t="shared" si="3"/>
        <v/>
      </c>
    </row>
    <row r="209" spans="11:11" x14ac:dyDescent="0.25">
      <c r="K209" s="42" t="str">
        <f t="shared" si="3"/>
        <v/>
      </c>
    </row>
    <row r="210" spans="11:11" x14ac:dyDescent="0.25">
      <c r="K210" s="42" t="str">
        <f t="shared" si="3"/>
        <v/>
      </c>
    </row>
    <row r="211" spans="11:11" x14ac:dyDescent="0.25">
      <c r="K211" s="42" t="str">
        <f t="shared" si="3"/>
        <v/>
      </c>
    </row>
    <row r="212" spans="11:11" x14ac:dyDescent="0.25">
      <c r="K212" s="42" t="str">
        <f t="shared" si="3"/>
        <v/>
      </c>
    </row>
    <row r="213" spans="11:11" x14ac:dyDescent="0.25">
      <c r="K213" s="42" t="str">
        <f t="shared" si="3"/>
        <v/>
      </c>
    </row>
    <row r="214" spans="11:11" x14ac:dyDescent="0.25">
      <c r="K214" s="42" t="str">
        <f t="shared" si="3"/>
        <v/>
      </c>
    </row>
    <row r="215" spans="11:11" x14ac:dyDescent="0.25">
      <c r="K215" s="42" t="str">
        <f t="shared" si="3"/>
        <v/>
      </c>
    </row>
    <row r="216" spans="11:11" x14ac:dyDescent="0.25">
      <c r="K216" s="42" t="str">
        <f t="shared" si="3"/>
        <v/>
      </c>
    </row>
    <row r="217" spans="11:11" x14ac:dyDescent="0.25">
      <c r="K217" s="42" t="str">
        <f t="shared" si="3"/>
        <v/>
      </c>
    </row>
    <row r="218" spans="11:11" x14ac:dyDescent="0.25">
      <c r="K218" s="42" t="str">
        <f t="shared" si="3"/>
        <v/>
      </c>
    </row>
    <row r="219" spans="11:11" x14ac:dyDescent="0.25">
      <c r="K219" s="42" t="str">
        <f t="shared" si="3"/>
        <v/>
      </c>
    </row>
    <row r="220" spans="11:11" x14ac:dyDescent="0.25">
      <c r="K220" s="42" t="str">
        <f t="shared" si="3"/>
        <v/>
      </c>
    </row>
    <row r="221" spans="11:11" x14ac:dyDescent="0.25">
      <c r="K221" s="42" t="str">
        <f t="shared" si="3"/>
        <v/>
      </c>
    </row>
    <row r="222" spans="11:11" x14ac:dyDescent="0.25">
      <c r="K222" s="42" t="str">
        <f t="shared" si="3"/>
        <v/>
      </c>
    </row>
    <row r="223" spans="11:11" x14ac:dyDescent="0.25">
      <c r="K223" s="42" t="str">
        <f t="shared" si="3"/>
        <v/>
      </c>
    </row>
    <row r="224" spans="11:11" x14ac:dyDescent="0.25">
      <c r="K224" s="42" t="str">
        <f t="shared" si="3"/>
        <v/>
      </c>
    </row>
    <row r="225" spans="11:11" x14ac:dyDescent="0.25">
      <c r="K225" s="42" t="str">
        <f t="shared" si="3"/>
        <v/>
      </c>
    </row>
    <row r="226" spans="11:11" x14ac:dyDescent="0.25">
      <c r="K226" s="42" t="str">
        <f t="shared" si="3"/>
        <v/>
      </c>
    </row>
    <row r="227" spans="11:11" x14ac:dyDescent="0.25">
      <c r="K227" s="42" t="str">
        <f t="shared" si="3"/>
        <v/>
      </c>
    </row>
    <row r="228" spans="11:11" x14ac:dyDescent="0.25">
      <c r="K228" s="42" t="str">
        <f t="shared" si="3"/>
        <v/>
      </c>
    </row>
    <row r="229" spans="11:11" x14ac:dyDescent="0.25">
      <c r="K229" s="42" t="str">
        <f t="shared" si="3"/>
        <v/>
      </c>
    </row>
    <row r="230" spans="11:11" x14ac:dyDescent="0.25">
      <c r="K230" s="42" t="str">
        <f t="shared" si="3"/>
        <v/>
      </c>
    </row>
    <row r="231" spans="11:11" x14ac:dyDescent="0.25">
      <c r="K231" s="42" t="str">
        <f t="shared" si="3"/>
        <v/>
      </c>
    </row>
    <row r="232" spans="11:11" x14ac:dyDescent="0.25">
      <c r="K232" s="42" t="str">
        <f t="shared" si="3"/>
        <v/>
      </c>
    </row>
    <row r="233" spans="11:11" x14ac:dyDescent="0.25">
      <c r="K233" s="42" t="str">
        <f t="shared" si="3"/>
        <v/>
      </c>
    </row>
    <row r="234" spans="11:11" x14ac:dyDescent="0.25">
      <c r="K234" s="42" t="str">
        <f t="shared" si="3"/>
        <v/>
      </c>
    </row>
    <row r="235" spans="11:11" x14ac:dyDescent="0.25">
      <c r="K235" s="42" t="str">
        <f t="shared" si="3"/>
        <v/>
      </c>
    </row>
    <row r="236" spans="11:11" x14ac:dyDescent="0.25">
      <c r="K236" s="42" t="str">
        <f t="shared" si="3"/>
        <v/>
      </c>
    </row>
    <row r="237" spans="11:11" x14ac:dyDescent="0.25">
      <c r="K237" s="42" t="str">
        <f t="shared" si="3"/>
        <v/>
      </c>
    </row>
    <row r="238" spans="11:11" x14ac:dyDescent="0.25">
      <c r="K238" s="42" t="str">
        <f t="shared" si="3"/>
        <v/>
      </c>
    </row>
    <row r="239" spans="11:11" x14ac:dyDescent="0.25">
      <c r="K239" s="42" t="str">
        <f t="shared" si="3"/>
        <v/>
      </c>
    </row>
    <row r="240" spans="11:11" x14ac:dyDescent="0.25">
      <c r="K240" s="42" t="str">
        <f t="shared" si="3"/>
        <v/>
      </c>
    </row>
    <row r="241" spans="11:11" x14ac:dyDescent="0.25">
      <c r="K241" s="42" t="str">
        <f t="shared" si="3"/>
        <v/>
      </c>
    </row>
    <row r="242" spans="11:11" x14ac:dyDescent="0.25">
      <c r="K242" s="42" t="str">
        <f t="shared" si="3"/>
        <v/>
      </c>
    </row>
    <row r="243" spans="11:11" x14ac:dyDescent="0.25">
      <c r="K243" s="42" t="str">
        <f t="shared" si="3"/>
        <v/>
      </c>
    </row>
    <row r="244" spans="11:11" x14ac:dyDescent="0.25">
      <c r="K244" s="42" t="str">
        <f t="shared" si="3"/>
        <v/>
      </c>
    </row>
    <row r="245" spans="11:11" x14ac:dyDescent="0.25">
      <c r="K245" s="42" t="str">
        <f t="shared" si="3"/>
        <v/>
      </c>
    </row>
    <row r="246" spans="11:11" x14ac:dyDescent="0.25">
      <c r="K246" s="42" t="str">
        <f t="shared" si="3"/>
        <v/>
      </c>
    </row>
    <row r="247" spans="11:11" x14ac:dyDescent="0.25">
      <c r="K247" s="42" t="str">
        <f t="shared" si="3"/>
        <v/>
      </c>
    </row>
    <row r="248" spans="11:11" x14ac:dyDescent="0.25">
      <c r="K248" s="42" t="str">
        <f t="shared" si="3"/>
        <v/>
      </c>
    </row>
    <row r="249" spans="11:11" x14ac:dyDescent="0.25">
      <c r="K249" s="42" t="str">
        <f t="shared" si="3"/>
        <v/>
      </c>
    </row>
    <row r="250" spans="11:11" x14ac:dyDescent="0.25">
      <c r="K250" s="42" t="str">
        <f t="shared" si="3"/>
        <v/>
      </c>
    </row>
    <row r="251" spans="11:11" x14ac:dyDescent="0.25">
      <c r="K251" s="42" t="str">
        <f t="shared" si="3"/>
        <v/>
      </c>
    </row>
    <row r="252" spans="11:11" x14ac:dyDescent="0.25">
      <c r="K252" s="42" t="str">
        <f t="shared" si="3"/>
        <v/>
      </c>
    </row>
    <row r="253" spans="11:11" x14ac:dyDescent="0.25">
      <c r="K253" s="42" t="str">
        <f t="shared" si="3"/>
        <v/>
      </c>
    </row>
    <row r="254" spans="11:11" x14ac:dyDescent="0.25">
      <c r="K254" s="42" t="str">
        <f t="shared" si="3"/>
        <v/>
      </c>
    </row>
    <row r="255" spans="11:11" x14ac:dyDescent="0.25">
      <c r="K255" s="42" t="str">
        <f t="shared" si="3"/>
        <v/>
      </c>
    </row>
    <row r="256" spans="11:11" x14ac:dyDescent="0.25">
      <c r="K256" s="42" t="str">
        <f t="shared" si="3"/>
        <v/>
      </c>
    </row>
    <row r="257" spans="11:11" x14ac:dyDescent="0.25">
      <c r="K257" s="42" t="str">
        <f t="shared" si="3"/>
        <v/>
      </c>
    </row>
    <row r="258" spans="11:11" x14ac:dyDescent="0.25">
      <c r="K258" s="42" t="str">
        <f t="shared" si="3"/>
        <v/>
      </c>
    </row>
    <row r="259" spans="11:11" x14ac:dyDescent="0.25">
      <c r="K259" s="42" t="str">
        <f t="shared" si="3"/>
        <v/>
      </c>
    </row>
    <row r="260" spans="11:11" x14ac:dyDescent="0.25">
      <c r="K260" s="42" t="str">
        <f t="shared" si="3"/>
        <v/>
      </c>
    </row>
    <row r="261" spans="11:11" x14ac:dyDescent="0.25">
      <c r="K261" s="42" t="str">
        <f t="shared" ref="K261:K324" si="4">IFERROR(IF(OR(H261="(blank)",H261="grand total"),"",VLOOKUP(H261,AE:AF,2,0)),"")</f>
        <v/>
      </c>
    </row>
    <row r="262" spans="11:11" x14ac:dyDescent="0.25">
      <c r="K262" s="42" t="str">
        <f t="shared" si="4"/>
        <v/>
      </c>
    </row>
    <row r="263" spans="11:11" x14ac:dyDescent="0.25">
      <c r="K263" s="42" t="str">
        <f t="shared" si="4"/>
        <v/>
      </c>
    </row>
    <row r="264" spans="11:11" x14ac:dyDescent="0.25">
      <c r="K264" s="42" t="str">
        <f t="shared" si="4"/>
        <v/>
      </c>
    </row>
    <row r="265" spans="11:11" x14ac:dyDescent="0.25">
      <c r="K265" s="42" t="str">
        <f t="shared" si="4"/>
        <v/>
      </c>
    </row>
    <row r="266" spans="11:11" x14ac:dyDescent="0.25">
      <c r="K266" s="42" t="str">
        <f t="shared" si="4"/>
        <v/>
      </c>
    </row>
    <row r="267" spans="11:11" x14ac:dyDescent="0.25">
      <c r="K267" s="42" t="str">
        <f t="shared" si="4"/>
        <v/>
      </c>
    </row>
    <row r="268" spans="11:11" x14ac:dyDescent="0.25">
      <c r="K268" s="42" t="str">
        <f t="shared" si="4"/>
        <v/>
      </c>
    </row>
    <row r="269" spans="11:11" x14ac:dyDescent="0.25">
      <c r="K269" s="42" t="str">
        <f t="shared" si="4"/>
        <v/>
      </c>
    </row>
    <row r="270" spans="11:11" x14ac:dyDescent="0.25">
      <c r="K270" s="42" t="str">
        <f t="shared" si="4"/>
        <v/>
      </c>
    </row>
    <row r="271" spans="11:11" x14ac:dyDescent="0.25">
      <c r="K271" s="42" t="str">
        <f t="shared" si="4"/>
        <v/>
      </c>
    </row>
    <row r="272" spans="11:11" x14ac:dyDescent="0.25">
      <c r="K272" s="42" t="str">
        <f t="shared" si="4"/>
        <v/>
      </c>
    </row>
    <row r="273" spans="11:11" x14ac:dyDescent="0.25">
      <c r="K273" s="42" t="str">
        <f t="shared" si="4"/>
        <v/>
      </c>
    </row>
    <row r="274" spans="11:11" x14ac:dyDescent="0.25">
      <c r="K274" s="42" t="str">
        <f t="shared" si="4"/>
        <v/>
      </c>
    </row>
    <row r="275" spans="11:11" x14ac:dyDescent="0.25">
      <c r="K275" s="42" t="str">
        <f t="shared" si="4"/>
        <v/>
      </c>
    </row>
    <row r="276" spans="11:11" x14ac:dyDescent="0.25">
      <c r="K276" s="42" t="str">
        <f t="shared" si="4"/>
        <v/>
      </c>
    </row>
    <row r="277" spans="11:11" x14ac:dyDescent="0.25">
      <c r="K277" s="42" t="str">
        <f t="shared" si="4"/>
        <v/>
      </c>
    </row>
    <row r="278" spans="11:11" x14ac:dyDescent="0.25">
      <c r="K278" s="42" t="str">
        <f t="shared" si="4"/>
        <v/>
      </c>
    </row>
    <row r="279" spans="11:11" x14ac:dyDescent="0.25">
      <c r="K279" s="42" t="str">
        <f t="shared" si="4"/>
        <v/>
      </c>
    </row>
    <row r="280" spans="11:11" x14ac:dyDescent="0.25">
      <c r="K280" s="42" t="str">
        <f t="shared" si="4"/>
        <v/>
      </c>
    </row>
    <row r="281" spans="11:11" x14ac:dyDescent="0.25">
      <c r="K281" s="42" t="str">
        <f t="shared" si="4"/>
        <v/>
      </c>
    </row>
    <row r="282" spans="11:11" x14ac:dyDescent="0.25">
      <c r="K282" s="42" t="str">
        <f t="shared" si="4"/>
        <v/>
      </c>
    </row>
    <row r="283" spans="11:11" x14ac:dyDescent="0.25">
      <c r="K283" s="42" t="str">
        <f t="shared" si="4"/>
        <v/>
      </c>
    </row>
    <row r="284" spans="11:11" x14ac:dyDescent="0.25">
      <c r="K284" s="42" t="str">
        <f t="shared" si="4"/>
        <v/>
      </c>
    </row>
    <row r="285" spans="11:11" x14ac:dyDescent="0.25">
      <c r="K285" s="42" t="str">
        <f t="shared" si="4"/>
        <v/>
      </c>
    </row>
    <row r="286" spans="11:11" x14ac:dyDescent="0.25">
      <c r="K286" s="42" t="str">
        <f t="shared" si="4"/>
        <v/>
      </c>
    </row>
    <row r="287" spans="11:11" x14ac:dyDescent="0.25">
      <c r="K287" s="42" t="str">
        <f t="shared" si="4"/>
        <v/>
      </c>
    </row>
    <row r="288" spans="11:11" x14ac:dyDescent="0.25">
      <c r="K288" s="42" t="str">
        <f t="shared" si="4"/>
        <v/>
      </c>
    </row>
    <row r="289" spans="11:11" x14ac:dyDescent="0.25">
      <c r="K289" s="42" t="str">
        <f t="shared" si="4"/>
        <v/>
      </c>
    </row>
    <row r="290" spans="11:11" x14ac:dyDescent="0.25">
      <c r="K290" s="42" t="str">
        <f t="shared" si="4"/>
        <v/>
      </c>
    </row>
    <row r="291" spans="11:11" x14ac:dyDescent="0.25">
      <c r="K291" s="42" t="str">
        <f t="shared" si="4"/>
        <v/>
      </c>
    </row>
    <row r="292" spans="11:11" x14ac:dyDescent="0.25">
      <c r="K292" s="42" t="str">
        <f t="shared" si="4"/>
        <v/>
      </c>
    </row>
    <row r="293" spans="11:11" x14ac:dyDescent="0.25">
      <c r="K293" s="42" t="str">
        <f t="shared" si="4"/>
        <v/>
      </c>
    </row>
    <row r="294" spans="11:11" x14ac:dyDescent="0.25">
      <c r="K294" s="42" t="str">
        <f t="shared" si="4"/>
        <v/>
      </c>
    </row>
    <row r="295" spans="11:11" x14ac:dyDescent="0.25">
      <c r="K295" s="42" t="str">
        <f t="shared" si="4"/>
        <v/>
      </c>
    </row>
    <row r="296" spans="11:11" x14ac:dyDescent="0.25">
      <c r="K296" s="42" t="str">
        <f t="shared" si="4"/>
        <v/>
      </c>
    </row>
    <row r="297" spans="11:11" x14ac:dyDescent="0.25">
      <c r="K297" s="42" t="str">
        <f t="shared" si="4"/>
        <v/>
      </c>
    </row>
    <row r="298" spans="11:11" x14ac:dyDescent="0.25">
      <c r="K298" s="42" t="str">
        <f t="shared" si="4"/>
        <v/>
      </c>
    </row>
    <row r="299" spans="11:11" x14ac:dyDescent="0.25">
      <c r="K299" s="42" t="str">
        <f t="shared" si="4"/>
        <v/>
      </c>
    </row>
    <row r="300" spans="11:11" x14ac:dyDescent="0.25">
      <c r="K300" s="42" t="str">
        <f t="shared" si="4"/>
        <v/>
      </c>
    </row>
    <row r="301" spans="11:11" x14ac:dyDescent="0.25">
      <c r="K301" s="42" t="str">
        <f t="shared" si="4"/>
        <v/>
      </c>
    </row>
    <row r="302" spans="11:11" x14ac:dyDescent="0.25">
      <c r="K302" s="42" t="str">
        <f t="shared" si="4"/>
        <v/>
      </c>
    </row>
    <row r="303" spans="11:11" x14ac:dyDescent="0.25">
      <c r="K303" s="42" t="str">
        <f t="shared" si="4"/>
        <v/>
      </c>
    </row>
    <row r="304" spans="11:11" x14ac:dyDescent="0.25">
      <c r="K304" s="42" t="str">
        <f t="shared" si="4"/>
        <v/>
      </c>
    </row>
    <row r="305" spans="11:11" x14ac:dyDescent="0.25">
      <c r="K305" s="42" t="str">
        <f t="shared" si="4"/>
        <v/>
      </c>
    </row>
    <row r="306" spans="11:11" x14ac:dyDescent="0.25">
      <c r="K306" s="42" t="str">
        <f t="shared" si="4"/>
        <v/>
      </c>
    </row>
    <row r="307" spans="11:11" x14ac:dyDescent="0.25">
      <c r="K307" s="42" t="str">
        <f t="shared" si="4"/>
        <v/>
      </c>
    </row>
    <row r="308" spans="11:11" x14ac:dyDescent="0.25">
      <c r="K308" s="42" t="str">
        <f t="shared" si="4"/>
        <v/>
      </c>
    </row>
    <row r="309" spans="11:11" x14ac:dyDescent="0.25">
      <c r="K309" s="42" t="str">
        <f t="shared" si="4"/>
        <v/>
      </c>
    </row>
    <row r="310" spans="11:11" x14ac:dyDescent="0.25">
      <c r="K310" s="42" t="str">
        <f t="shared" si="4"/>
        <v/>
      </c>
    </row>
    <row r="311" spans="11:11" x14ac:dyDescent="0.25">
      <c r="K311" s="42" t="str">
        <f t="shared" si="4"/>
        <v/>
      </c>
    </row>
    <row r="312" spans="11:11" x14ac:dyDescent="0.25">
      <c r="K312" s="42" t="str">
        <f t="shared" si="4"/>
        <v/>
      </c>
    </row>
    <row r="313" spans="11:11" x14ac:dyDescent="0.25">
      <c r="K313" s="42" t="str">
        <f t="shared" si="4"/>
        <v/>
      </c>
    </row>
    <row r="314" spans="11:11" x14ac:dyDescent="0.25">
      <c r="K314" s="42" t="str">
        <f t="shared" si="4"/>
        <v/>
      </c>
    </row>
    <row r="315" spans="11:11" x14ac:dyDescent="0.25">
      <c r="K315" s="42" t="str">
        <f t="shared" si="4"/>
        <v/>
      </c>
    </row>
    <row r="316" spans="11:11" x14ac:dyDescent="0.25">
      <c r="K316" s="42" t="str">
        <f t="shared" si="4"/>
        <v/>
      </c>
    </row>
    <row r="317" spans="11:11" x14ac:dyDescent="0.25">
      <c r="K317" s="42" t="str">
        <f t="shared" si="4"/>
        <v/>
      </c>
    </row>
    <row r="318" spans="11:11" x14ac:dyDescent="0.25">
      <c r="K318" s="42" t="str">
        <f t="shared" si="4"/>
        <v/>
      </c>
    </row>
    <row r="319" spans="11:11" x14ac:dyDescent="0.25">
      <c r="K319" s="42" t="str">
        <f t="shared" si="4"/>
        <v/>
      </c>
    </row>
    <row r="320" spans="11:11" x14ac:dyDescent="0.25">
      <c r="K320" s="42" t="str">
        <f t="shared" si="4"/>
        <v/>
      </c>
    </row>
    <row r="321" spans="11:11" x14ac:dyDescent="0.25">
      <c r="K321" s="42" t="str">
        <f t="shared" si="4"/>
        <v/>
      </c>
    </row>
    <row r="322" spans="11:11" x14ac:dyDescent="0.25">
      <c r="K322" s="42" t="str">
        <f t="shared" si="4"/>
        <v/>
      </c>
    </row>
    <row r="323" spans="11:11" x14ac:dyDescent="0.25">
      <c r="K323" s="42" t="str">
        <f t="shared" si="4"/>
        <v/>
      </c>
    </row>
    <row r="324" spans="11:11" x14ac:dyDescent="0.25">
      <c r="K324" s="42" t="str">
        <f t="shared" si="4"/>
        <v/>
      </c>
    </row>
    <row r="325" spans="11:11" x14ac:dyDescent="0.25">
      <c r="K325" s="42" t="str">
        <f t="shared" ref="K325:K388" si="5">IFERROR(IF(OR(H325="(blank)",H325="grand total"),"",VLOOKUP(H325,AE:AF,2,0)),"")</f>
        <v/>
      </c>
    </row>
    <row r="326" spans="11:11" x14ac:dyDescent="0.25">
      <c r="K326" s="42" t="str">
        <f t="shared" si="5"/>
        <v/>
      </c>
    </row>
    <row r="327" spans="11:11" x14ac:dyDescent="0.25">
      <c r="K327" s="42" t="str">
        <f t="shared" si="5"/>
        <v/>
      </c>
    </row>
    <row r="328" spans="11:11" x14ac:dyDescent="0.25">
      <c r="K328" s="42" t="str">
        <f t="shared" si="5"/>
        <v/>
      </c>
    </row>
    <row r="329" spans="11:11" x14ac:dyDescent="0.25">
      <c r="K329" s="42" t="str">
        <f t="shared" si="5"/>
        <v/>
      </c>
    </row>
    <row r="330" spans="11:11" x14ac:dyDescent="0.25">
      <c r="K330" s="42" t="str">
        <f t="shared" si="5"/>
        <v/>
      </c>
    </row>
    <row r="331" spans="11:11" x14ac:dyDescent="0.25">
      <c r="K331" s="42" t="str">
        <f t="shared" si="5"/>
        <v/>
      </c>
    </row>
    <row r="332" spans="11:11" x14ac:dyDescent="0.25">
      <c r="K332" s="42" t="str">
        <f t="shared" si="5"/>
        <v/>
      </c>
    </row>
    <row r="333" spans="11:11" x14ac:dyDescent="0.25">
      <c r="K333" s="42" t="str">
        <f t="shared" si="5"/>
        <v/>
      </c>
    </row>
    <row r="334" spans="11:11" x14ac:dyDescent="0.25">
      <c r="K334" s="42" t="str">
        <f t="shared" si="5"/>
        <v/>
      </c>
    </row>
    <row r="335" spans="11:11" x14ac:dyDescent="0.25">
      <c r="K335" s="42" t="str">
        <f t="shared" si="5"/>
        <v/>
      </c>
    </row>
    <row r="336" spans="11:11" x14ac:dyDescent="0.25">
      <c r="K336" s="42" t="str">
        <f t="shared" si="5"/>
        <v/>
      </c>
    </row>
    <row r="337" spans="11:11" x14ac:dyDescent="0.25">
      <c r="K337" s="42" t="str">
        <f t="shared" si="5"/>
        <v/>
      </c>
    </row>
    <row r="338" spans="11:11" x14ac:dyDescent="0.25">
      <c r="K338" s="42" t="str">
        <f t="shared" si="5"/>
        <v/>
      </c>
    </row>
    <row r="339" spans="11:11" x14ac:dyDescent="0.25">
      <c r="K339" s="42" t="str">
        <f t="shared" si="5"/>
        <v/>
      </c>
    </row>
    <row r="340" spans="11:11" x14ac:dyDescent="0.25">
      <c r="K340" s="42" t="str">
        <f t="shared" si="5"/>
        <v/>
      </c>
    </row>
    <row r="341" spans="11:11" x14ac:dyDescent="0.25">
      <c r="K341" s="42" t="str">
        <f t="shared" si="5"/>
        <v/>
      </c>
    </row>
    <row r="342" spans="11:11" x14ac:dyDescent="0.25">
      <c r="K342" s="42" t="str">
        <f t="shared" si="5"/>
        <v/>
      </c>
    </row>
    <row r="343" spans="11:11" x14ac:dyDescent="0.25">
      <c r="K343" s="42" t="str">
        <f t="shared" si="5"/>
        <v/>
      </c>
    </row>
    <row r="344" spans="11:11" x14ac:dyDescent="0.25">
      <c r="K344" s="42" t="str">
        <f t="shared" si="5"/>
        <v/>
      </c>
    </row>
    <row r="345" spans="11:11" x14ac:dyDescent="0.25">
      <c r="K345" s="42" t="str">
        <f t="shared" si="5"/>
        <v/>
      </c>
    </row>
    <row r="346" spans="11:11" x14ac:dyDescent="0.25">
      <c r="K346" s="42" t="str">
        <f t="shared" si="5"/>
        <v/>
      </c>
    </row>
    <row r="347" spans="11:11" x14ac:dyDescent="0.25">
      <c r="K347" s="42" t="str">
        <f t="shared" si="5"/>
        <v/>
      </c>
    </row>
    <row r="348" spans="11:11" x14ac:dyDescent="0.25">
      <c r="K348" s="42" t="str">
        <f t="shared" si="5"/>
        <v/>
      </c>
    </row>
    <row r="349" spans="11:11" x14ac:dyDescent="0.25">
      <c r="K349" s="42" t="str">
        <f t="shared" si="5"/>
        <v/>
      </c>
    </row>
    <row r="350" spans="11:11" x14ac:dyDescent="0.25">
      <c r="K350" s="42" t="str">
        <f t="shared" si="5"/>
        <v/>
      </c>
    </row>
    <row r="351" spans="11:11" x14ac:dyDescent="0.25">
      <c r="K351" s="42" t="str">
        <f t="shared" si="5"/>
        <v/>
      </c>
    </row>
    <row r="352" spans="11:11" x14ac:dyDescent="0.25">
      <c r="K352" s="42" t="str">
        <f t="shared" si="5"/>
        <v/>
      </c>
    </row>
    <row r="353" spans="11:11" x14ac:dyDescent="0.25">
      <c r="K353" s="42" t="str">
        <f t="shared" si="5"/>
        <v/>
      </c>
    </row>
    <row r="354" spans="11:11" x14ac:dyDescent="0.25">
      <c r="K354" s="42" t="str">
        <f t="shared" si="5"/>
        <v/>
      </c>
    </row>
    <row r="355" spans="11:11" x14ac:dyDescent="0.25">
      <c r="K355" s="42" t="str">
        <f t="shared" si="5"/>
        <v/>
      </c>
    </row>
    <row r="356" spans="11:11" x14ac:dyDescent="0.25">
      <c r="K356" s="42" t="str">
        <f t="shared" si="5"/>
        <v/>
      </c>
    </row>
    <row r="357" spans="11:11" x14ac:dyDescent="0.25">
      <c r="K357" s="42" t="str">
        <f t="shared" si="5"/>
        <v/>
      </c>
    </row>
    <row r="358" spans="11:11" x14ac:dyDescent="0.25">
      <c r="K358" s="42" t="str">
        <f t="shared" si="5"/>
        <v/>
      </c>
    </row>
    <row r="359" spans="11:11" x14ac:dyDescent="0.25">
      <c r="K359" s="42" t="str">
        <f t="shared" si="5"/>
        <v/>
      </c>
    </row>
    <row r="360" spans="11:11" x14ac:dyDescent="0.25">
      <c r="K360" s="42" t="str">
        <f t="shared" si="5"/>
        <v/>
      </c>
    </row>
    <row r="361" spans="11:11" x14ac:dyDescent="0.25">
      <c r="K361" s="42" t="str">
        <f t="shared" si="5"/>
        <v/>
      </c>
    </row>
    <row r="362" spans="11:11" x14ac:dyDescent="0.25">
      <c r="K362" s="42" t="str">
        <f t="shared" si="5"/>
        <v/>
      </c>
    </row>
    <row r="363" spans="11:11" x14ac:dyDescent="0.25">
      <c r="K363" s="42" t="str">
        <f t="shared" si="5"/>
        <v/>
      </c>
    </row>
    <row r="364" spans="11:11" x14ac:dyDescent="0.25">
      <c r="K364" s="42" t="str">
        <f t="shared" si="5"/>
        <v/>
      </c>
    </row>
    <row r="365" spans="11:11" x14ac:dyDescent="0.25">
      <c r="K365" s="42" t="str">
        <f t="shared" si="5"/>
        <v/>
      </c>
    </row>
    <row r="366" spans="11:11" x14ac:dyDescent="0.25">
      <c r="K366" s="42" t="str">
        <f t="shared" si="5"/>
        <v/>
      </c>
    </row>
    <row r="367" spans="11:11" x14ac:dyDescent="0.25">
      <c r="K367" s="42" t="str">
        <f t="shared" si="5"/>
        <v/>
      </c>
    </row>
    <row r="368" spans="11:11" x14ac:dyDescent="0.25">
      <c r="K368" s="42" t="str">
        <f t="shared" si="5"/>
        <v/>
      </c>
    </row>
    <row r="369" spans="11:11" x14ac:dyDescent="0.25">
      <c r="K369" s="42" t="str">
        <f t="shared" si="5"/>
        <v/>
      </c>
    </row>
    <row r="370" spans="11:11" x14ac:dyDescent="0.25">
      <c r="K370" s="42" t="str">
        <f t="shared" si="5"/>
        <v/>
      </c>
    </row>
    <row r="371" spans="11:11" x14ac:dyDescent="0.25">
      <c r="K371" s="42" t="str">
        <f t="shared" si="5"/>
        <v/>
      </c>
    </row>
    <row r="372" spans="11:11" x14ac:dyDescent="0.25">
      <c r="K372" s="42" t="str">
        <f t="shared" si="5"/>
        <v/>
      </c>
    </row>
    <row r="373" spans="11:11" x14ac:dyDescent="0.25">
      <c r="K373" s="42" t="str">
        <f t="shared" si="5"/>
        <v/>
      </c>
    </row>
    <row r="374" spans="11:11" x14ac:dyDescent="0.25">
      <c r="K374" s="42" t="str">
        <f t="shared" si="5"/>
        <v/>
      </c>
    </row>
    <row r="375" spans="11:11" x14ac:dyDescent="0.25">
      <c r="K375" s="42" t="str">
        <f t="shared" si="5"/>
        <v/>
      </c>
    </row>
    <row r="376" spans="11:11" x14ac:dyDescent="0.25">
      <c r="K376" s="42" t="str">
        <f t="shared" si="5"/>
        <v/>
      </c>
    </row>
    <row r="377" spans="11:11" x14ac:dyDescent="0.25">
      <c r="K377" s="42" t="str">
        <f t="shared" si="5"/>
        <v/>
      </c>
    </row>
    <row r="378" spans="11:11" x14ac:dyDescent="0.25">
      <c r="K378" s="42" t="str">
        <f t="shared" si="5"/>
        <v/>
      </c>
    </row>
    <row r="379" spans="11:11" x14ac:dyDescent="0.25">
      <c r="K379" s="42" t="str">
        <f t="shared" si="5"/>
        <v/>
      </c>
    </row>
    <row r="380" spans="11:11" x14ac:dyDescent="0.25">
      <c r="K380" s="42" t="str">
        <f t="shared" si="5"/>
        <v/>
      </c>
    </row>
    <row r="381" spans="11:11" x14ac:dyDescent="0.25">
      <c r="K381" s="42" t="str">
        <f t="shared" si="5"/>
        <v/>
      </c>
    </row>
    <row r="382" spans="11:11" x14ac:dyDescent="0.25">
      <c r="K382" s="42" t="str">
        <f t="shared" si="5"/>
        <v/>
      </c>
    </row>
    <row r="383" spans="11:11" x14ac:dyDescent="0.25">
      <c r="K383" s="42" t="str">
        <f t="shared" si="5"/>
        <v/>
      </c>
    </row>
    <row r="384" spans="11:11" x14ac:dyDescent="0.25">
      <c r="K384" s="42" t="str">
        <f t="shared" si="5"/>
        <v/>
      </c>
    </row>
    <row r="385" spans="11:11" x14ac:dyDescent="0.25">
      <c r="K385" s="42" t="str">
        <f t="shared" si="5"/>
        <v/>
      </c>
    </row>
    <row r="386" spans="11:11" x14ac:dyDescent="0.25">
      <c r="K386" s="42" t="str">
        <f t="shared" si="5"/>
        <v/>
      </c>
    </row>
    <row r="387" spans="11:11" x14ac:dyDescent="0.25">
      <c r="K387" s="42" t="str">
        <f t="shared" si="5"/>
        <v/>
      </c>
    </row>
    <row r="388" spans="11:11" x14ac:dyDescent="0.25">
      <c r="K388" s="42" t="str">
        <f t="shared" si="5"/>
        <v/>
      </c>
    </row>
    <row r="389" spans="11:11" x14ac:dyDescent="0.25">
      <c r="K389" s="42" t="str">
        <f t="shared" ref="K389:K452" si="6">IFERROR(IF(OR(H389="(blank)",H389="grand total"),"",VLOOKUP(H389,AE:AF,2,0)),"")</f>
        <v/>
      </c>
    </row>
    <row r="390" spans="11:11" x14ac:dyDescent="0.25">
      <c r="K390" s="42" t="str">
        <f t="shared" si="6"/>
        <v/>
      </c>
    </row>
    <row r="391" spans="11:11" x14ac:dyDescent="0.25">
      <c r="K391" s="42" t="str">
        <f t="shared" si="6"/>
        <v/>
      </c>
    </row>
    <row r="392" spans="11:11" x14ac:dyDescent="0.25">
      <c r="K392" s="42" t="str">
        <f t="shared" si="6"/>
        <v/>
      </c>
    </row>
    <row r="393" spans="11:11" x14ac:dyDescent="0.25">
      <c r="K393" s="42" t="str">
        <f t="shared" si="6"/>
        <v/>
      </c>
    </row>
    <row r="394" spans="11:11" x14ac:dyDescent="0.25">
      <c r="K394" s="42" t="str">
        <f t="shared" si="6"/>
        <v/>
      </c>
    </row>
    <row r="395" spans="11:11" x14ac:dyDescent="0.25">
      <c r="K395" s="42" t="str">
        <f t="shared" si="6"/>
        <v/>
      </c>
    </row>
    <row r="396" spans="11:11" x14ac:dyDescent="0.25">
      <c r="K396" s="42" t="str">
        <f t="shared" si="6"/>
        <v/>
      </c>
    </row>
    <row r="397" spans="11:11" x14ac:dyDescent="0.25">
      <c r="K397" s="42" t="str">
        <f t="shared" si="6"/>
        <v/>
      </c>
    </row>
    <row r="398" spans="11:11" x14ac:dyDescent="0.25">
      <c r="K398" s="42" t="str">
        <f t="shared" si="6"/>
        <v/>
      </c>
    </row>
    <row r="399" spans="11:11" x14ac:dyDescent="0.25">
      <c r="K399" s="42" t="str">
        <f t="shared" si="6"/>
        <v/>
      </c>
    </row>
    <row r="400" spans="11:11" x14ac:dyDescent="0.25">
      <c r="K400" s="42" t="str">
        <f t="shared" si="6"/>
        <v/>
      </c>
    </row>
    <row r="401" spans="11:11" x14ac:dyDescent="0.25">
      <c r="K401" s="42" t="str">
        <f t="shared" si="6"/>
        <v/>
      </c>
    </row>
    <row r="402" spans="11:11" x14ac:dyDescent="0.25">
      <c r="K402" s="42" t="str">
        <f t="shared" si="6"/>
        <v/>
      </c>
    </row>
    <row r="403" spans="11:11" x14ac:dyDescent="0.25">
      <c r="K403" s="42" t="str">
        <f t="shared" si="6"/>
        <v/>
      </c>
    </row>
    <row r="404" spans="11:11" x14ac:dyDescent="0.25">
      <c r="K404" s="42" t="str">
        <f t="shared" si="6"/>
        <v/>
      </c>
    </row>
    <row r="405" spans="11:11" x14ac:dyDescent="0.25">
      <c r="K405" s="42" t="str">
        <f t="shared" si="6"/>
        <v/>
      </c>
    </row>
    <row r="406" spans="11:11" x14ac:dyDescent="0.25">
      <c r="K406" s="42" t="str">
        <f t="shared" si="6"/>
        <v/>
      </c>
    </row>
    <row r="407" spans="11:11" x14ac:dyDescent="0.25">
      <c r="K407" s="42" t="str">
        <f t="shared" si="6"/>
        <v/>
      </c>
    </row>
    <row r="408" spans="11:11" x14ac:dyDescent="0.25">
      <c r="K408" s="42" t="str">
        <f t="shared" si="6"/>
        <v/>
      </c>
    </row>
    <row r="409" spans="11:11" x14ac:dyDescent="0.25">
      <c r="K409" s="42" t="str">
        <f t="shared" si="6"/>
        <v/>
      </c>
    </row>
    <row r="410" spans="11:11" x14ac:dyDescent="0.25">
      <c r="K410" s="42" t="str">
        <f t="shared" si="6"/>
        <v/>
      </c>
    </row>
    <row r="411" spans="11:11" x14ac:dyDescent="0.25">
      <c r="K411" s="42" t="str">
        <f t="shared" si="6"/>
        <v/>
      </c>
    </row>
    <row r="412" spans="11:11" x14ac:dyDescent="0.25">
      <c r="K412" s="42" t="str">
        <f t="shared" si="6"/>
        <v/>
      </c>
    </row>
    <row r="413" spans="11:11" x14ac:dyDescent="0.25">
      <c r="K413" s="42" t="str">
        <f t="shared" si="6"/>
        <v/>
      </c>
    </row>
    <row r="414" spans="11:11" x14ac:dyDescent="0.25">
      <c r="K414" s="42" t="str">
        <f t="shared" si="6"/>
        <v/>
      </c>
    </row>
    <row r="415" spans="11:11" x14ac:dyDescent="0.25">
      <c r="K415" s="42" t="str">
        <f t="shared" si="6"/>
        <v/>
      </c>
    </row>
    <row r="416" spans="11:11" x14ac:dyDescent="0.25">
      <c r="K416" s="42" t="str">
        <f t="shared" si="6"/>
        <v/>
      </c>
    </row>
    <row r="417" spans="11:11" x14ac:dyDescent="0.25">
      <c r="K417" s="42" t="str">
        <f t="shared" si="6"/>
        <v/>
      </c>
    </row>
    <row r="418" spans="11:11" x14ac:dyDescent="0.25">
      <c r="K418" s="42" t="str">
        <f t="shared" si="6"/>
        <v/>
      </c>
    </row>
    <row r="419" spans="11:11" x14ac:dyDescent="0.25">
      <c r="K419" s="42" t="str">
        <f t="shared" si="6"/>
        <v/>
      </c>
    </row>
    <row r="420" spans="11:11" x14ac:dyDescent="0.25">
      <c r="K420" s="42" t="str">
        <f t="shared" si="6"/>
        <v/>
      </c>
    </row>
    <row r="421" spans="11:11" x14ac:dyDescent="0.25">
      <c r="K421" s="42" t="str">
        <f t="shared" si="6"/>
        <v/>
      </c>
    </row>
    <row r="422" spans="11:11" x14ac:dyDescent="0.25">
      <c r="K422" s="42" t="str">
        <f t="shared" si="6"/>
        <v/>
      </c>
    </row>
    <row r="423" spans="11:11" x14ac:dyDescent="0.25">
      <c r="K423" s="42" t="str">
        <f t="shared" si="6"/>
        <v/>
      </c>
    </row>
    <row r="424" spans="11:11" x14ac:dyDescent="0.25">
      <c r="K424" s="42" t="str">
        <f t="shared" si="6"/>
        <v/>
      </c>
    </row>
    <row r="425" spans="11:11" x14ac:dyDescent="0.25">
      <c r="K425" s="42" t="str">
        <f t="shared" si="6"/>
        <v/>
      </c>
    </row>
    <row r="426" spans="11:11" x14ac:dyDescent="0.25">
      <c r="K426" s="42" t="str">
        <f t="shared" si="6"/>
        <v/>
      </c>
    </row>
    <row r="427" spans="11:11" x14ac:dyDescent="0.25">
      <c r="K427" s="42" t="str">
        <f t="shared" si="6"/>
        <v/>
      </c>
    </row>
    <row r="428" spans="11:11" x14ac:dyDescent="0.25">
      <c r="K428" s="42" t="str">
        <f t="shared" si="6"/>
        <v/>
      </c>
    </row>
    <row r="429" spans="11:11" x14ac:dyDescent="0.25">
      <c r="K429" s="42" t="str">
        <f t="shared" si="6"/>
        <v/>
      </c>
    </row>
    <row r="430" spans="11:11" x14ac:dyDescent="0.25">
      <c r="K430" s="42" t="str">
        <f t="shared" si="6"/>
        <v/>
      </c>
    </row>
    <row r="431" spans="11:11" x14ac:dyDescent="0.25">
      <c r="K431" s="42" t="str">
        <f t="shared" si="6"/>
        <v/>
      </c>
    </row>
    <row r="432" spans="11:11" x14ac:dyDescent="0.25">
      <c r="K432" s="42" t="str">
        <f t="shared" si="6"/>
        <v/>
      </c>
    </row>
    <row r="433" spans="11:11" x14ac:dyDescent="0.25">
      <c r="K433" s="42" t="str">
        <f t="shared" si="6"/>
        <v/>
      </c>
    </row>
    <row r="434" spans="11:11" x14ac:dyDescent="0.25">
      <c r="K434" s="42" t="str">
        <f t="shared" si="6"/>
        <v/>
      </c>
    </row>
    <row r="435" spans="11:11" x14ac:dyDescent="0.25">
      <c r="K435" s="42" t="str">
        <f t="shared" si="6"/>
        <v/>
      </c>
    </row>
    <row r="436" spans="11:11" x14ac:dyDescent="0.25">
      <c r="K436" s="42" t="str">
        <f t="shared" si="6"/>
        <v/>
      </c>
    </row>
    <row r="437" spans="11:11" x14ac:dyDescent="0.25">
      <c r="K437" s="42" t="str">
        <f t="shared" si="6"/>
        <v/>
      </c>
    </row>
    <row r="438" spans="11:11" x14ac:dyDescent="0.25">
      <c r="K438" s="42" t="str">
        <f t="shared" si="6"/>
        <v/>
      </c>
    </row>
    <row r="439" spans="11:11" x14ac:dyDescent="0.25">
      <c r="K439" s="42" t="str">
        <f t="shared" si="6"/>
        <v/>
      </c>
    </row>
    <row r="440" spans="11:11" x14ac:dyDescent="0.25">
      <c r="K440" s="42" t="str">
        <f t="shared" si="6"/>
        <v/>
      </c>
    </row>
    <row r="441" spans="11:11" x14ac:dyDescent="0.25">
      <c r="K441" s="42" t="str">
        <f t="shared" si="6"/>
        <v/>
      </c>
    </row>
    <row r="442" spans="11:11" x14ac:dyDescent="0.25">
      <c r="K442" s="42" t="str">
        <f t="shared" si="6"/>
        <v/>
      </c>
    </row>
    <row r="443" spans="11:11" x14ac:dyDescent="0.25">
      <c r="K443" s="42" t="str">
        <f t="shared" si="6"/>
        <v/>
      </c>
    </row>
    <row r="444" spans="11:11" x14ac:dyDescent="0.25">
      <c r="K444" s="42" t="str">
        <f t="shared" si="6"/>
        <v/>
      </c>
    </row>
    <row r="445" spans="11:11" x14ac:dyDescent="0.25">
      <c r="K445" s="42" t="str">
        <f t="shared" si="6"/>
        <v/>
      </c>
    </row>
    <row r="446" spans="11:11" x14ac:dyDescent="0.25">
      <c r="K446" s="42" t="str">
        <f t="shared" si="6"/>
        <v/>
      </c>
    </row>
    <row r="447" spans="11:11" x14ac:dyDescent="0.25">
      <c r="K447" s="42" t="str">
        <f t="shared" si="6"/>
        <v/>
      </c>
    </row>
    <row r="448" spans="11:11" x14ac:dyDescent="0.25">
      <c r="K448" s="42" t="str">
        <f t="shared" si="6"/>
        <v/>
      </c>
    </row>
    <row r="449" spans="11:11" x14ac:dyDescent="0.25">
      <c r="K449" s="42" t="str">
        <f t="shared" si="6"/>
        <v/>
      </c>
    </row>
    <row r="450" spans="11:11" x14ac:dyDescent="0.25">
      <c r="K450" s="42" t="str">
        <f t="shared" si="6"/>
        <v/>
      </c>
    </row>
    <row r="451" spans="11:11" x14ac:dyDescent="0.25">
      <c r="K451" s="42" t="str">
        <f t="shared" si="6"/>
        <v/>
      </c>
    </row>
    <row r="452" spans="11:11" x14ac:dyDescent="0.25">
      <c r="K452" s="42" t="str">
        <f t="shared" si="6"/>
        <v/>
      </c>
    </row>
    <row r="453" spans="11:11" x14ac:dyDescent="0.25">
      <c r="K453" s="42" t="str">
        <f t="shared" ref="K453:K516" si="7">IFERROR(IF(OR(H453="(blank)",H453="grand total"),"",VLOOKUP(H453,AE:AF,2,0)),"")</f>
        <v/>
      </c>
    </row>
    <row r="454" spans="11:11" x14ac:dyDescent="0.25">
      <c r="K454" s="42" t="str">
        <f t="shared" si="7"/>
        <v/>
      </c>
    </row>
    <row r="455" spans="11:11" x14ac:dyDescent="0.25">
      <c r="K455" s="42" t="str">
        <f t="shared" si="7"/>
        <v/>
      </c>
    </row>
    <row r="456" spans="11:11" x14ac:dyDescent="0.25">
      <c r="K456" s="42" t="str">
        <f t="shared" si="7"/>
        <v/>
      </c>
    </row>
    <row r="457" spans="11:11" x14ac:dyDescent="0.25">
      <c r="K457" s="42" t="str">
        <f t="shared" si="7"/>
        <v/>
      </c>
    </row>
    <row r="458" spans="11:11" x14ac:dyDescent="0.25">
      <c r="K458" s="42" t="str">
        <f t="shared" si="7"/>
        <v/>
      </c>
    </row>
    <row r="459" spans="11:11" x14ac:dyDescent="0.25">
      <c r="K459" s="42" t="str">
        <f t="shared" si="7"/>
        <v/>
      </c>
    </row>
    <row r="460" spans="11:11" x14ac:dyDescent="0.25">
      <c r="K460" s="42" t="str">
        <f t="shared" si="7"/>
        <v/>
      </c>
    </row>
    <row r="461" spans="11:11" x14ac:dyDescent="0.25">
      <c r="K461" s="42" t="str">
        <f t="shared" si="7"/>
        <v/>
      </c>
    </row>
    <row r="462" spans="11:11" x14ac:dyDescent="0.25">
      <c r="K462" s="42" t="str">
        <f t="shared" si="7"/>
        <v/>
      </c>
    </row>
    <row r="463" spans="11:11" x14ac:dyDescent="0.25">
      <c r="K463" s="42" t="str">
        <f t="shared" si="7"/>
        <v/>
      </c>
    </row>
    <row r="464" spans="11:11" x14ac:dyDescent="0.25">
      <c r="K464" s="42" t="str">
        <f t="shared" si="7"/>
        <v/>
      </c>
    </row>
    <row r="465" spans="11:11" x14ac:dyDescent="0.25">
      <c r="K465" s="42" t="str">
        <f t="shared" si="7"/>
        <v/>
      </c>
    </row>
    <row r="466" spans="11:11" x14ac:dyDescent="0.25">
      <c r="K466" s="42" t="str">
        <f t="shared" si="7"/>
        <v/>
      </c>
    </row>
    <row r="467" spans="11:11" x14ac:dyDescent="0.25">
      <c r="K467" s="42" t="str">
        <f t="shared" si="7"/>
        <v/>
      </c>
    </row>
    <row r="468" spans="11:11" x14ac:dyDescent="0.25">
      <c r="K468" s="42" t="str">
        <f t="shared" si="7"/>
        <v/>
      </c>
    </row>
    <row r="469" spans="11:11" x14ac:dyDescent="0.25">
      <c r="K469" s="42" t="str">
        <f t="shared" si="7"/>
        <v/>
      </c>
    </row>
    <row r="470" spans="11:11" x14ac:dyDescent="0.25">
      <c r="K470" s="42" t="str">
        <f t="shared" si="7"/>
        <v/>
      </c>
    </row>
    <row r="471" spans="11:11" x14ac:dyDescent="0.25">
      <c r="K471" s="42" t="str">
        <f t="shared" si="7"/>
        <v/>
      </c>
    </row>
    <row r="472" spans="11:11" x14ac:dyDescent="0.25">
      <c r="K472" s="42" t="str">
        <f t="shared" si="7"/>
        <v/>
      </c>
    </row>
    <row r="473" spans="11:11" x14ac:dyDescent="0.25">
      <c r="K473" s="42" t="str">
        <f t="shared" si="7"/>
        <v/>
      </c>
    </row>
    <row r="474" spans="11:11" x14ac:dyDescent="0.25">
      <c r="K474" s="42" t="str">
        <f t="shared" si="7"/>
        <v/>
      </c>
    </row>
    <row r="475" spans="11:11" x14ac:dyDescent="0.25">
      <c r="K475" s="42" t="str">
        <f t="shared" si="7"/>
        <v/>
      </c>
    </row>
    <row r="476" spans="11:11" x14ac:dyDescent="0.25">
      <c r="K476" s="42" t="str">
        <f t="shared" si="7"/>
        <v/>
      </c>
    </row>
    <row r="477" spans="11:11" x14ac:dyDescent="0.25">
      <c r="K477" s="42" t="str">
        <f t="shared" si="7"/>
        <v/>
      </c>
    </row>
    <row r="478" spans="11:11" x14ac:dyDescent="0.25">
      <c r="K478" s="42" t="str">
        <f t="shared" si="7"/>
        <v/>
      </c>
    </row>
    <row r="479" spans="11:11" x14ac:dyDescent="0.25">
      <c r="K479" s="42" t="str">
        <f t="shared" si="7"/>
        <v/>
      </c>
    </row>
    <row r="480" spans="11:11" x14ac:dyDescent="0.25">
      <c r="K480" s="42" t="str">
        <f t="shared" si="7"/>
        <v/>
      </c>
    </row>
    <row r="481" spans="11:11" x14ac:dyDescent="0.25">
      <c r="K481" s="42" t="str">
        <f t="shared" si="7"/>
        <v/>
      </c>
    </row>
    <row r="482" spans="11:11" x14ac:dyDescent="0.25">
      <c r="K482" s="42" t="str">
        <f t="shared" si="7"/>
        <v/>
      </c>
    </row>
    <row r="483" spans="11:11" x14ac:dyDescent="0.25">
      <c r="K483" s="42" t="str">
        <f t="shared" si="7"/>
        <v/>
      </c>
    </row>
    <row r="484" spans="11:11" x14ac:dyDescent="0.25">
      <c r="K484" s="42" t="str">
        <f t="shared" si="7"/>
        <v/>
      </c>
    </row>
    <row r="485" spans="11:11" x14ac:dyDescent="0.25">
      <c r="K485" s="42" t="str">
        <f t="shared" si="7"/>
        <v/>
      </c>
    </row>
    <row r="486" spans="11:11" x14ac:dyDescent="0.25">
      <c r="K486" s="42" t="str">
        <f t="shared" si="7"/>
        <v/>
      </c>
    </row>
    <row r="487" spans="11:11" x14ac:dyDescent="0.25">
      <c r="K487" s="42" t="str">
        <f t="shared" si="7"/>
        <v/>
      </c>
    </row>
    <row r="488" spans="11:11" x14ac:dyDescent="0.25">
      <c r="K488" s="42" t="str">
        <f t="shared" si="7"/>
        <v/>
      </c>
    </row>
    <row r="489" spans="11:11" x14ac:dyDescent="0.25">
      <c r="K489" s="42" t="str">
        <f t="shared" si="7"/>
        <v/>
      </c>
    </row>
    <row r="490" spans="11:11" x14ac:dyDescent="0.25">
      <c r="K490" s="42" t="str">
        <f t="shared" si="7"/>
        <v/>
      </c>
    </row>
    <row r="491" spans="11:11" x14ac:dyDescent="0.25">
      <c r="K491" s="42" t="str">
        <f t="shared" si="7"/>
        <v/>
      </c>
    </row>
    <row r="492" spans="11:11" x14ac:dyDescent="0.25">
      <c r="K492" s="42" t="str">
        <f t="shared" si="7"/>
        <v/>
      </c>
    </row>
    <row r="493" spans="11:11" x14ac:dyDescent="0.25">
      <c r="K493" s="42" t="str">
        <f t="shared" si="7"/>
        <v/>
      </c>
    </row>
    <row r="494" spans="11:11" x14ac:dyDescent="0.25">
      <c r="K494" s="42" t="str">
        <f t="shared" si="7"/>
        <v/>
      </c>
    </row>
    <row r="495" spans="11:11" x14ac:dyDescent="0.25">
      <c r="K495" s="42" t="str">
        <f t="shared" si="7"/>
        <v/>
      </c>
    </row>
    <row r="496" spans="11:11" x14ac:dyDescent="0.25">
      <c r="K496" s="42" t="str">
        <f t="shared" si="7"/>
        <v/>
      </c>
    </row>
    <row r="497" spans="11:11" x14ac:dyDescent="0.25">
      <c r="K497" s="42" t="str">
        <f t="shared" si="7"/>
        <v/>
      </c>
    </row>
    <row r="498" spans="11:11" x14ac:dyDescent="0.25">
      <c r="K498" s="42" t="str">
        <f t="shared" si="7"/>
        <v/>
      </c>
    </row>
    <row r="499" spans="11:11" x14ac:dyDescent="0.25">
      <c r="K499" s="42" t="str">
        <f t="shared" si="7"/>
        <v/>
      </c>
    </row>
    <row r="500" spans="11:11" x14ac:dyDescent="0.25">
      <c r="K500" s="42" t="str">
        <f t="shared" si="7"/>
        <v/>
      </c>
    </row>
    <row r="501" spans="11:11" x14ac:dyDescent="0.25">
      <c r="K501" s="42" t="str">
        <f t="shared" si="7"/>
        <v/>
      </c>
    </row>
    <row r="502" spans="11:11" x14ac:dyDescent="0.25">
      <c r="K502" s="42" t="str">
        <f t="shared" si="7"/>
        <v/>
      </c>
    </row>
    <row r="503" spans="11:11" x14ac:dyDescent="0.25">
      <c r="K503" s="42" t="str">
        <f t="shared" si="7"/>
        <v/>
      </c>
    </row>
    <row r="504" spans="11:11" x14ac:dyDescent="0.25">
      <c r="K504" s="42" t="str">
        <f t="shared" si="7"/>
        <v/>
      </c>
    </row>
    <row r="505" spans="11:11" x14ac:dyDescent="0.25">
      <c r="K505" s="42" t="str">
        <f t="shared" si="7"/>
        <v/>
      </c>
    </row>
    <row r="506" spans="11:11" x14ac:dyDescent="0.25">
      <c r="K506" s="42" t="str">
        <f t="shared" si="7"/>
        <v/>
      </c>
    </row>
    <row r="507" spans="11:11" x14ac:dyDescent="0.25">
      <c r="K507" s="42" t="str">
        <f t="shared" si="7"/>
        <v/>
      </c>
    </row>
    <row r="508" spans="11:11" x14ac:dyDescent="0.25">
      <c r="K508" s="42" t="str">
        <f t="shared" si="7"/>
        <v/>
      </c>
    </row>
    <row r="509" spans="11:11" x14ac:dyDescent="0.25">
      <c r="K509" s="42" t="str">
        <f t="shared" si="7"/>
        <v/>
      </c>
    </row>
    <row r="510" spans="11:11" x14ac:dyDescent="0.25">
      <c r="K510" s="42" t="str">
        <f t="shared" si="7"/>
        <v/>
      </c>
    </row>
    <row r="511" spans="11:11" x14ac:dyDescent="0.25">
      <c r="K511" s="42" t="str">
        <f t="shared" si="7"/>
        <v/>
      </c>
    </row>
    <row r="512" spans="11:11" x14ac:dyDescent="0.25">
      <c r="K512" s="42" t="str">
        <f t="shared" si="7"/>
        <v/>
      </c>
    </row>
    <row r="513" spans="11:11" x14ac:dyDescent="0.25">
      <c r="K513" s="42" t="str">
        <f t="shared" si="7"/>
        <v/>
      </c>
    </row>
    <row r="514" spans="11:11" x14ac:dyDescent="0.25">
      <c r="K514" s="42" t="str">
        <f t="shared" si="7"/>
        <v/>
      </c>
    </row>
    <row r="515" spans="11:11" x14ac:dyDescent="0.25">
      <c r="K515" s="42" t="str">
        <f t="shared" si="7"/>
        <v/>
      </c>
    </row>
    <row r="516" spans="11:11" x14ac:dyDescent="0.25">
      <c r="K516" s="42" t="str">
        <f t="shared" si="7"/>
        <v/>
      </c>
    </row>
    <row r="517" spans="11:11" x14ac:dyDescent="0.25">
      <c r="K517" s="42" t="str">
        <f t="shared" ref="K517:K580" si="8">IFERROR(IF(OR(H517="(blank)",H517="grand total"),"",VLOOKUP(H517,AE:AF,2,0)),"")</f>
        <v/>
      </c>
    </row>
    <row r="518" spans="11:11" x14ac:dyDescent="0.25">
      <c r="K518" s="42" t="str">
        <f t="shared" si="8"/>
        <v/>
      </c>
    </row>
    <row r="519" spans="11:11" x14ac:dyDescent="0.25">
      <c r="K519" s="42" t="str">
        <f t="shared" si="8"/>
        <v/>
      </c>
    </row>
    <row r="520" spans="11:11" x14ac:dyDescent="0.25">
      <c r="K520" s="42" t="str">
        <f t="shared" si="8"/>
        <v/>
      </c>
    </row>
    <row r="521" spans="11:11" x14ac:dyDescent="0.25">
      <c r="K521" s="42" t="str">
        <f t="shared" si="8"/>
        <v/>
      </c>
    </row>
    <row r="522" spans="11:11" x14ac:dyDescent="0.25">
      <c r="K522" s="42" t="str">
        <f t="shared" si="8"/>
        <v/>
      </c>
    </row>
    <row r="523" spans="11:11" x14ac:dyDescent="0.25">
      <c r="K523" s="42" t="str">
        <f t="shared" si="8"/>
        <v/>
      </c>
    </row>
    <row r="524" spans="11:11" x14ac:dyDescent="0.25">
      <c r="K524" s="42" t="str">
        <f t="shared" si="8"/>
        <v/>
      </c>
    </row>
    <row r="525" spans="11:11" x14ac:dyDescent="0.25">
      <c r="K525" s="42" t="str">
        <f t="shared" si="8"/>
        <v/>
      </c>
    </row>
    <row r="526" spans="11:11" x14ac:dyDescent="0.25">
      <c r="K526" s="42" t="str">
        <f t="shared" si="8"/>
        <v/>
      </c>
    </row>
    <row r="527" spans="11:11" x14ac:dyDescent="0.25">
      <c r="K527" s="42" t="str">
        <f t="shared" si="8"/>
        <v/>
      </c>
    </row>
    <row r="528" spans="11:11" x14ac:dyDescent="0.25">
      <c r="K528" s="42" t="str">
        <f t="shared" si="8"/>
        <v/>
      </c>
    </row>
    <row r="529" spans="11:11" x14ac:dyDescent="0.25">
      <c r="K529" s="42" t="str">
        <f t="shared" si="8"/>
        <v/>
      </c>
    </row>
    <row r="530" spans="11:11" x14ac:dyDescent="0.25">
      <c r="K530" s="42" t="str">
        <f t="shared" si="8"/>
        <v/>
      </c>
    </row>
    <row r="531" spans="11:11" x14ac:dyDescent="0.25">
      <c r="K531" s="42" t="str">
        <f t="shared" si="8"/>
        <v/>
      </c>
    </row>
    <row r="532" spans="11:11" x14ac:dyDescent="0.25">
      <c r="K532" s="42" t="str">
        <f t="shared" si="8"/>
        <v/>
      </c>
    </row>
    <row r="533" spans="11:11" x14ac:dyDescent="0.25">
      <c r="K533" s="42" t="str">
        <f t="shared" si="8"/>
        <v/>
      </c>
    </row>
    <row r="534" spans="11:11" x14ac:dyDescent="0.25">
      <c r="K534" s="42" t="str">
        <f t="shared" si="8"/>
        <v/>
      </c>
    </row>
    <row r="535" spans="11:11" x14ac:dyDescent="0.25">
      <c r="K535" s="42" t="str">
        <f t="shared" si="8"/>
        <v/>
      </c>
    </row>
    <row r="536" spans="11:11" x14ac:dyDescent="0.25">
      <c r="K536" s="42" t="str">
        <f t="shared" si="8"/>
        <v/>
      </c>
    </row>
    <row r="537" spans="11:11" x14ac:dyDescent="0.25">
      <c r="K537" s="42" t="str">
        <f t="shared" si="8"/>
        <v/>
      </c>
    </row>
    <row r="538" spans="11:11" x14ac:dyDescent="0.25">
      <c r="K538" s="42" t="str">
        <f t="shared" si="8"/>
        <v/>
      </c>
    </row>
    <row r="539" spans="11:11" x14ac:dyDescent="0.25">
      <c r="K539" s="42" t="str">
        <f t="shared" si="8"/>
        <v/>
      </c>
    </row>
    <row r="540" spans="11:11" x14ac:dyDescent="0.25">
      <c r="K540" s="42" t="str">
        <f t="shared" si="8"/>
        <v/>
      </c>
    </row>
    <row r="541" spans="11:11" x14ac:dyDescent="0.25">
      <c r="K541" s="42" t="str">
        <f t="shared" si="8"/>
        <v/>
      </c>
    </row>
    <row r="542" spans="11:11" x14ac:dyDescent="0.25">
      <c r="K542" s="42" t="str">
        <f t="shared" si="8"/>
        <v/>
      </c>
    </row>
    <row r="543" spans="11:11" x14ac:dyDescent="0.25">
      <c r="K543" s="42" t="str">
        <f t="shared" si="8"/>
        <v/>
      </c>
    </row>
    <row r="544" spans="11:11" x14ac:dyDescent="0.25">
      <c r="K544" s="42" t="str">
        <f t="shared" si="8"/>
        <v/>
      </c>
    </row>
    <row r="545" spans="11:11" x14ac:dyDescent="0.25">
      <c r="K545" s="42" t="str">
        <f t="shared" si="8"/>
        <v/>
      </c>
    </row>
    <row r="546" spans="11:11" x14ac:dyDescent="0.25">
      <c r="K546" s="42" t="str">
        <f t="shared" si="8"/>
        <v/>
      </c>
    </row>
    <row r="547" spans="11:11" x14ac:dyDescent="0.25">
      <c r="K547" s="42" t="str">
        <f t="shared" si="8"/>
        <v/>
      </c>
    </row>
    <row r="548" spans="11:11" x14ac:dyDescent="0.25">
      <c r="K548" s="42" t="str">
        <f t="shared" si="8"/>
        <v/>
      </c>
    </row>
    <row r="549" spans="11:11" x14ac:dyDescent="0.25">
      <c r="K549" s="42" t="str">
        <f t="shared" si="8"/>
        <v/>
      </c>
    </row>
    <row r="550" spans="11:11" x14ac:dyDescent="0.25">
      <c r="K550" s="42" t="str">
        <f t="shared" si="8"/>
        <v/>
      </c>
    </row>
    <row r="551" spans="11:11" x14ac:dyDescent="0.25">
      <c r="K551" s="42" t="str">
        <f t="shared" si="8"/>
        <v/>
      </c>
    </row>
    <row r="552" spans="11:11" x14ac:dyDescent="0.25">
      <c r="K552" s="42" t="str">
        <f t="shared" si="8"/>
        <v/>
      </c>
    </row>
    <row r="553" spans="11:11" x14ac:dyDescent="0.25">
      <c r="K553" s="42" t="str">
        <f t="shared" si="8"/>
        <v/>
      </c>
    </row>
    <row r="554" spans="11:11" x14ac:dyDescent="0.25">
      <c r="K554" s="42" t="str">
        <f t="shared" si="8"/>
        <v/>
      </c>
    </row>
    <row r="555" spans="11:11" x14ac:dyDescent="0.25">
      <c r="K555" s="42" t="str">
        <f t="shared" si="8"/>
        <v/>
      </c>
    </row>
    <row r="556" spans="11:11" x14ac:dyDescent="0.25">
      <c r="K556" s="42" t="str">
        <f t="shared" si="8"/>
        <v/>
      </c>
    </row>
    <row r="557" spans="11:11" x14ac:dyDescent="0.25">
      <c r="K557" s="42" t="str">
        <f t="shared" si="8"/>
        <v/>
      </c>
    </row>
    <row r="558" spans="11:11" x14ac:dyDescent="0.25">
      <c r="K558" s="42" t="str">
        <f t="shared" si="8"/>
        <v/>
      </c>
    </row>
    <row r="559" spans="11:11" x14ac:dyDescent="0.25">
      <c r="K559" s="42" t="str">
        <f t="shared" si="8"/>
        <v/>
      </c>
    </row>
    <row r="560" spans="11:11" x14ac:dyDescent="0.25">
      <c r="K560" s="42" t="str">
        <f t="shared" si="8"/>
        <v/>
      </c>
    </row>
    <row r="561" spans="11:11" x14ac:dyDescent="0.25">
      <c r="K561" s="42" t="str">
        <f t="shared" si="8"/>
        <v/>
      </c>
    </row>
    <row r="562" spans="11:11" x14ac:dyDescent="0.25">
      <c r="K562" s="42" t="str">
        <f t="shared" si="8"/>
        <v/>
      </c>
    </row>
    <row r="563" spans="11:11" x14ac:dyDescent="0.25">
      <c r="K563" s="42" t="str">
        <f t="shared" si="8"/>
        <v/>
      </c>
    </row>
    <row r="564" spans="11:11" x14ac:dyDescent="0.25">
      <c r="K564" s="42" t="str">
        <f t="shared" si="8"/>
        <v/>
      </c>
    </row>
    <row r="565" spans="11:11" x14ac:dyDescent="0.25">
      <c r="K565" s="42" t="str">
        <f t="shared" si="8"/>
        <v/>
      </c>
    </row>
    <row r="566" spans="11:11" x14ac:dyDescent="0.25">
      <c r="K566" s="42" t="str">
        <f t="shared" si="8"/>
        <v/>
      </c>
    </row>
    <row r="567" spans="11:11" x14ac:dyDescent="0.25">
      <c r="K567" s="42" t="str">
        <f t="shared" si="8"/>
        <v/>
      </c>
    </row>
    <row r="568" spans="11:11" x14ac:dyDescent="0.25">
      <c r="K568" s="42" t="str">
        <f t="shared" si="8"/>
        <v/>
      </c>
    </row>
    <row r="569" spans="11:11" x14ac:dyDescent="0.25">
      <c r="K569" s="42" t="str">
        <f t="shared" si="8"/>
        <v/>
      </c>
    </row>
    <row r="570" spans="11:11" x14ac:dyDescent="0.25">
      <c r="K570" s="42" t="str">
        <f t="shared" si="8"/>
        <v/>
      </c>
    </row>
    <row r="571" spans="11:11" x14ac:dyDescent="0.25">
      <c r="K571" s="42" t="str">
        <f t="shared" si="8"/>
        <v/>
      </c>
    </row>
    <row r="572" spans="11:11" x14ac:dyDescent="0.25">
      <c r="K572" s="42" t="str">
        <f t="shared" si="8"/>
        <v/>
      </c>
    </row>
    <row r="573" spans="11:11" x14ac:dyDescent="0.25">
      <c r="K573" s="42" t="str">
        <f t="shared" si="8"/>
        <v/>
      </c>
    </row>
    <row r="574" spans="11:11" x14ac:dyDescent="0.25">
      <c r="K574" s="42" t="str">
        <f t="shared" si="8"/>
        <v/>
      </c>
    </row>
    <row r="575" spans="11:11" x14ac:dyDescent="0.25">
      <c r="K575" s="42" t="str">
        <f t="shared" si="8"/>
        <v/>
      </c>
    </row>
    <row r="576" spans="11:11" x14ac:dyDescent="0.25">
      <c r="K576" s="42" t="str">
        <f t="shared" si="8"/>
        <v/>
      </c>
    </row>
    <row r="577" spans="11:11" x14ac:dyDescent="0.25">
      <c r="K577" s="42" t="str">
        <f t="shared" si="8"/>
        <v/>
      </c>
    </row>
    <row r="578" spans="11:11" x14ac:dyDescent="0.25">
      <c r="K578" s="42" t="str">
        <f t="shared" si="8"/>
        <v/>
      </c>
    </row>
    <row r="579" spans="11:11" x14ac:dyDescent="0.25">
      <c r="K579" s="42" t="str">
        <f t="shared" si="8"/>
        <v/>
      </c>
    </row>
    <row r="580" spans="11:11" x14ac:dyDescent="0.25">
      <c r="K580" s="42" t="str">
        <f t="shared" si="8"/>
        <v/>
      </c>
    </row>
    <row r="581" spans="11:11" x14ac:dyDescent="0.25">
      <c r="K581" s="42" t="str">
        <f t="shared" ref="K581:K644" si="9">IFERROR(IF(OR(H581="(blank)",H581="grand total"),"",VLOOKUP(H581,AE:AF,2,0)),"")</f>
        <v/>
      </c>
    </row>
    <row r="582" spans="11:11" x14ac:dyDescent="0.25">
      <c r="K582" s="42" t="str">
        <f t="shared" si="9"/>
        <v/>
      </c>
    </row>
    <row r="583" spans="11:11" x14ac:dyDescent="0.25">
      <c r="K583" s="42" t="str">
        <f t="shared" si="9"/>
        <v/>
      </c>
    </row>
    <row r="584" spans="11:11" x14ac:dyDescent="0.25">
      <c r="K584" s="42" t="str">
        <f t="shared" si="9"/>
        <v/>
      </c>
    </row>
    <row r="585" spans="11:11" x14ac:dyDescent="0.25">
      <c r="K585" s="42" t="str">
        <f t="shared" si="9"/>
        <v/>
      </c>
    </row>
    <row r="586" spans="11:11" x14ac:dyDescent="0.25">
      <c r="K586" s="42" t="str">
        <f t="shared" si="9"/>
        <v/>
      </c>
    </row>
    <row r="587" spans="11:11" x14ac:dyDescent="0.25">
      <c r="K587" s="42" t="str">
        <f t="shared" si="9"/>
        <v/>
      </c>
    </row>
    <row r="588" spans="11:11" x14ac:dyDescent="0.25">
      <c r="K588" s="42" t="str">
        <f t="shared" si="9"/>
        <v/>
      </c>
    </row>
    <row r="589" spans="11:11" x14ac:dyDescent="0.25">
      <c r="K589" s="42" t="str">
        <f t="shared" si="9"/>
        <v/>
      </c>
    </row>
    <row r="590" spans="11:11" x14ac:dyDescent="0.25">
      <c r="K590" s="42" t="str">
        <f t="shared" si="9"/>
        <v/>
      </c>
    </row>
    <row r="591" spans="11:11" x14ac:dyDescent="0.25">
      <c r="K591" s="42" t="str">
        <f t="shared" si="9"/>
        <v/>
      </c>
    </row>
    <row r="592" spans="11:11" x14ac:dyDescent="0.25">
      <c r="K592" s="42" t="str">
        <f t="shared" si="9"/>
        <v/>
      </c>
    </row>
    <row r="593" spans="11:11" x14ac:dyDescent="0.25">
      <c r="K593" s="42" t="str">
        <f t="shared" si="9"/>
        <v/>
      </c>
    </row>
    <row r="594" spans="11:11" x14ac:dyDescent="0.25">
      <c r="K594" s="42" t="str">
        <f t="shared" si="9"/>
        <v/>
      </c>
    </row>
    <row r="595" spans="11:11" x14ac:dyDescent="0.25">
      <c r="K595" s="42" t="str">
        <f t="shared" si="9"/>
        <v/>
      </c>
    </row>
    <row r="596" spans="11:11" x14ac:dyDescent="0.25">
      <c r="K596" s="42" t="str">
        <f t="shared" si="9"/>
        <v/>
      </c>
    </row>
    <row r="597" spans="11:11" x14ac:dyDescent="0.25">
      <c r="K597" s="42" t="str">
        <f t="shared" si="9"/>
        <v/>
      </c>
    </row>
    <row r="598" spans="11:11" x14ac:dyDescent="0.25">
      <c r="K598" s="42" t="str">
        <f t="shared" si="9"/>
        <v/>
      </c>
    </row>
    <row r="599" spans="11:11" x14ac:dyDescent="0.25">
      <c r="K599" s="42" t="str">
        <f t="shared" si="9"/>
        <v/>
      </c>
    </row>
    <row r="600" spans="11:11" x14ac:dyDescent="0.25">
      <c r="K600" s="42" t="str">
        <f t="shared" si="9"/>
        <v/>
      </c>
    </row>
    <row r="601" spans="11:11" x14ac:dyDescent="0.25">
      <c r="K601" s="42" t="str">
        <f t="shared" si="9"/>
        <v/>
      </c>
    </row>
    <row r="602" spans="11:11" x14ac:dyDescent="0.25">
      <c r="K602" s="42" t="str">
        <f t="shared" si="9"/>
        <v/>
      </c>
    </row>
    <row r="603" spans="11:11" x14ac:dyDescent="0.25">
      <c r="K603" s="42" t="str">
        <f t="shared" si="9"/>
        <v/>
      </c>
    </row>
    <row r="604" spans="11:11" x14ac:dyDescent="0.25">
      <c r="K604" s="42" t="str">
        <f t="shared" si="9"/>
        <v/>
      </c>
    </row>
    <row r="605" spans="11:11" x14ac:dyDescent="0.25">
      <c r="K605" s="42" t="str">
        <f t="shared" si="9"/>
        <v/>
      </c>
    </row>
    <row r="606" spans="11:11" x14ac:dyDescent="0.25">
      <c r="K606" s="42" t="str">
        <f t="shared" si="9"/>
        <v/>
      </c>
    </row>
    <row r="607" spans="11:11" x14ac:dyDescent="0.25">
      <c r="K607" s="42" t="str">
        <f t="shared" si="9"/>
        <v/>
      </c>
    </row>
    <row r="608" spans="11:11" x14ac:dyDescent="0.25">
      <c r="K608" s="42" t="str">
        <f t="shared" si="9"/>
        <v/>
      </c>
    </row>
    <row r="609" spans="11:11" x14ac:dyDescent="0.25">
      <c r="K609" s="42" t="str">
        <f t="shared" si="9"/>
        <v/>
      </c>
    </row>
    <row r="610" spans="11:11" x14ac:dyDescent="0.25">
      <c r="K610" s="42" t="str">
        <f t="shared" si="9"/>
        <v/>
      </c>
    </row>
    <row r="611" spans="11:11" x14ac:dyDescent="0.25">
      <c r="K611" s="42" t="str">
        <f t="shared" si="9"/>
        <v/>
      </c>
    </row>
    <row r="612" spans="11:11" x14ac:dyDescent="0.25">
      <c r="K612" s="42" t="str">
        <f t="shared" si="9"/>
        <v/>
      </c>
    </row>
    <row r="613" spans="11:11" x14ac:dyDescent="0.25">
      <c r="K613" s="42" t="str">
        <f t="shared" si="9"/>
        <v/>
      </c>
    </row>
    <row r="614" spans="11:11" x14ac:dyDescent="0.25">
      <c r="K614" s="42" t="str">
        <f t="shared" si="9"/>
        <v/>
      </c>
    </row>
    <row r="615" spans="11:11" x14ac:dyDescent="0.25">
      <c r="K615" s="42" t="str">
        <f t="shared" si="9"/>
        <v/>
      </c>
    </row>
    <row r="616" spans="11:11" x14ac:dyDescent="0.25">
      <c r="K616" s="42" t="str">
        <f t="shared" si="9"/>
        <v/>
      </c>
    </row>
    <row r="617" spans="11:11" x14ac:dyDescent="0.25">
      <c r="K617" s="42" t="str">
        <f t="shared" si="9"/>
        <v/>
      </c>
    </row>
    <row r="618" spans="11:11" x14ac:dyDescent="0.25">
      <c r="K618" s="42" t="str">
        <f t="shared" si="9"/>
        <v/>
      </c>
    </row>
    <row r="619" spans="11:11" x14ac:dyDescent="0.25">
      <c r="K619" s="42" t="str">
        <f t="shared" si="9"/>
        <v/>
      </c>
    </row>
    <row r="620" spans="11:11" x14ac:dyDescent="0.25">
      <c r="K620" s="42" t="str">
        <f t="shared" si="9"/>
        <v/>
      </c>
    </row>
    <row r="621" spans="11:11" x14ac:dyDescent="0.25">
      <c r="K621" s="42" t="str">
        <f t="shared" si="9"/>
        <v/>
      </c>
    </row>
    <row r="622" spans="11:11" x14ac:dyDescent="0.25">
      <c r="K622" s="42" t="str">
        <f t="shared" si="9"/>
        <v/>
      </c>
    </row>
    <row r="623" spans="11:11" x14ac:dyDescent="0.25">
      <c r="K623" s="42" t="str">
        <f t="shared" si="9"/>
        <v/>
      </c>
    </row>
    <row r="624" spans="11:11" x14ac:dyDescent="0.25">
      <c r="K624" s="42" t="str">
        <f t="shared" si="9"/>
        <v/>
      </c>
    </row>
    <row r="625" spans="11:11" x14ac:dyDescent="0.25">
      <c r="K625" s="42" t="str">
        <f t="shared" si="9"/>
        <v/>
      </c>
    </row>
    <row r="626" spans="11:11" x14ac:dyDescent="0.25">
      <c r="K626" s="42" t="str">
        <f t="shared" si="9"/>
        <v/>
      </c>
    </row>
    <row r="627" spans="11:11" x14ac:dyDescent="0.25">
      <c r="K627" s="42" t="str">
        <f t="shared" si="9"/>
        <v/>
      </c>
    </row>
    <row r="628" spans="11:11" x14ac:dyDescent="0.25">
      <c r="K628" s="42" t="str">
        <f t="shared" si="9"/>
        <v/>
      </c>
    </row>
    <row r="629" spans="11:11" x14ac:dyDescent="0.25">
      <c r="K629" s="42" t="str">
        <f t="shared" si="9"/>
        <v/>
      </c>
    </row>
    <row r="630" spans="11:11" x14ac:dyDescent="0.25">
      <c r="K630" s="42" t="str">
        <f t="shared" si="9"/>
        <v/>
      </c>
    </row>
    <row r="631" spans="11:11" x14ac:dyDescent="0.25">
      <c r="K631" s="42" t="str">
        <f t="shared" si="9"/>
        <v/>
      </c>
    </row>
    <row r="632" spans="11:11" x14ac:dyDescent="0.25">
      <c r="K632" s="42" t="str">
        <f t="shared" si="9"/>
        <v/>
      </c>
    </row>
    <row r="633" spans="11:11" x14ac:dyDescent="0.25">
      <c r="K633" s="42" t="str">
        <f t="shared" si="9"/>
        <v/>
      </c>
    </row>
    <row r="634" spans="11:11" x14ac:dyDescent="0.25">
      <c r="K634" s="42" t="str">
        <f t="shared" si="9"/>
        <v/>
      </c>
    </row>
    <row r="635" spans="11:11" x14ac:dyDescent="0.25">
      <c r="K635" s="42" t="str">
        <f t="shared" si="9"/>
        <v/>
      </c>
    </row>
    <row r="636" spans="11:11" x14ac:dyDescent="0.25">
      <c r="K636" s="42" t="str">
        <f t="shared" si="9"/>
        <v/>
      </c>
    </row>
    <row r="637" spans="11:11" x14ac:dyDescent="0.25">
      <c r="K637" s="42" t="str">
        <f t="shared" si="9"/>
        <v/>
      </c>
    </row>
    <row r="638" spans="11:11" x14ac:dyDescent="0.25">
      <c r="K638" s="42" t="str">
        <f t="shared" si="9"/>
        <v/>
      </c>
    </row>
    <row r="639" spans="11:11" x14ac:dyDescent="0.25">
      <c r="K639" s="42" t="str">
        <f t="shared" si="9"/>
        <v/>
      </c>
    </row>
    <row r="640" spans="11:11" x14ac:dyDescent="0.25">
      <c r="K640" s="42" t="str">
        <f t="shared" si="9"/>
        <v/>
      </c>
    </row>
    <row r="641" spans="11:11" x14ac:dyDescent="0.25">
      <c r="K641" s="42" t="str">
        <f t="shared" si="9"/>
        <v/>
      </c>
    </row>
    <row r="642" spans="11:11" x14ac:dyDescent="0.25">
      <c r="K642" s="42" t="str">
        <f t="shared" si="9"/>
        <v/>
      </c>
    </row>
    <row r="643" spans="11:11" x14ac:dyDescent="0.25">
      <c r="K643" s="42" t="str">
        <f t="shared" si="9"/>
        <v/>
      </c>
    </row>
    <row r="644" spans="11:11" x14ac:dyDescent="0.25">
      <c r="K644" s="42" t="str">
        <f t="shared" si="9"/>
        <v/>
      </c>
    </row>
    <row r="645" spans="11:11" x14ac:dyDescent="0.25">
      <c r="K645" s="42" t="str">
        <f t="shared" ref="K645:K708" si="10">IFERROR(IF(OR(H645="(blank)",H645="grand total"),"",VLOOKUP(H645,AE:AF,2,0)),"")</f>
        <v/>
      </c>
    </row>
    <row r="646" spans="11:11" x14ac:dyDescent="0.25">
      <c r="K646" s="42" t="str">
        <f t="shared" si="10"/>
        <v/>
      </c>
    </row>
    <row r="647" spans="11:11" x14ac:dyDescent="0.25">
      <c r="K647" s="42" t="str">
        <f t="shared" si="10"/>
        <v/>
      </c>
    </row>
    <row r="648" spans="11:11" x14ac:dyDescent="0.25">
      <c r="K648" s="42" t="str">
        <f t="shared" si="10"/>
        <v/>
      </c>
    </row>
    <row r="649" spans="11:11" x14ac:dyDescent="0.25">
      <c r="K649" s="42" t="str">
        <f t="shared" si="10"/>
        <v/>
      </c>
    </row>
    <row r="650" spans="11:11" x14ac:dyDescent="0.25">
      <c r="K650" s="42" t="str">
        <f t="shared" si="10"/>
        <v/>
      </c>
    </row>
    <row r="651" spans="11:11" x14ac:dyDescent="0.25">
      <c r="K651" s="42" t="str">
        <f t="shared" si="10"/>
        <v/>
      </c>
    </row>
    <row r="652" spans="11:11" x14ac:dyDescent="0.25">
      <c r="K652" s="42" t="str">
        <f t="shared" si="10"/>
        <v/>
      </c>
    </row>
    <row r="653" spans="11:11" x14ac:dyDescent="0.25">
      <c r="K653" s="42" t="str">
        <f t="shared" si="10"/>
        <v/>
      </c>
    </row>
    <row r="654" spans="11:11" x14ac:dyDescent="0.25">
      <c r="K654" s="42" t="str">
        <f t="shared" si="10"/>
        <v/>
      </c>
    </row>
    <row r="655" spans="11:11" x14ac:dyDescent="0.25">
      <c r="K655" s="42" t="str">
        <f t="shared" si="10"/>
        <v/>
      </c>
    </row>
    <row r="656" spans="11:11" x14ac:dyDescent="0.25">
      <c r="K656" s="42" t="str">
        <f t="shared" si="10"/>
        <v/>
      </c>
    </row>
    <row r="657" spans="11:11" x14ac:dyDescent="0.25">
      <c r="K657" s="42" t="str">
        <f t="shared" si="10"/>
        <v/>
      </c>
    </row>
    <row r="658" spans="11:11" x14ac:dyDescent="0.25">
      <c r="K658" s="42" t="str">
        <f t="shared" si="10"/>
        <v/>
      </c>
    </row>
    <row r="659" spans="11:11" x14ac:dyDescent="0.25">
      <c r="K659" s="42" t="str">
        <f t="shared" si="10"/>
        <v/>
      </c>
    </row>
    <row r="660" spans="11:11" x14ac:dyDescent="0.25">
      <c r="K660" s="42" t="str">
        <f t="shared" si="10"/>
        <v/>
      </c>
    </row>
    <row r="661" spans="11:11" x14ac:dyDescent="0.25">
      <c r="K661" s="42" t="str">
        <f t="shared" si="10"/>
        <v/>
      </c>
    </row>
    <row r="662" spans="11:11" x14ac:dyDescent="0.25">
      <c r="K662" s="42" t="str">
        <f t="shared" si="10"/>
        <v/>
      </c>
    </row>
    <row r="663" spans="11:11" x14ac:dyDescent="0.25">
      <c r="K663" s="42" t="str">
        <f t="shared" si="10"/>
        <v/>
      </c>
    </row>
    <row r="664" spans="11:11" x14ac:dyDescent="0.25">
      <c r="K664" s="42" t="str">
        <f t="shared" si="10"/>
        <v/>
      </c>
    </row>
    <row r="665" spans="11:11" x14ac:dyDescent="0.25">
      <c r="K665" s="42" t="str">
        <f t="shared" si="10"/>
        <v/>
      </c>
    </row>
    <row r="666" spans="11:11" x14ac:dyDescent="0.25">
      <c r="K666" s="42" t="str">
        <f t="shared" si="10"/>
        <v/>
      </c>
    </row>
    <row r="667" spans="11:11" x14ac:dyDescent="0.25">
      <c r="K667" s="42" t="str">
        <f t="shared" si="10"/>
        <v/>
      </c>
    </row>
    <row r="668" spans="11:11" x14ac:dyDescent="0.25">
      <c r="K668" s="42" t="str">
        <f t="shared" si="10"/>
        <v/>
      </c>
    </row>
    <row r="669" spans="11:11" x14ac:dyDescent="0.25">
      <c r="K669" s="42" t="str">
        <f t="shared" si="10"/>
        <v/>
      </c>
    </row>
    <row r="670" spans="11:11" x14ac:dyDescent="0.25">
      <c r="K670" s="42" t="str">
        <f t="shared" si="10"/>
        <v/>
      </c>
    </row>
    <row r="671" spans="11:11" x14ac:dyDescent="0.25">
      <c r="K671" s="42" t="str">
        <f t="shared" si="10"/>
        <v/>
      </c>
    </row>
    <row r="672" spans="11:11" x14ac:dyDescent="0.25">
      <c r="K672" s="42" t="str">
        <f t="shared" si="10"/>
        <v/>
      </c>
    </row>
    <row r="673" spans="11:11" x14ac:dyDescent="0.25">
      <c r="K673" s="42" t="str">
        <f t="shared" si="10"/>
        <v/>
      </c>
    </row>
    <row r="674" spans="11:11" x14ac:dyDescent="0.25">
      <c r="K674" s="42" t="str">
        <f t="shared" si="10"/>
        <v/>
      </c>
    </row>
    <row r="675" spans="11:11" x14ac:dyDescent="0.25">
      <c r="K675" s="42" t="str">
        <f t="shared" si="10"/>
        <v/>
      </c>
    </row>
    <row r="676" spans="11:11" x14ac:dyDescent="0.25">
      <c r="K676" s="42" t="str">
        <f t="shared" si="10"/>
        <v/>
      </c>
    </row>
    <row r="677" spans="11:11" x14ac:dyDescent="0.25">
      <c r="K677" s="42" t="str">
        <f t="shared" si="10"/>
        <v/>
      </c>
    </row>
    <row r="678" spans="11:11" x14ac:dyDescent="0.25">
      <c r="K678" s="42" t="str">
        <f t="shared" si="10"/>
        <v/>
      </c>
    </row>
    <row r="679" spans="11:11" x14ac:dyDescent="0.25">
      <c r="K679" s="42" t="str">
        <f t="shared" si="10"/>
        <v/>
      </c>
    </row>
    <row r="680" spans="11:11" x14ac:dyDescent="0.25">
      <c r="K680" s="42" t="str">
        <f t="shared" si="10"/>
        <v/>
      </c>
    </row>
    <row r="681" spans="11:11" x14ac:dyDescent="0.25">
      <c r="K681" s="42" t="str">
        <f t="shared" si="10"/>
        <v/>
      </c>
    </row>
    <row r="682" spans="11:11" x14ac:dyDescent="0.25">
      <c r="K682" s="42" t="str">
        <f t="shared" si="10"/>
        <v/>
      </c>
    </row>
    <row r="683" spans="11:11" x14ac:dyDescent="0.25">
      <c r="K683" s="42" t="str">
        <f t="shared" si="10"/>
        <v/>
      </c>
    </row>
    <row r="684" spans="11:11" x14ac:dyDescent="0.25">
      <c r="K684" s="42" t="str">
        <f t="shared" si="10"/>
        <v/>
      </c>
    </row>
    <row r="685" spans="11:11" x14ac:dyDescent="0.25">
      <c r="K685" s="42" t="str">
        <f t="shared" si="10"/>
        <v/>
      </c>
    </row>
    <row r="686" spans="11:11" x14ac:dyDescent="0.25">
      <c r="K686" s="42" t="str">
        <f t="shared" si="10"/>
        <v/>
      </c>
    </row>
    <row r="687" spans="11:11" x14ac:dyDescent="0.25">
      <c r="K687" s="42" t="str">
        <f t="shared" si="10"/>
        <v/>
      </c>
    </row>
    <row r="688" spans="11:11" x14ac:dyDescent="0.25">
      <c r="K688" s="42" t="str">
        <f t="shared" si="10"/>
        <v/>
      </c>
    </row>
    <row r="689" spans="11:11" x14ac:dyDescent="0.25">
      <c r="K689" s="42" t="str">
        <f t="shared" si="10"/>
        <v/>
      </c>
    </row>
    <row r="690" spans="11:11" x14ac:dyDescent="0.25">
      <c r="K690" s="42" t="str">
        <f t="shared" si="10"/>
        <v/>
      </c>
    </row>
    <row r="691" spans="11:11" x14ac:dyDescent="0.25">
      <c r="K691" s="42" t="str">
        <f t="shared" si="10"/>
        <v/>
      </c>
    </row>
    <row r="692" spans="11:11" x14ac:dyDescent="0.25">
      <c r="K692" s="42" t="str">
        <f t="shared" si="10"/>
        <v/>
      </c>
    </row>
    <row r="693" spans="11:11" x14ac:dyDescent="0.25">
      <c r="K693" s="42" t="str">
        <f t="shared" si="10"/>
        <v/>
      </c>
    </row>
    <row r="694" spans="11:11" x14ac:dyDescent="0.25">
      <c r="K694" s="42" t="str">
        <f t="shared" si="10"/>
        <v/>
      </c>
    </row>
    <row r="695" spans="11:11" x14ac:dyDescent="0.25">
      <c r="K695" s="42" t="str">
        <f t="shared" si="10"/>
        <v/>
      </c>
    </row>
    <row r="696" spans="11:11" x14ac:dyDescent="0.25">
      <c r="K696" s="42" t="str">
        <f t="shared" si="10"/>
        <v/>
      </c>
    </row>
    <row r="697" spans="11:11" x14ac:dyDescent="0.25">
      <c r="K697" s="42" t="str">
        <f t="shared" si="10"/>
        <v/>
      </c>
    </row>
    <row r="698" spans="11:11" x14ac:dyDescent="0.25">
      <c r="K698" s="42" t="str">
        <f t="shared" si="10"/>
        <v/>
      </c>
    </row>
    <row r="699" spans="11:11" x14ac:dyDescent="0.25">
      <c r="K699" s="42" t="str">
        <f t="shared" si="10"/>
        <v/>
      </c>
    </row>
    <row r="700" spans="11:11" x14ac:dyDescent="0.25">
      <c r="K700" s="42" t="str">
        <f t="shared" si="10"/>
        <v/>
      </c>
    </row>
    <row r="701" spans="11:11" x14ac:dyDescent="0.25">
      <c r="K701" s="42" t="str">
        <f t="shared" si="10"/>
        <v/>
      </c>
    </row>
    <row r="702" spans="11:11" x14ac:dyDescent="0.25">
      <c r="K702" s="42" t="str">
        <f t="shared" si="10"/>
        <v/>
      </c>
    </row>
    <row r="703" spans="11:11" x14ac:dyDescent="0.25">
      <c r="K703" s="42" t="str">
        <f t="shared" si="10"/>
        <v/>
      </c>
    </row>
    <row r="704" spans="11:11" x14ac:dyDescent="0.25">
      <c r="K704" s="42" t="str">
        <f t="shared" si="10"/>
        <v/>
      </c>
    </row>
    <row r="705" spans="11:11" x14ac:dyDescent="0.25">
      <c r="K705" s="42" t="str">
        <f t="shared" si="10"/>
        <v/>
      </c>
    </row>
    <row r="706" spans="11:11" x14ac:dyDescent="0.25">
      <c r="K706" s="42" t="str">
        <f t="shared" si="10"/>
        <v/>
      </c>
    </row>
    <row r="707" spans="11:11" x14ac:dyDescent="0.25">
      <c r="K707" s="42" t="str">
        <f t="shared" si="10"/>
        <v/>
      </c>
    </row>
    <row r="708" spans="11:11" x14ac:dyDescent="0.25">
      <c r="K708" s="42" t="str">
        <f t="shared" si="10"/>
        <v/>
      </c>
    </row>
    <row r="709" spans="11:11" x14ac:dyDescent="0.25">
      <c r="K709" s="42" t="str">
        <f t="shared" ref="K709:K772" si="11">IFERROR(IF(OR(H709="(blank)",H709="grand total"),"",VLOOKUP(H709,AE:AF,2,0)),"")</f>
        <v/>
      </c>
    </row>
    <row r="710" spans="11:11" x14ac:dyDescent="0.25">
      <c r="K710" s="42" t="str">
        <f t="shared" si="11"/>
        <v/>
      </c>
    </row>
    <row r="711" spans="11:11" x14ac:dyDescent="0.25">
      <c r="K711" s="42" t="str">
        <f t="shared" si="11"/>
        <v/>
      </c>
    </row>
    <row r="712" spans="11:11" x14ac:dyDescent="0.25">
      <c r="K712" s="42" t="str">
        <f t="shared" si="11"/>
        <v/>
      </c>
    </row>
    <row r="713" spans="11:11" x14ac:dyDescent="0.25">
      <c r="K713" s="42" t="str">
        <f t="shared" si="11"/>
        <v/>
      </c>
    </row>
    <row r="714" spans="11:11" x14ac:dyDescent="0.25">
      <c r="K714" s="42" t="str">
        <f t="shared" si="11"/>
        <v/>
      </c>
    </row>
    <row r="715" spans="11:11" x14ac:dyDescent="0.25">
      <c r="K715" s="42" t="str">
        <f t="shared" si="11"/>
        <v/>
      </c>
    </row>
    <row r="716" spans="11:11" x14ac:dyDescent="0.25">
      <c r="K716" s="42" t="str">
        <f t="shared" si="11"/>
        <v/>
      </c>
    </row>
    <row r="717" spans="11:11" x14ac:dyDescent="0.25">
      <c r="K717" s="42" t="str">
        <f t="shared" si="11"/>
        <v/>
      </c>
    </row>
    <row r="718" spans="11:11" x14ac:dyDescent="0.25">
      <c r="K718" s="42" t="str">
        <f t="shared" si="11"/>
        <v/>
      </c>
    </row>
    <row r="719" spans="11:11" x14ac:dyDescent="0.25">
      <c r="K719" s="42" t="str">
        <f t="shared" si="11"/>
        <v/>
      </c>
    </row>
    <row r="720" spans="11:11" x14ac:dyDescent="0.25">
      <c r="K720" s="42" t="str">
        <f t="shared" si="11"/>
        <v/>
      </c>
    </row>
    <row r="721" spans="11:11" x14ac:dyDescent="0.25">
      <c r="K721" s="42" t="str">
        <f t="shared" si="11"/>
        <v/>
      </c>
    </row>
    <row r="722" spans="11:11" x14ac:dyDescent="0.25">
      <c r="K722" s="42" t="str">
        <f t="shared" si="11"/>
        <v/>
      </c>
    </row>
    <row r="723" spans="11:11" x14ac:dyDescent="0.25">
      <c r="K723" s="42" t="str">
        <f t="shared" si="11"/>
        <v/>
      </c>
    </row>
    <row r="724" spans="11:11" x14ac:dyDescent="0.25">
      <c r="K724" s="42" t="str">
        <f t="shared" si="11"/>
        <v/>
      </c>
    </row>
    <row r="725" spans="11:11" x14ac:dyDescent="0.25">
      <c r="K725" s="42" t="str">
        <f t="shared" si="11"/>
        <v/>
      </c>
    </row>
    <row r="726" spans="11:11" x14ac:dyDescent="0.25">
      <c r="K726" s="42" t="str">
        <f t="shared" si="11"/>
        <v/>
      </c>
    </row>
    <row r="727" spans="11:11" x14ac:dyDescent="0.25">
      <c r="K727" s="42" t="str">
        <f t="shared" si="11"/>
        <v/>
      </c>
    </row>
    <row r="728" spans="11:11" x14ac:dyDescent="0.25">
      <c r="K728" s="42" t="str">
        <f t="shared" si="11"/>
        <v/>
      </c>
    </row>
    <row r="729" spans="11:11" x14ac:dyDescent="0.25">
      <c r="K729" s="42" t="str">
        <f t="shared" si="11"/>
        <v/>
      </c>
    </row>
    <row r="730" spans="11:11" x14ac:dyDescent="0.25">
      <c r="K730" s="42" t="str">
        <f t="shared" si="11"/>
        <v/>
      </c>
    </row>
    <row r="731" spans="11:11" x14ac:dyDescent="0.25">
      <c r="K731" s="42" t="str">
        <f t="shared" si="11"/>
        <v/>
      </c>
    </row>
    <row r="732" spans="11:11" x14ac:dyDescent="0.25">
      <c r="K732" s="42" t="str">
        <f t="shared" si="11"/>
        <v/>
      </c>
    </row>
    <row r="733" spans="11:11" x14ac:dyDescent="0.25">
      <c r="K733" s="42" t="str">
        <f t="shared" si="11"/>
        <v/>
      </c>
    </row>
    <row r="734" spans="11:11" x14ac:dyDescent="0.25">
      <c r="K734" s="42" t="str">
        <f t="shared" si="11"/>
        <v/>
      </c>
    </row>
    <row r="735" spans="11:11" x14ac:dyDescent="0.25">
      <c r="K735" s="42" t="str">
        <f t="shared" si="11"/>
        <v/>
      </c>
    </row>
    <row r="736" spans="11:11" x14ac:dyDescent="0.25">
      <c r="K736" s="42" t="str">
        <f t="shared" si="11"/>
        <v/>
      </c>
    </row>
    <row r="737" spans="11:11" x14ac:dyDescent="0.25">
      <c r="K737" s="42" t="str">
        <f t="shared" si="11"/>
        <v/>
      </c>
    </row>
    <row r="738" spans="11:11" x14ac:dyDescent="0.25">
      <c r="K738" s="42" t="str">
        <f t="shared" si="11"/>
        <v/>
      </c>
    </row>
    <row r="739" spans="11:11" x14ac:dyDescent="0.25">
      <c r="K739" s="42" t="str">
        <f t="shared" si="11"/>
        <v/>
      </c>
    </row>
    <row r="740" spans="11:11" x14ac:dyDescent="0.25">
      <c r="K740" s="42" t="str">
        <f t="shared" si="11"/>
        <v/>
      </c>
    </row>
    <row r="741" spans="11:11" x14ac:dyDescent="0.25">
      <c r="K741" s="42" t="str">
        <f t="shared" si="11"/>
        <v/>
      </c>
    </row>
    <row r="742" spans="11:11" x14ac:dyDescent="0.25">
      <c r="K742" s="42" t="str">
        <f t="shared" si="11"/>
        <v/>
      </c>
    </row>
    <row r="743" spans="11:11" x14ac:dyDescent="0.25">
      <c r="K743" s="42" t="str">
        <f t="shared" si="11"/>
        <v/>
      </c>
    </row>
    <row r="744" spans="11:11" x14ac:dyDescent="0.25">
      <c r="K744" s="42" t="str">
        <f t="shared" si="11"/>
        <v/>
      </c>
    </row>
    <row r="745" spans="11:11" x14ac:dyDescent="0.25">
      <c r="K745" s="42" t="str">
        <f t="shared" si="11"/>
        <v/>
      </c>
    </row>
    <row r="746" spans="11:11" x14ac:dyDescent="0.25">
      <c r="K746" s="42" t="str">
        <f t="shared" si="11"/>
        <v/>
      </c>
    </row>
    <row r="747" spans="11:11" x14ac:dyDescent="0.25">
      <c r="K747" s="42" t="str">
        <f t="shared" si="11"/>
        <v/>
      </c>
    </row>
    <row r="748" spans="11:11" x14ac:dyDescent="0.25">
      <c r="K748" s="42" t="str">
        <f t="shared" si="11"/>
        <v/>
      </c>
    </row>
    <row r="749" spans="11:11" x14ac:dyDescent="0.25">
      <c r="K749" s="42" t="str">
        <f t="shared" si="11"/>
        <v/>
      </c>
    </row>
    <row r="750" spans="11:11" x14ac:dyDescent="0.25">
      <c r="K750" s="42" t="str">
        <f t="shared" si="11"/>
        <v/>
      </c>
    </row>
    <row r="751" spans="11:11" x14ac:dyDescent="0.25">
      <c r="K751" s="42" t="str">
        <f t="shared" si="11"/>
        <v/>
      </c>
    </row>
    <row r="752" spans="11:11" x14ac:dyDescent="0.25">
      <c r="K752" s="42" t="str">
        <f t="shared" si="11"/>
        <v/>
      </c>
    </row>
    <row r="753" spans="11:11" x14ac:dyDescent="0.25">
      <c r="K753" s="42" t="str">
        <f t="shared" si="11"/>
        <v/>
      </c>
    </row>
    <row r="754" spans="11:11" x14ac:dyDescent="0.25">
      <c r="K754" s="42" t="str">
        <f t="shared" si="11"/>
        <v/>
      </c>
    </row>
    <row r="755" spans="11:11" x14ac:dyDescent="0.25">
      <c r="K755" s="42" t="str">
        <f t="shared" si="11"/>
        <v/>
      </c>
    </row>
    <row r="756" spans="11:11" x14ac:dyDescent="0.25">
      <c r="K756" s="42" t="str">
        <f t="shared" si="11"/>
        <v/>
      </c>
    </row>
    <row r="757" spans="11:11" x14ac:dyDescent="0.25">
      <c r="K757" s="42" t="str">
        <f t="shared" si="11"/>
        <v/>
      </c>
    </row>
    <row r="758" spans="11:11" x14ac:dyDescent="0.25">
      <c r="K758" s="42" t="str">
        <f t="shared" si="11"/>
        <v/>
      </c>
    </row>
    <row r="759" spans="11:11" x14ac:dyDescent="0.25">
      <c r="K759" s="42" t="str">
        <f t="shared" si="11"/>
        <v/>
      </c>
    </row>
    <row r="760" spans="11:11" x14ac:dyDescent="0.25">
      <c r="K760" s="42" t="str">
        <f t="shared" si="11"/>
        <v/>
      </c>
    </row>
    <row r="761" spans="11:11" x14ac:dyDescent="0.25">
      <c r="K761" s="42" t="str">
        <f t="shared" si="11"/>
        <v/>
      </c>
    </row>
    <row r="762" spans="11:11" x14ac:dyDescent="0.25">
      <c r="K762" s="42" t="str">
        <f t="shared" si="11"/>
        <v/>
      </c>
    </row>
    <row r="763" spans="11:11" x14ac:dyDescent="0.25">
      <c r="K763" s="42" t="str">
        <f t="shared" si="11"/>
        <v/>
      </c>
    </row>
    <row r="764" spans="11:11" x14ac:dyDescent="0.25">
      <c r="K764" s="42" t="str">
        <f t="shared" si="11"/>
        <v/>
      </c>
    </row>
    <row r="765" spans="11:11" x14ac:dyDescent="0.25">
      <c r="K765" s="42" t="str">
        <f t="shared" si="11"/>
        <v/>
      </c>
    </row>
    <row r="766" spans="11:11" x14ac:dyDescent="0.25">
      <c r="K766" s="42" t="str">
        <f t="shared" si="11"/>
        <v/>
      </c>
    </row>
    <row r="767" spans="11:11" x14ac:dyDescent="0.25">
      <c r="K767" s="42" t="str">
        <f t="shared" si="11"/>
        <v/>
      </c>
    </row>
    <row r="768" spans="11:11" x14ac:dyDescent="0.25">
      <c r="K768" s="42" t="str">
        <f t="shared" si="11"/>
        <v/>
      </c>
    </row>
    <row r="769" spans="11:11" x14ac:dyDescent="0.25">
      <c r="K769" s="42" t="str">
        <f t="shared" si="11"/>
        <v/>
      </c>
    </row>
    <row r="770" spans="11:11" x14ac:dyDescent="0.25">
      <c r="K770" s="42" t="str">
        <f t="shared" si="11"/>
        <v/>
      </c>
    </row>
    <row r="771" spans="11:11" x14ac:dyDescent="0.25">
      <c r="K771" s="42" t="str">
        <f t="shared" si="11"/>
        <v/>
      </c>
    </row>
    <row r="772" spans="11:11" x14ac:dyDescent="0.25">
      <c r="K772" s="42" t="str">
        <f t="shared" si="11"/>
        <v/>
      </c>
    </row>
    <row r="773" spans="11:11" x14ac:dyDescent="0.25">
      <c r="K773" s="42" t="str">
        <f t="shared" ref="K773:K836" si="12">IFERROR(IF(OR(H773="(blank)",H773="grand total"),"",VLOOKUP(H773,AE:AF,2,0)),"")</f>
        <v/>
      </c>
    </row>
    <row r="774" spans="11:11" x14ac:dyDescent="0.25">
      <c r="K774" s="42" t="str">
        <f t="shared" si="12"/>
        <v/>
      </c>
    </row>
    <row r="775" spans="11:11" x14ac:dyDescent="0.25">
      <c r="K775" s="42" t="str">
        <f t="shared" si="12"/>
        <v/>
      </c>
    </row>
    <row r="776" spans="11:11" x14ac:dyDescent="0.25">
      <c r="K776" s="42" t="str">
        <f t="shared" si="12"/>
        <v/>
      </c>
    </row>
    <row r="777" spans="11:11" x14ac:dyDescent="0.25">
      <c r="K777" s="42" t="str">
        <f t="shared" si="12"/>
        <v/>
      </c>
    </row>
    <row r="778" spans="11:11" x14ac:dyDescent="0.25">
      <c r="K778" s="42" t="str">
        <f t="shared" si="12"/>
        <v/>
      </c>
    </row>
    <row r="779" spans="11:11" x14ac:dyDescent="0.25">
      <c r="K779" s="42" t="str">
        <f t="shared" si="12"/>
        <v/>
      </c>
    </row>
    <row r="780" spans="11:11" x14ac:dyDescent="0.25">
      <c r="K780" s="42" t="str">
        <f t="shared" si="12"/>
        <v/>
      </c>
    </row>
    <row r="781" spans="11:11" x14ac:dyDescent="0.25">
      <c r="K781" s="42" t="str">
        <f t="shared" si="12"/>
        <v/>
      </c>
    </row>
    <row r="782" spans="11:11" x14ac:dyDescent="0.25">
      <c r="K782" s="42" t="str">
        <f t="shared" si="12"/>
        <v/>
      </c>
    </row>
    <row r="783" spans="11:11" x14ac:dyDescent="0.25">
      <c r="K783" s="42" t="str">
        <f t="shared" si="12"/>
        <v/>
      </c>
    </row>
    <row r="784" spans="11:11" x14ac:dyDescent="0.25">
      <c r="K784" s="42" t="str">
        <f t="shared" si="12"/>
        <v/>
      </c>
    </row>
    <row r="785" spans="11:11" x14ac:dyDescent="0.25">
      <c r="K785" s="42" t="str">
        <f t="shared" si="12"/>
        <v/>
      </c>
    </row>
    <row r="786" spans="11:11" x14ac:dyDescent="0.25">
      <c r="K786" s="42" t="str">
        <f t="shared" si="12"/>
        <v/>
      </c>
    </row>
    <row r="787" spans="11:11" x14ac:dyDescent="0.25">
      <c r="K787" s="42" t="str">
        <f t="shared" si="12"/>
        <v/>
      </c>
    </row>
    <row r="788" spans="11:11" x14ac:dyDescent="0.25">
      <c r="K788" s="42" t="str">
        <f t="shared" si="12"/>
        <v/>
      </c>
    </row>
    <row r="789" spans="11:11" x14ac:dyDescent="0.25">
      <c r="K789" s="42" t="str">
        <f t="shared" si="12"/>
        <v/>
      </c>
    </row>
    <row r="790" spans="11:11" x14ac:dyDescent="0.25">
      <c r="K790" s="42" t="str">
        <f t="shared" si="12"/>
        <v/>
      </c>
    </row>
    <row r="791" spans="11:11" x14ac:dyDescent="0.25">
      <c r="K791" s="42" t="str">
        <f t="shared" si="12"/>
        <v/>
      </c>
    </row>
    <row r="792" spans="11:11" x14ac:dyDescent="0.25">
      <c r="K792" s="42" t="str">
        <f t="shared" si="12"/>
        <v/>
      </c>
    </row>
    <row r="793" spans="11:11" x14ac:dyDescent="0.25">
      <c r="K793" s="42" t="str">
        <f t="shared" si="12"/>
        <v/>
      </c>
    </row>
    <row r="794" spans="11:11" x14ac:dyDescent="0.25">
      <c r="K794" s="42" t="str">
        <f t="shared" si="12"/>
        <v/>
      </c>
    </row>
    <row r="795" spans="11:11" x14ac:dyDescent="0.25">
      <c r="K795" s="42" t="str">
        <f t="shared" si="12"/>
        <v/>
      </c>
    </row>
    <row r="796" spans="11:11" x14ac:dyDescent="0.25">
      <c r="K796" s="42" t="str">
        <f t="shared" si="12"/>
        <v/>
      </c>
    </row>
    <row r="797" spans="11:11" x14ac:dyDescent="0.25">
      <c r="K797" s="42" t="str">
        <f t="shared" si="12"/>
        <v/>
      </c>
    </row>
    <row r="798" spans="11:11" x14ac:dyDescent="0.25">
      <c r="K798" s="42" t="str">
        <f t="shared" si="12"/>
        <v/>
      </c>
    </row>
    <row r="799" spans="11:11" x14ac:dyDescent="0.25">
      <c r="K799" s="42" t="str">
        <f t="shared" si="12"/>
        <v/>
      </c>
    </row>
    <row r="800" spans="11:11" x14ac:dyDescent="0.25">
      <c r="K800" s="42" t="str">
        <f t="shared" si="12"/>
        <v/>
      </c>
    </row>
    <row r="801" spans="11:11" x14ac:dyDescent="0.25">
      <c r="K801" s="42" t="str">
        <f t="shared" si="12"/>
        <v/>
      </c>
    </row>
    <row r="802" spans="11:11" x14ac:dyDescent="0.25">
      <c r="K802" s="42" t="str">
        <f t="shared" si="12"/>
        <v/>
      </c>
    </row>
    <row r="803" spans="11:11" x14ac:dyDescent="0.25">
      <c r="K803" s="42" t="str">
        <f t="shared" si="12"/>
        <v/>
      </c>
    </row>
    <row r="804" spans="11:11" x14ac:dyDescent="0.25">
      <c r="K804" s="42" t="str">
        <f t="shared" si="12"/>
        <v/>
      </c>
    </row>
    <row r="805" spans="11:11" x14ac:dyDescent="0.25">
      <c r="K805" s="42" t="str">
        <f t="shared" si="12"/>
        <v/>
      </c>
    </row>
    <row r="806" spans="11:11" x14ac:dyDescent="0.25">
      <c r="K806" s="42" t="str">
        <f t="shared" si="12"/>
        <v/>
      </c>
    </row>
    <row r="807" spans="11:11" x14ac:dyDescent="0.25">
      <c r="K807" s="42" t="str">
        <f t="shared" si="12"/>
        <v/>
      </c>
    </row>
    <row r="808" spans="11:11" x14ac:dyDescent="0.25">
      <c r="K808" s="42" t="str">
        <f t="shared" si="12"/>
        <v/>
      </c>
    </row>
    <row r="809" spans="11:11" x14ac:dyDescent="0.25">
      <c r="K809" s="42" t="str">
        <f t="shared" si="12"/>
        <v/>
      </c>
    </row>
    <row r="810" spans="11:11" x14ac:dyDescent="0.25">
      <c r="K810" s="42" t="str">
        <f t="shared" si="12"/>
        <v/>
      </c>
    </row>
    <row r="811" spans="11:11" x14ac:dyDescent="0.25">
      <c r="K811" s="42" t="str">
        <f t="shared" si="12"/>
        <v/>
      </c>
    </row>
    <row r="812" spans="11:11" x14ac:dyDescent="0.25">
      <c r="K812" s="42" t="str">
        <f t="shared" si="12"/>
        <v/>
      </c>
    </row>
    <row r="813" spans="11:11" x14ac:dyDescent="0.25">
      <c r="K813" s="42" t="str">
        <f t="shared" si="12"/>
        <v/>
      </c>
    </row>
    <row r="814" spans="11:11" x14ac:dyDescent="0.25">
      <c r="K814" s="42" t="str">
        <f t="shared" si="12"/>
        <v/>
      </c>
    </row>
    <row r="815" spans="11:11" x14ac:dyDescent="0.25">
      <c r="K815" s="42" t="str">
        <f t="shared" si="12"/>
        <v/>
      </c>
    </row>
    <row r="816" spans="11:11" x14ac:dyDescent="0.25">
      <c r="K816" s="42" t="str">
        <f t="shared" si="12"/>
        <v/>
      </c>
    </row>
    <row r="817" spans="11:11" x14ac:dyDescent="0.25">
      <c r="K817" s="42" t="str">
        <f t="shared" si="12"/>
        <v/>
      </c>
    </row>
    <row r="818" spans="11:11" x14ac:dyDescent="0.25">
      <c r="K818" s="42" t="str">
        <f t="shared" si="12"/>
        <v/>
      </c>
    </row>
    <row r="819" spans="11:11" x14ac:dyDescent="0.25">
      <c r="K819" s="42" t="str">
        <f t="shared" si="12"/>
        <v/>
      </c>
    </row>
    <row r="820" spans="11:11" x14ac:dyDescent="0.25">
      <c r="K820" s="42" t="str">
        <f t="shared" si="12"/>
        <v/>
      </c>
    </row>
    <row r="821" spans="11:11" x14ac:dyDescent="0.25">
      <c r="K821" s="42" t="str">
        <f t="shared" si="12"/>
        <v/>
      </c>
    </row>
    <row r="822" spans="11:11" x14ac:dyDescent="0.25">
      <c r="K822" s="42" t="str">
        <f t="shared" si="12"/>
        <v/>
      </c>
    </row>
    <row r="823" spans="11:11" x14ac:dyDescent="0.25">
      <c r="K823" s="42" t="str">
        <f t="shared" si="12"/>
        <v/>
      </c>
    </row>
    <row r="824" spans="11:11" x14ac:dyDescent="0.25">
      <c r="K824" s="42" t="str">
        <f t="shared" si="12"/>
        <v/>
      </c>
    </row>
    <row r="825" spans="11:11" x14ac:dyDescent="0.25">
      <c r="K825" s="42" t="str">
        <f t="shared" si="12"/>
        <v/>
      </c>
    </row>
    <row r="826" spans="11:11" x14ac:dyDescent="0.25">
      <c r="K826" s="42" t="str">
        <f t="shared" si="12"/>
        <v/>
      </c>
    </row>
    <row r="827" spans="11:11" x14ac:dyDescent="0.25">
      <c r="K827" s="42" t="str">
        <f t="shared" si="12"/>
        <v/>
      </c>
    </row>
    <row r="828" spans="11:11" x14ac:dyDescent="0.25">
      <c r="K828" s="42" t="str">
        <f t="shared" si="12"/>
        <v/>
      </c>
    </row>
    <row r="829" spans="11:11" x14ac:dyDescent="0.25">
      <c r="K829" s="42" t="str">
        <f t="shared" si="12"/>
        <v/>
      </c>
    </row>
    <row r="830" spans="11:11" x14ac:dyDescent="0.25">
      <c r="K830" s="42" t="str">
        <f t="shared" si="12"/>
        <v/>
      </c>
    </row>
    <row r="831" spans="11:11" x14ac:dyDescent="0.25">
      <c r="K831" s="42" t="str">
        <f t="shared" si="12"/>
        <v/>
      </c>
    </row>
    <row r="832" spans="11:11" x14ac:dyDescent="0.25">
      <c r="K832" s="42" t="str">
        <f t="shared" si="12"/>
        <v/>
      </c>
    </row>
    <row r="833" spans="11:11" x14ac:dyDescent="0.25">
      <c r="K833" s="42" t="str">
        <f t="shared" si="12"/>
        <v/>
      </c>
    </row>
    <row r="834" spans="11:11" x14ac:dyDescent="0.25">
      <c r="K834" s="42" t="str">
        <f t="shared" si="12"/>
        <v/>
      </c>
    </row>
    <row r="835" spans="11:11" x14ac:dyDescent="0.25">
      <c r="K835" s="42" t="str">
        <f t="shared" si="12"/>
        <v/>
      </c>
    </row>
    <row r="836" spans="11:11" x14ac:dyDescent="0.25">
      <c r="K836" s="42" t="str">
        <f t="shared" si="12"/>
        <v/>
      </c>
    </row>
    <row r="837" spans="11:11" x14ac:dyDescent="0.25">
      <c r="K837" s="42" t="str">
        <f t="shared" ref="K837:K900" si="13">IFERROR(IF(OR(H837="(blank)",H837="grand total"),"",VLOOKUP(H837,AE:AF,2,0)),"")</f>
        <v/>
      </c>
    </row>
    <row r="838" spans="11:11" x14ac:dyDescent="0.25">
      <c r="K838" s="42" t="str">
        <f t="shared" si="13"/>
        <v/>
      </c>
    </row>
    <row r="839" spans="11:11" x14ac:dyDescent="0.25">
      <c r="K839" s="42" t="str">
        <f t="shared" si="13"/>
        <v/>
      </c>
    </row>
    <row r="840" spans="11:11" x14ac:dyDescent="0.25">
      <c r="K840" s="42" t="str">
        <f t="shared" si="13"/>
        <v/>
      </c>
    </row>
    <row r="841" spans="11:11" x14ac:dyDescent="0.25">
      <c r="K841" s="42" t="str">
        <f t="shared" si="13"/>
        <v/>
      </c>
    </row>
    <row r="842" spans="11:11" x14ac:dyDescent="0.25">
      <c r="K842" s="42" t="str">
        <f t="shared" si="13"/>
        <v/>
      </c>
    </row>
    <row r="843" spans="11:11" x14ac:dyDescent="0.25">
      <c r="K843" s="42" t="str">
        <f t="shared" si="13"/>
        <v/>
      </c>
    </row>
    <row r="844" spans="11:11" x14ac:dyDescent="0.25">
      <c r="K844" s="42" t="str">
        <f t="shared" si="13"/>
        <v/>
      </c>
    </row>
    <row r="845" spans="11:11" x14ac:dyDescent="0.25">
      <c r="K845" s="42" t="str">
        <f t="shared" si="13"/>
        <v/>
      </c>
    </row>
    <row r="846" spans="11:11" x14ac:dyDescent="0.25">
      <c r="K846" s="42" t="str">
        <f t="shared" si="13"/>
        <v/>
      </c>
    </row>
    <row r="847" spans="11:11" x14ac:dyDescent="0.25">
      <c r="K847" s="42" t="str">
        <f t="shared" si="13"/>
        <v/>
      </c>
    </row>
    <row r="848" spans="11:11" x14ac:dyDescent="0.25">
      <c r="K848" s="42" t="str">
        <f t="shared" si="13"/>
        <v/>
      </c>
    </row>
    <row r="849" spans="11:11" x14ac:dyDescent="0.25">
      <c r="K849" s="42" t="str">
        <f t="shared" si="13"/>
        <v/>
      </c>
    </row>
    <row r="850" spans="11:11" x14ac:dyDescent="0.25">
      <c r="K850" s="42" t="str">
        <f t="shared" si="13"/>
        <v/>
      </c>
    </row>
    <row r="851" spans="11:11" x14ac:dyDescent="0.25">
      <c r="K851" s="42" t="str">
        <f t="shared" si="13"/>
        <v/>
      </c>
    </row>
    <row r="852" spans="11:11" x14ac:dyDescent="0.25">
      <c r="K852" s="42" t="str">
        <f t="shared" si="13"/>
        <v/>
      </c>
    </row>
    <row r="853" spans="11:11" x14ac:dyDescent="0.25">
      <c r="K853" s="42" t="str">
        <f t="shared" si="13"/>
        <v/>
      </c>
    </row>
    <row r="854" spans="11:11" x14ac:dyDescent="0.25">
      <c r="K854" s="42" t="str">
        <f t="shared" si="13"/>
        <v/>
      </c>
    </row>
    <row r="855" spans="11:11" x14ac:dyDescent="0.25">
      <c r="K855" s="42" t="str">
        <f t="shared" si="13"/>
        <v/>
      </c>
    </row>
    <row r="856" spans="11:11" x14ac:dyDescent="0.25">
      <c r="K856" s="42" t="str">
        <f t="shared" si="13"/>
        <v/>
      </c>
    </row>
    <row r="857" spans="11:11" x14ac:dyDescent="0.25">
      <c r="K857" s="42" t="str">
        <f t="shared" si="13"/>
        <v/>
      </c>
    </row>
    <row r="858" spans="11:11" x14ac:dyDescent="0.25">
      <c r="K858" s="42" t="str">
        <f t="shared" si="13"/>
        <v/>
      </c>
    </row>
    <row r="859" spans="11:11" x14ac:dyDescent="0.25">
      <c r="K859" s="42" t="str">
        <f t="shared" si="13"/>
        <v/>
      </c>
    </row>
    <row r="860" spans="11:11" x14ac:dyDescent="0.25">
      <c r="K860" s="42" t="str">
        <f t="shared" si="13"/>
        <v/>
      </c>
    </row>
    <row r="861" spans="11:11" x14ac:dyDescent="0.25">
      <c r="K861" s="42" t="str">
        <f t="shared" si="13"/>
        <v/>
      </c>
    </row>
    <row r="862" spans="11:11" x14ac:dyDescent="0.25">
      <c r="K862" s="42" t="str">
        <f t="shared" si="13"/>
        <v/>
      </c>
    </row>
    <row r="863" spans="11:11" x14ac:dyDescent="0.25">
      <c r="K863" s="42" t="str">
        <f t="shared" si="13"/>
        <v/>
      </c>
    </row>
    <row r="864" spans="11:11" x14ac:dyDescent="0.25">
      <c r="K864" s="42" t="str">
        <f t="shared" si="13"/>
        <v/>
      </c>
    </row>
    <row r="865" spans="11:11" x14ac:dyDescent="0.25">
      <c r="K865" s="42" t="str">
        <f t="shared" si="13"/>
        <v/>
      </c>
    </row>
    <row r="866" spans="11:11" x14ac:dyDescent="0.25">
      <c r="K866" s="42" t="str">
        <f t="shared" si="13"/>
        <v/>
      </c>
    </row>
    <row r="867" spans="11:11" x14ac:dyDescent="0.25">
      <c r="K867" s="42" t="str">
        <f t="shared" si="13"/>
        <v/>
      </c>
    </row>
    <row r="868" spans="11:11" x14ac:dyDescent="0.25">
      <c r="K868" s="42" t="str">
        <f t="shared" si="13"/>
        <v/>
      </c>
    </row>
    <row r="869" spans="11:11" x14ac:dyDescent="0.25">
      <c r="K869" s="42" t="str">
        <f t="shared" si="13"/>
        <v/>
      </c>
    </row>
    <row r="870" spans="11:11" x14ac:dyDescent="0.25">
      <c r="K870" s="42" t="str">
        <f t="shared" si="13"/>
        <v/>
      </c>
    </row>
    <row r="871" spans="11:11" x14ac:dyDescent="0.25">
      <c r="K871" s="42" t="str">
        <f t="shared" si="13"/>
        <v/>
      </c>
    </row>
    <row r="872" spans="11:11" x14ac:dyDescent="0.25">
      <c r="K872" s="42" t="str">
        <f t="shared" si="13"/>
        <v/>
      </c>
    </row>
    <row r="873" spans="11:11" x14ac:dyDescent="0.25">
      <c r="K873" s="42" t="str">
        <f t="shared" si="13"/>
        <v/>
      </c>
    </row>
    <row r="874" spans="11:11" x14ac:dyDescent="0.25">
      <c r="K874" s="42" t="str">
        <f t="shared" si="13"/>
        <v/>
      </c>
    </row>
    <row r="875" spans="11:11" x14ac:dyDescent="0.25">
      <c r="K875" s="42" t="str">
        <f t="shared" si="13"/>
        <v/>
      </c>
    </row>
    <row r="876" spans="11:11" x14ac:dyDescent="0.25">
      <c r="K876" s="42" t="str">
        <f t="shared" si="13"/>
        <v/>
      </c>
    </row>
    <row r="877" spans="11:11" x14ac:dyDescent="0.25">
      <c r="K877" s="42" t="str">
        <f t="shared" si="13"/>
        <v/>
      </c>
    </row>
    <row r="878" spans="11:11" x14ac:dyDescent="0.25">
      <c r="K878" s="42" t="str">
        <f t="shared" si="13"/>
        <v/>
      </c>
    </row>
    <row r="879" spans="11:11" x14ac:dyDescent="0.25">
      <c r="K879" s="42" t="str">
        <f t="shared" si="13"/>
        <v/>
      </c>
    </row>
    <row r="880" spans="11:11" x14ac:dyDescent="0.25">
      <c r="K880" s="42" t="str">
        <f t="shared" si="13"/>
        <v/>
      </c>
    </row>
    <row r="881" spans="11:11" x14ac:dyDescent="0.25">
      <c r="K881" s="42" t="str">
        <f t="shared" si="13"/>
        <v/>
      </c>
    </row>
    <row r="882" spans="11:11" x14ac:dyDescent="0.25">
      <c r="K882" s="42" t="str">
        <f t="shared" si="13"/>
        <v/>
      </c>
    </row>
    <row r="883" spans="11:11" x14ac:dyDescent="0.25">
      <c r="K883" s="42" t="str">
        <f t="shared" si="13"/>
        <v/>
      </c>
    </row>
    <row r="884" spans="11:11" x14ac:dyDescent="0.25">
      <c r="K884" s="42" t="str">
        <f t="shared" si="13"/>
        <v/>
      </c>
    </row>
    <row r="885" spans="11:11" x14ac:dyDescent="0.25">
      <c r="K885" s="42" t="str">
        <f t="shared" si="13"/>
        <v/>
      </c>
    </row>
    <row r="886" spans="11:11" x14ac:dyDescent="0.25">
      <c r="K886" s="42" t="str">
        <f t="shared" si="13"/>
        <v/>
      </c>
    </row>
    <row r="887" spans="11:11" x14ac:dyDescent="0.25">
      <c r="K887" s="42" t="str">
        <f t="shared" si="13"/>
        <v/>
      </c>
    </row>
    <row r="888" spans="11:11" x14ac:dyDescent="0.25">
      <c r="K888" s="42" t="str">
        <f t="shared" si="13"/>
        <v/>
      </c>
    </row>
    <row r="889" spans="11:11" x14ac:dyDescent="0.25">
      <c r="K889" s="42" t="str">
        <f t="shared" si="13"/>
        <v/>
      </c>
    </row>
    <row r="890" spans="11:11" x14ac:dyDescent="0.25">
      <c r="K890" s="42" t="str">
        <f t="shared" si="13"/>
        <v/>
      </c>
    </row>
    <row r="891" spans="11:11" x14ac:dyDescent="0.25">
      <c r="K891" s="42" t="str">
        <f t="shared" si="13"/>
        <v/>
      </c>
    </row>
    <row r="892" spans="11:11" x14ac:dyDescent="0.25">
      <c r="K892" s="42" t="str">
        <f t="shared" si="13"/>
        <v/>
      </c>
    </row>
    <row r="893" spans="11:11" x14ac:dyDescent="0.25">
      <c r="K893" s="42" t="str">
        <f t="shared" si="13"/>
        <v/>
      </c>
    </row>
    <row r="894" spans="11:11" x14ac:dyDescent="0.25">
      <c r="K894" s="42" t="str">
        <f t="shared" si="13"/>
        <v/>
      </c>
    </row>
    <row r="895" spans="11:11" x14ac:dyDescent="0.25">
      <c r="K895" s="42" t="str">
        <f t="shared" si="13"/>
        <v/>
      </c>
    </row>
    <row r="896" spans="11:11" x14ac:dyDescent="0.25">
      <c r="K896" s="42" t="str">
        <f t="shared" si="13"/>
        <v/>
      </c>
    </row>
    <row r="897" spans="11:11" x14ac:dyDescent="0.25">
      <c r="K897" s="42" t="str">
        <f t="shared" si="13"/>
        <v/>
      </c>
    </row>
    <row r="898" spans="11:11" x14ac:dyDescent="0.25">
      <c r="K898" s="42" t="str">
        <f t="shared" si="13"/>
        <v/>
      </c>
    </row>
    <row r="899" spans="11:11" x14ac:dyDescent="0.25">
      <c r="K899" s="42" t="str">
        <f t="shared" si="13"/>
        <v/>
      </c>
    </row>
    <row r="900" spans="11:11" x14ac:dyDescent="0.25">
      <c r="K900" s="42" t="str">
        <f t="shared" si="13"/>
        <v/>
      </c>
    </row>
    <row r="901" spans="11:11" x14ac:dyDescent="0.25">
      <c r="K901" s="42" t="str">
        <f t="shared" ref="K901:K964" si="14">IFERROR(IF(OR(H901="(blank)",H901="grand total"),"",VLOOKUP(H901,AE:AF,2,0)),"")</f>
        <v/>
      </c>
    </row>
    <row r="902" spans="11:11" x14ac:dyDescent="0.25">
      <c r="K902" s="42" t="str">
        <f t="shared" si="14"/>
        <v/>
      </c>
    </row>
    <row r="903" spans="11:11" x14ac:dyDescent="0.25">
      <c r="K903" s="42" t="str">
        <f t="shared" si="14"/>
        <v/>
      </c>
    </row>
    <row r="904" spans="11:11" x14ac:dyDescent="0.25">
      <c r="K904" s="42" t="str">
        <f t="shared" si="14"/>
        <v/>
      </c>
    </row>
    <row r="905" spans="11:11" x14ac:dyDescent="0.25">
      <c r="K905" s="42" t="str">
        <f t="shared" si="14"/>
        <v/>
      </c>
    </row>
    <row r="906" spans="11:11" x14ac:dyDescent="0.25">
      <c r="K906" s="42" t="str">
        <f t="shared" si="14"/>
        <v/>
      </c>
    </row>
    <row r="907" spans="11:11" x14ac:dyDescent="0.25">
      <c r="K907" s="42" t="str">
        <f t="shared" si="14"/>
        <v/>
      </c>
    </row>
    <row r="908" spans="11:11" x14ac:dyDescent="0.25">
      <c r="K908" s="42" t="str">
        <f t="shared" si="14"/>
        <v/>
      </c>
    </row>
    <row r="909" spans="11:11" x14ac:dyDescent="0.25">
      <c r="K909" s="42" t="str">
        <f t="shared" si="14"/>
        <v/>
      </c>
    </row>
    <row r="910" spans="11:11" x14ac:dyDescent="0.25">
      <c r="K910" s="42" t="str">
        <f t="shared" si="14"/>
        <v/>
      </c>
    </row>
    <row r="911" spans="11:11" x14ac:dyDescent="0.25">
      <c r="K911" s="42" t="str">
        <f t="shared" si="14"/>
        <v/>
      </c>
    </row>
    <row r="912" spans="11:11" x14ac:dyDescent="0.25">
      <c r="K912" s="42" t="str">
        <f t="shared" si="14"/>
        <v/>
      </c>
    </row>
    <row r="913" spans="11:11" x14ac:dyDescent="0.25">
      <c r="K913" s="42" t="str">
        <f t="shared" si="14"/>
        <v/>
      </c>
    </row>
    <row r="914" spans="11:11" x14ac:dyDescent="0.25">
      <c r="K914" s="42" t="str">
        <f t="shared" si="14"/>
        <v/>
      </c>
    </row>
    <row r="915" spans="11:11" x14ac:dyDescent="0.25">
      <c r="K915" s="42" t="str">
        <f t="shared" si="14"/>
        <v/>
      </c>
    </row>
    <row r="916" spans="11:11" x14ac:dyDescent="0.25">
      <c r="K916" s="42" t="str">
        <f t="shared" si="14"/>
        <v/>
      </c>
    </row>
    <row r="917" spans="11:11" x14ac:dyDescent="0.25">
      <c r="K917" s="42" t="str">
        <f t="shared" si="14"/>
        <v/>
      </c>
    </row>
    <row r="918" spans="11:11" x14ac:dyDescent="0.25">
      <c r="K918" s="42" t="str">
        <f t="shared" si="14"/>
        <v/>
      </c>
    </row>
    <row r="919" spans="11:11" x14ac:dyDescent="0.25">
      <c r="K919" s="42" t="str">
        <f t="shared" si="14"/>
        <v/>
      </c>
    </row>
    <row r="920" spans="11:11" x14ac:dyDescent="0.25">
      <c r="K920" s="42" t="str">
        <f t="shared" si="14"/>
        <v/>
      </c>
    </row>
    <row r="921" spans="11:11" x14ac:dyDescent="0.25">
      <c r="K921" s="42" t="str">
        <f t="shared" si="14"/>
        <v/>
      </c>
    </row>
    <row r="922" spans="11:11" x14ac:dyDescent="0.25">
      <c r="K922" s="42" t="str">
        <f t="shared" si="14"/>
        <v/>
      </c>
    </row>
    <row r="923" spans="11:11" x14ac:dyDescent="0.25">
      <c r="K923" s="42" t="str">
        <f t="shared" si="14"/>
        <v/>
      </c>
    </row>
    <row r="924" spans="11:11" x14ac:dyDescent="0.25">
      <c r="K924" s="42" t="str">
        <f t="shared" si="14"/>
        <v/>
      </c>
    </row>
    <row r="925" spans="11:11" x14ac:dyDescent="0.25">
      <c r="K925" s="42" t="str">
        <f t="shared" si="14"/>
        <v/>
      </c>
    </row>
    <row r="926" spans="11:11" x14ac:dyDescent="0.25">
      <c r="K926" s="42" t="str">
        <f t="shared" si="14"/>
        <v/>
      </c>
    </row>
    <row r="927" spans="11:11" x14ac:dyDescent="0.25">
      <c r="K927" s="42" t="str">
        <f t="shared" si="14"/>
        <v/>
      </c>
    </row>
    <row r="928" spans="11:11" x14ac:dyDescent="0.25">
      <c r="K928" s="42" t="str">
        <f t="shared" si="14"/>
        <v/>
      </c>
    </row>
    <row r="929" spans="11:11" x14ac:dyDescent="0.25">
      <c r="K929" s="42" t="str">
        <f t="shared" si="14"/>
        <v/>
      </c>
    </row>
    <row r="930" spans="11:11" x14ac:dyDescent="0.25">
      <c r="K930" s="42" t="str">
        <f t="shared" si="14"/>
        <v/>
      </c>
    </row>
    <row r="931" spans="11:11" x14ac:dyDescent="0.25">
      <c r="K931" s="42" t="str">
        <f t="shared" si="14"/>
        <v/>
      </c>
    </row>
    <row r="932" spans="11:11" x14ac:dyDescent="0.25">
      <c r="K932" s="42" t="str">
        <f t="shared" si="14"/>
        <v/>
      </c>
    </row>
    <row r="933" spans="11:11" x14ac:dyDescent="0.25">
      <c r="K933" s="42" t="str">
        <f t="shared" si="14"/>
        <v/>
      </c>
    </row>
    <row r="934" spans="11:11" x14ac:dyDescent="0.25">
      <c r="K934" s="42" t="str">
        <f t="shared" si="14"/>
        <v/>
      </c>
    </row>
    <row r="935" spans="11:11" x14ac:dyDescent="0.25">
      <c r="K935" s="42" t="str">
        <f t="shared" si="14"/>
        <v/>
      </c>
    </row>
    <row r="936" spans="11:11" x14ac:dyDescent="0.25">
      <c r="K936" s="42" t="str">
        <f t="shared" si="14"/>
        <v/>
      </c>
    </row>
    <row r="937" spans="11:11" x14ac:dyDescent="0.25">
      <c r="K937" s="42" t="str">
        <f t="shared" si="14"/>
        <v/>
      </c>
    </row>
    <row r="938" spans="11:11" x14ac:dyDescent="0.25">
      <c r="K938" s="42" t="str">
        <f t="shared" si="14"/>
        <v/>
      </c>
    </row>
    <row r="939" spans="11:11" x14ac:dyDescent="0.25">
      <c r="K939" s="42" t="str">
        <f t="shared" si="14"/>
        <v/>
      </c>
    </row>
    <row r="940" spans="11:11" x14ac:dyDescent="0.25">
      <c r="K940" s="42" t="str">
        <f t="shared" si="14"/>
        <v/>
      </c>
    </row>
    <row r="941" spans="11:11" x14ac:dyDescent="0.25">
      <c r="K941" s="42" t="str">
        <f t="shared" si="14"/>
        <v/>
      </c>
    </row>
    <row r="942" spans="11:11" x14ac:dyDescent="0.25">
      <c r="K942" s="42" t="str">
        <f t="shared" si="14"/>
        <v/>
      </c>
    </row>
    <row r="943" spans="11:11" x14ac:dyDescent="0.25">
      <c r="K943" s="42" t="str">
        <f t="shared" si="14"/>
        <v/>
      </c>
    </row>
    <row r="944" spans="11:11" x14ac:dyDescent="0.25">
      <c r="K944" s="42" t="str">
        <f t="shared" si="14"/>
        <v/>
      </c>
    </row>
    <row r="945" spans="11:11" x14ac:dyDescent="0.25">
      <c r="K945" s="42" t="str">
        <f t="shared" si="14"/>
        <v/>
      </c>
    </row>
    <row r="946" spans="11:11" x14ac:dyDescent="0.25">
      <c r="K946" s="42" t="str">
        <f t="shared" si="14"/>
        <v/>
      </c>
    </row>
    <row r="947" spans="11:11" x14ac:dyDescent="0.25">
      <c r="K947" s="42" t="str">
        <f t="shared" si="14"/>
        <v/>
      </c>
    </row>
    <row r="948" spans="11:11" x14ac:dyDescent="0.25">
      <c r="K948" s="42" t="str">
        <f t="shared" si="14"/>
        <v/>
      </c>
    </row>
    <row r="949" spans="11:11" x14ac:dyDescent="0.25">
      <c r="K949" s="42" t="str">
        <f t="shared" si="14"/>
        <v/>
      </c>
    </row>
    <row r="950" spans="11:11" x14ac:dyDescent="0.25">
      <c r="K950" s="42" t="str">
        <f t="shared" si="14"/>
        <v/>
      </c>
    </row>
    <row r="951" spans="11:11" x14ac:dyDescent="0.25">
      <c r="K951" s="42" t="str">
        <f t="shared" si="14"/>
        <v/>
      </c>
    </row>
    <row r="952" spans="11:11" x14ac:dyDescent="0.25">
      <c r="K952" s="42" t="str">
        <f t="shared" si="14"/>
        <v/>
      </c>
    </row>
    <row r="953" spans="11:11" x14ac:dyDescent="0.25">
      <c r="K953" s="42" t="str">
        <f t="shared" si="14"/>
        <v/>
      </c>
    </row>
    <row r="954" spans="11:11" x14ac:dyDescent="0.25">
      <c r="K954" s="42" t="str">
        <f t="shared" si="14"/>
        <v/>
      </c>
    </row>
    <row r="955" spans="11:11" x14ac:dyDescent="0.25">
      <c r="K955" s="42" t="str">
        <f t="shared" si="14"/>
        <v/>
      </c>
    </row>
    <row r="956" spans="11:11" x14ac:dyDescent="0.25">
      <c r="K956" s="42" t="str">
        <f t="shared" si="14"/>
        <v/>
      </c>
    </row>
    <row r="957" spans="11:11" x14ac:dyDescent="0.25">
      <c r="K957" s="42" t="str">
        <f t="shared" si="14"/>
        <v/>
      </c>
    </row>
    <row r="958" spans="11:11" x14ac:dyDescent="0.25">
      <c r="K958" s="42" t="str">
        <f t="shared" si="14"/>
        <v/>
      </c>
    </row>
    <row r="959" spans="11:11" x14ac:dyDescent="0.25">
      <c r="K959" s="42" t="str">
        <f t="shared" si="14"/>
        <v/>
      </c>
    </row>
    <row r="960" spans="11:11" x14ac:dyDescent="0.25">
      <c r="K960" s="42" t="str">
        <f t="shared" si="14"/>
        <v/>
      </c>
    </row>
    <row r="961" spans="11:11" x14ac:dyDescent="0.25">
      <c r="K961" s="42" t="str">
        <f t="shared" si="14"/>
        <v/>
      </c>
    </row>
    <row r="962" spans="11:11" x14ac:dyDescent="0.25">
      <c r="K962" s="42" t="str">
        <f t="shared" si="14"/>
        <v/>
      </c>
    </row>
    <row r="963" spans="11:11" x14ac:dyDescent="0.25">
      <c r="K963" s="42" t="str">
        <f t="shared" si="14"/>
        <v/>
      </c>
    </row>
    <row r="964" spans="11:11" x14ac:dyDescent="0.25">
      <c r="K964" s="42" t="str">
        <f t="shared" si="14"/>
        <v/>
      </c>
    </row>
    <row r="965" spans="11:11" x14ac:dyDescent="0.25">
      <c r="K965" s="42" t="str">
        <f t="shared" ref="K965:K1010" si="15">IFERROR(IF(OR(H965="(blank)",H965="grand total"),"",VLOOKUP(H965,AE:AF,2,0)),"")</f>
        <v/>
      </c>
    </row>
    <row r="966" spans="11:11" x14ac:dyDescent="0.25">
      <c r="K966" s="42" t="str">
        <f t="shared" si="15"/>
        <v/>
      </c>
    </row>
    <row r="967" spans="11:11" x14ac:dyDescent="0.25">
      <c r="K967" s="42" t="str">
        <f t="shared" si="15"/>
        <v/>
      </c>
    </row>
    <row r="968" spans="11:11" x14ac:dyDescent="0.25">
      <c r="K968" s="42" t="str">
        <f t="shared" si="15"/>
        <v/>
      </c>
    </row>
    <row r="969" spans="11:11" x14ac:dyDescent="0.25">
      <c r="K969" s="42" t="str">
        <f t="shared" si="15"/>
        <v/>
      </c>
    </row>
    <row r="970" spans="11:11" x14ac:dyDescent="0.25">
      <c r="K970" s="42" t="str">
        <f t="shared" si="15"/>
        <v/>
      </c>
    </row>
    <row r="971" spans="11:11" x14ac:dyDescent="0.25">
      <c r="K971" s="42" t="str">
        <f t="shared" si="15"/>
        <v/>
      </c>
    </row>
    <row r="972" spans="11:11" x14ac:dyDescent="0.25">
      <c r="K972" s="42" t="str">
        <f t="shared" si="15"/>
        <v/>
      </c>
    </row>
    <row r="973" spans="11:11" x14ac:dyDescent="0.25">
      <c r="K973" s="42" t="str">
        <f t="shared" si="15"/>
        <v/>
      </c>
    </row>
    <row r="974" spans="11:11" x14ac:dyDescent="0.25">
      <c r="K974" s="42" t="str">
        <f t="shared" si="15"/>
        <v/>
      </c>
    </row>
    <row r="975" spans="11:11" x14ac:dyDescent="0.25">
      <c r="K975" s="42" t="str">
        <f t="shared" si="15"/>
        <v/>
      </c>
    </row>
    <row r="976" spans="11:11" x14ac:dyDescent="0.25">
      <c r="K976" s="42" t="str">
        <f t="shared" si="15"/>
        <v/>
      </c>
    </row>
    <row r="977" spans="11:11" x14ac:dyDescent="0.25">
      <c r="K977" s="42" t="str">
        <f t="shared" si="15"/>
        <v/>
      </c>
    </row>
    <row r="978" spans="11:11" x14ac:dyDescent="0.25">
      <c r="K978" s="42" t="str">
        <f t="shared" si="15"/>
        <v/>
      </c>
    </row>
    <row r="979" spans="11:11" x14ac:dyDescent="0.25">
      <c r="K979" s="42" t="str">
        <f t="shared" si="15"/>
        <v/>
      </c>
    </row>
    <row r="980" spans="11:11" x14ac:dyDescent="0.25">
      <c r="K980" s="42" t="str">
        <f t="shared" si="15"/>
        <v/>
      </c>
    </row>
    <row r="981" spans="11:11" x14ac:dyDescent="0.25">
      <c r="K981" s="42" t="str">
        <f t="shared" si="15"/>
        <v/>
      </c>
    </row>
    <row r="982" spans="11:11" x14ac:dyDescent="0.25">
      <c r="K982" s="42" t="str">
        <f t="shared" si="15"/>
        <v/>
      </c>
    </row>
    <row r="983" spans="11:11" x14ac:dyDescent="0.25">
      <c r="K983" s="42" t="str">
        <f t="shared" si="15"/>
        <v/>
      </c>
    </row>
    <row r="984" spans="11:11" x14ac:dyDescent="0.25">
      <c r="K984" s="42" t="str">
        <f t="shared" si="15"/>
        <v/>
      </c>
    </row>
    <row r="985" spans="11:11" x14ac:dyDescent="0.25">
      <c r="K985" s="42" t="str">
        <f t="shared" si="15"/>
        <v/>
      </c>
    </row>
    <row r="986" spans="11:11" x14ac:dyDescent="0.25">
      <c r="K986" s="42" t="str">
        <f t="shared" si="15"/>
        <v/>
      </c>
    </row>
    <row r="987" spans="11:11" x14ac:dyDescent="0.25">
      <c r="K987" s="42" t="str">
        <f t="shared" si="15"/>
        <v/>
      </c>
    </row>
    <row r="988" spans="11:11" x14ac:dyDescent="0.25">
      <c r="K988" s="42" t="str">
        <f t="shared" si="15"/>
        <v/>
      </c>
    </row>
    <row r="989" spans="11:11" x14ac:dyDescent="0.25">
      <c r="K989" s="42" t="str">
        <f t="shared" si="15"/>
        <v/>
      </c>
    </row>
    <row r="990" spans="11:11" x14ac:dyDescent="0.25">
      <c r="K990" s="42" t="str">
        <f t="shared" si="15"/>
        <v/>
      </c>
    </row>
    <row r="991" spans="11:11" x14ac:dyDescent="0.25">
      <c r="K991" s="42" t="str">
        <f t="shared" si="15"/>
        <v/>
      </c>
    </row>
    <row r="992" spans="11:11" x14ac:dyDescent="0.25">
      <c r="K992" s="42" t="str">
        <f t="shared" si="15"/>
        <v/>
      </c>
    </row>
    <row r="993" spans="11:11" x14ac:dyDescent="0.25">
      <c r="K993" s="42" t="str">
        <f t="shared" si="15"/>
        <v/>
      </c>
    </row>
    <row r="994" spans="11:11" x14ac:dyDescent="0.25">
      <c r="K994" s="42" t="str">
        <f t="shared" si="15"/>
        <v/>
      </c>
    </row>
    <row r="995" spans="11:11" x14ac:dyDescent="0.25">
      <c r="K995" s="42" t="str">
        <f t="shared" si="15"/>
        <v/>
      </c>
    </row>
    <row r="996" spans="11:11" x14ac:dyDescent="0.25">
      <c r="K996" s="42" t="str">
        <f t="shared" si="15"/>
        <v/>
      </c>
    </row>
    <row r="997" spans="11:11" x14ac:dyDescent="0.25">
      <c r="K997" s="42" t="str">
        <f t="shared" si="15"/>
        <v/>
      </c>
    </row>
    <row r="998" spans="11:11" x14ac:dyDescent="0.25">
      <c r="K998" s="42" t="str">
        <f t="shared" si="15"/>
        <v/>
      </c>
    </row>
    <row r="999" spans="11:11" x14ac:dyDescent="0.25">
      <c r="K999" s="42" t="str">
        <f t="shared" si="15"/>
        <v/>
      </c>
    </row>
    <row r="1000" spans="11:11" x14ac:dyDescent="0.25">
      <c r="K1000" s="42" t="str">
        <f t="shared" si="15"/>
        <v/>
      </c>
    </row>
    <row r="1001" spans="11:11" x14ac:dyDescent="0.25">
      <c r="K1001" s="42" t="str">
        <f t="shared" si="15"/>
        <v/>
      </c>
    </row>
    <row r="1002" spans="11:11" x14ac:dyDescent="0.25">
      <c r="K1002" s="42" t="str">
        <f t="shared" si="15"/>
        <v/>
      </c>
    </row>
    <row r="1003" spans="11:11" x14ac:dyDescent="0.25">
      <c r="K1003" s="42" t="str">
        <f t="shared" si="15"/>
        <v/>
      </c>
    </row>
    <row r="1004" spans="11:11" x14ac:dyDescent="0.25">
      <c r="K1004" s="42" t="str">
        <f t="shared" si="15"/>
        <v/>
      </c>
    </row>
    <row r="1005" spans="11:11" x14ac:dyDescent="0.25">
      <c r="K1005" s="42" t="str">
        <f t="shared" si="15"/>
        <v/>
      </c>
    </row>
    <row r="1006" spans="11:11" x14ac:dyDescent="0.25">
      <c r="K1006" s="42" t="str">
        <f t="shared" si="15"/>
        <v/>
      </c>
    </row>
    <row r="1007" spans="11:11" x14ac:dyDescent="0.25">
      <c r="K1007" s="42" t="str">
        <f t="shared" si="15"/>
        <v/>
      </c>
    </row>
    <row r="1008" spans="11:11" x14ac:dyDescent="0.25">
      <c r="K1008" s="42" t="str">
        <f t="shared" si="15"/>
        <v/>
      </c>
    </row>
    <row r="1009" spans="11:11" x14ac:dyDescent="0.25">
      <c r="K1009" s="42" t="str">
        <f t="shared" si="15"/>
        <v/>
      </c>
    </row>
    <row r="1010" spans="11:11" x14ac:dyDescent="0.25">
      <c r="K1010" s="42" t="str">
        <f t="shared" si="15"/>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EE58D-372B-40D4-9D8A-FA6F341F0C6E}">
  <sheetPr codeName="Sheet3">
    <tabColor rgb="FF8FCFAD"/>
  </sheetPr>
  <dimension ref="A1:L104"/>
  <sheetViews>
    <sheetView showGridLines="0" zoomScale="90" zoomScaleNormal="90" workbookViewId="0">
      <pane ySplit="2" topLeftCell="A59" activePane="bottomLeft" state="frozen"/>
      <selection pane="bottomLeft" activeCell="I96" sqref="I96"/>
    </sheetView>
  </sheetViews>
  <sheetFormatPr defaultColWidth="9.140625" defaultRowHeight="12.75" x14ac:dyDescent="0.2"/>
  <cols>
    <col min="1" max="1" width="9.85546875" style="7" customWidth="1"/>
    <col min="2" max="2" width="9.7109375" style="1" customWidth="1"/>
    <col min="3" max="3" width="8" style="1" customWidth="1"/>
    <col min="4" max="4" width="10.7109375" style="8" customWidth="1"/>
    <col min="5" max="5" width="10.5703125" style="1" customWidth="1"/>
    <col min="6" max="6" width="16.28515625" style="1" hidden="1" customWidth="1"/>
    <col min="7" max="7" width="27.28515625" style="1" customWidth="1"/>
    <col min="8" max="8" width="25.140625" style="8" customWidth="1"/>
    <col min="9" max="9" width="44.42578125" style="8" customWidth="1"/>
    <col min="10" max="10" width="22" style="1" customWidth="1"/>
    <col min="11" max="11" width="19.28515625" style="8" customWidth="1"/>
    <col min="12" max="12" width="17.140625" style="1" customWidth="1"/>
    <col min="13" max="13" width="10.28515625" style="1" customWidth="1"/>
    <col min="14" max="16384" width="9.140625" style="1"/>
  </cols>
  <sheetData>
    <row r="1" spans="1:12" x14ac:dyDescent="0.2">
      <c r="A1" s="1"/>
      <c r="D1" s="1"/>
      <c r="H1" s="1"/>
      <c r="I1" s="1"/>
      <c r="K1" s="1"/>
    </row>
    <row r="2" spans="1:12" ht="29.25" customHeight="1" x14ac:dyDescent="0.2">
      <c r="A2" s="48" t="s">
        <v>9</v>
      </c>
      <c r="B2" s="48" t="s">
        <v>10</v>
      </c>
      <c r="C2" s="48" t="s">
        <v>11</v>
      </c>
      <c r="D2" s="48" t="s">
        <v>17</v>
      </c>
      <c r="E2" s="48" t="s">
        <v>18</v>
      </c>
      <c r="F2" s="48" t="s">
        <v>31</v>
      </c>
      <c r="G2" s="48" t="s">
        <v>37</v>
      </c>
      <c r="H2" s="48" t="s">
        <v>36</v>
      </c>
      <c r="I2" s="48" t="s">
        <v>22</v>
      </c>
      <c r="J2" s="48" t="s">
        <v>41</v>
      </c>
      <c r="K2" s="48" t="s">
        <v>21</v>
      </c>
      <c r="L2" s="49" t="s">
        <v>42</v>
      </c>
    </row>
    <row r="3" spans="1:12" x14ac:dyDescent="0.2">
      <c r="A3" s="22">
        <v>43831</v>
      </c>
      <c r="B3" s="23">
        <f>IF('Raw Data'!$A3="","",'Raw Data'!$A3)</f>
        <v>43831</v>
      </c>
      <c r="C3" s="24">
        <f>'Raw Data'!$B3</f>
        <v>43831</v>
      </c>
      <c r="D3" s="25" t="s">
        <v>23</v>
      </c>
      <c r="E3" s="26" t="s">
        <v>27</v>
      </c>
      <c r="F3" s="27" t="str">
        <f>'Raw Data'!$D3&amp;" "&amp;'Raw Data'!$E3</f>
        <v>Bosch Branding</v>
      </c>
      <c r="G3" s="28">
        <f>IFERROR(VLOOKUP('Raw Data'!$F3,Database!O:S,2,0),"")</f>
        <v>7704351160</v>
      </c>
      <c r="H3" s="27" t="str">
        <f>IFERROR(VLOOKUP('Raw Data'!$F3,Database!O:S,3,0),"")</f>
        <v>Permanent Indoor POS</v>
      </c>
      <c r="I3" s="25" t="s">
        <v>95</v>
      </c>
      <c r="J3" s="34">
        <v>62530</v>
      </c>
      <c r="K3" s="29">
        <v>116202.7</v>
      </c>
      <c r="L3" s="30">
        <f>IFERROR('Raw Data'!$J3-'Raw Data'!$K3,"")</f>
        <v>-53672.7</v>
      </c>
    </row>
    <row r="4" spans="1:12" x14ac:dyDescent="0.2">
      <c r="A4" s="22">
        <v>43831</v>
      </c>
      <c r="B4" s="23">
        <f>IF('Raw Data'!$A4="","",'Raw Data'!$A4)</f>
        <v>43831</v>
      </c>
      <c r="C4" s="24">
        <f>'Raw Data'!$B4</f>
        <v>43831</v>
      </c>
      <c r="D4" s="25" t="s">
        <v>23</v>
      </c>
      <c r="E4" s="26" t="s">
        <v>27</v>
      </c>
      <c r="F4" s="27" t="str">
        <f>'Raw Data'!$D4&amp;" "&amp;'Raw Data'!$E4</f>
        <v>Bosch Branding</v>
      </c>
      <c r="G4" s="28">
        <f>IFERROR(VLOOKUP('Raw Data'!$F4,Database!O:S,2,0),"")</f>
        <v>7704351160</v>
      </c>
      <c r="H4" s="27" t="str">
        <f>IFERROR(VLOOKUP('Raw Data'!$F4,Database!O:S,3,0),"")</f>
        <v>Permanent Indoor POS</v>
      </c>
      <c r="I4" s="25" t="s">
        <v>96</v>
      </c>
      <c r="J4" s="34">
        <v>65277</v>
      </c>
      <c r="K4" s="29">
        <v>27000</v>
      </c>
      <c r="L4" s="30">
        <f>IFERROR('Raw Data'!$J4-'Raw Data'!$K4,"")</f>
        <v>38277</v>
      </c>
    </row>
    <row r="5" spans="1:12" x14ac:dyDescent="0.2">
      <c r="A5" s="22">
        <v>43831</v>
      </c>
      <c r="B5" s="23">
        <f>IF('Raw Data'!$A5="","",'Raw Data'!$A5)</f>
        <v>43831</v>
      </c>
      <c r="C5" s="24">
        <f>'Raw Data'!$B5</f>
        <v>43831</v>
      </c>
      <c r="D5" s="25" t="s">
        <v>23</v>
      </c>
      <c r="E5" s="26" t="s">
        <v>27</v>
      </c>
      <c r="F5" s="27" t="str">
        <f>'Raw Data'!$D5&amp;" "&amp;'Raw Data'!$E5</f>
        <v>Bosch Branding</v>
      </c>
      <c r="G5" s="28">
        <f>IFERROR(VLOOKUP('Raw Data'!$F5,Database!O:S,2,0),"")</f>
        <v>7704351160</v>
      </c>
      <c r="H5" s="27" t="str">
        <f>IFERROR(VLOOKUP('Raw Data'!$F5,Database!O:S,3,0),"")</f>
        <v>Permanent Indoor POS</v>
      </c>
      <c r="I5" s="25" t="s">
        <v>97</v>
      </c>
      <c r="J5" s="34">
        <v>52111</v>
      </c>
      <c r="K5" s="29">
        <v>50000</v>
      </c>
      <c r="L5" s="30">
        <f>IFERROR('Raw Data'!$J5-'Raw Data'!$K5,"")</f>
        <v>2111</v>
      </c>
    </row>
    <row r="6" spans="1:12" x14ac:dyDescent="0.2">
      <c r="A6" s="22">
        <v>43862</v>
      </c>
      <c r="B6" s="23">
        <f>IF('Raw Data'!$A6="","",'Raw Data'!$A6)</f>
        <v>43862</v>
      </c>
      <c r="C6" s="24">
        <f>'Raw Data'!$B6</f>
        <v>43862</v>
      </c>
      <c r="D6" s="25" t="s">
        <v>23</v>
      </c>
      <c r="E6" s="26" t="s">
        <v>27</v>
      </c>
      <c r="F6" s="27" t="str">
        <f>'Raw Data'!$D6&amp;" "&amp;'Raw Data'!$E6</f>
        <v>Bosch Branding</v>
      </c>
      <c r="G6" s="28">
        <f>IFERROR(VLOOKUP('Raw Data'!$F6,Database!O:S,2,0),"")</f>
        <v>7704351160</v>
      </c>
      <c r="H6" s="27" t="str">
        <f>IFERROR(VLOOKUP('Raw Data'!$F6,Database!O:S,3,0),"")</f>
        <v>Permanent Indoor POS</v>
      </c>
      <c r="I6" s="25" t="s">
        <v>98</v>
      </c>
      <c r="J6" s="34">
        <v>73775</v>
      </c>
      <c r="K6" s="29">
        <v>20050</v>
      </c>
      <c r="L6" s="30">
        <f>IFERROR('Raw Data'!$J6-'Raw Data'!$K6,"")</f>
        <v>53725</v>
      </c>
    </row>
    <row r="7" spans="1:12" x14ac:dyDescent="0.2">
      <c r="A7" s="22">
        <v>43862</v>
      </c>
      <c r="B7" s="23">
        <f>IF('Raw Data'!$A7="","",'Raw Data'!$A7)</f>
        <v>43862</v>
      </c>
      <c r="C7" s="24">
        <f>'Raw Data'!$B7</f>
        <v>43862</v>
      </c>
      <c r="D7" s="25" t="s">
        <v>23</v>
      </c>
      <c r="E7" s="26" t="s">
        <v>27</v>
      </c>
      <c r="F7" s="27" t="str">
        <f>'Raw Data'!$D7&amp;" "&amp;'Raw Data'!$E7</f>
        <v>Bosch Branding</v>
      </c>
      <c r="G7" s="28">
        <f>IFERROR(VLOOKUP('Raw Data'!$F7,Database!O:S,2,0),"")</f>
        <v>7704351160</v>
      </c>
      <c r="H7" s="27" t="str">
        <f>IFERROR(VLOOKUP('Raw Data'!$F7,Database!O:S,3,0),"")</f>
        <v>Permanent Indoor POS</v>
      </c>
      <c r="I7" s="25" t="s">
        <v>99</v>
      </c>
      <c r="J7" s="34">
        <v>55336</v>
      </c>
      <c r="K7" s="29">
        <v>324800</v>
      </c>
      <c r="L7" s="30">
        <f>IFERROR('Raw Data'!$J7-'Raw Data'!$K7,"")</f>
        <v>-269464</v>
      </c>
    </row>
    <row r="8" spans="1:12" x14ac:dyDescent="0.2">
      <c r="A8" s="22">
        <v>43862</v>
      </c>
      <c r="B8" s="23">
        <f>IF('Raw Data'!$A8="","",'Raw Data'!$A8)</f>
        <v>43862</v>
      </c>
      <c r="C8" s="24">
        <f>'Raw Data'!$B8</f>
        <v>43862</v>
      </c>
      <c r="D8" s="25" t="s">
        <v>23</v>
      </c>
      <c r="E8" s="26" t="s">
        <v>27</v>
      </c>
      <c r="F8" s="27" t="str">
        <f>'Raw Data'!$D8&amp;" "&amp;'Raw Data'!$E8</f>
        <v>Bosch Branding</v>
      </c>
      <c r="G8" s="28">
        <f>IFERROR(VLOOKUP('Raw Data'!$F8,Database!O:S,2,0),"")</f>
        <v>7704351160</v>
      </c>
      <c r="H8" s="27" t="str">
        <f>IFERROR(VLOOKUP('Raw Data'!$F8,Database!O:S,3,0),"")</f>
        <v>Permanent Indoor POS</v>
      </c>
      <c r="I8" s="25" t="s">
        <v>100</v>
      </c>
      <c r="J8" s="34">
        <v>62136</v>
      </c>
      <c r="K8" s="29">
        <v>50000</v>
      </c>
      <c r="L8" s="30">
        <f>IFERROR('Raw Data'!$J8-'Raw Data'!$K8,"")</f>
        <v>12136</v>
      </c>
    </row>
    <row r="9" spans="1:12" x14ac:dyDescent="0.2">
      <c r="A9" s="22">
        <v>43891</v>
      </c>
      <c r="B9" s="23">
        <f>IF('Raw Data'!$A9="","",'Raw Data'!$A9)</f>
        <v>43891</v>
      </c>
      <c r="C9" s="24">
        <f>'Raw Data'!$B9</f>
        <v>43891</v>
      </c>
      <c r="D9" s="25" t="s">
        <v>23</v>
      </c>
      <c r="E9" s="26" t="s">
        <v>27</v>
      </c>
      <c r="F9" s="27" t="str">
        <f>'Raw Data'!$D9&amp;" "&amp;'Raw Data'!$E9</f>
        <v>Bosch Branding</v>
      </c>
      <c r="G9" s="28">
        <f>IFERROR(VLOOKUP('Raw Data'!$F9,Database!O:S,2,0),"")</f>
        <v>7704351160</v>
      </c>
      <c r="H9" s="27" t="str">
        <f>IFERROR(VLOOKUP('Raw Data'!$F9,Database!O:S,3,0),"")</f>
        <v>Permanent Indoor POS</v>
      </c>
      <c r="I9" s="25" t="s">
        <v>101</v>
      </c>
      <c r="J9" s="34">
        <v>69119</v>
      </c>
      <c r="K9" s="29">
        <v>50000</v>
      </c>
      <c r="L9" s="30">
        <f>IFERROR('Raw Data'!$J9-'Raw Data'!$K9,"")</f>
        <v>19119</v>
      </c>
    </row>
    <row r="10" spans="1:12" x14ac:dyDescent="0.2">
      <c r="A10" s="22">
        <v>43922</v>
      </c>
      <c r="B10" s="23">
        <f>IF('Raw Data'!$A10="","",'Raw Data'!$A10)</f>
        <v>43922</v>
      </c>
      <c r="C10" s="24">
        <f>'Raw Data'!$B10</f>
        <v>43922</v>
      </c>
      <c r="D10" s="25" t="s">
        <v>23</v>
      </c>
      <c r="E10" s="26" t="s">
        <v>27</v>
      </c>
      <c r="F10" s="27" t="str">
        <f>'Raw Data'!$D10&amp;" "&amp;'Raw Data'!$E10</f>
        <v>Bosch Branding</v>
      </c>
      <c r="G10" s="28">
        <f>IFERROR(VLOOKUP('Raw Data'!$F10,Database!O:S,2,0),"")</f>
        <v>7704351160</v>
      </c>
      <c r="H10" s="27" t="str">
        <f>IFERROR(VLOOKUP('Raw Data'!$F10,Database!O:S,3,0),"")</f>
        <v>Permanent Indoor POS</v>
      </c>
      <c r="I10" s="25" t="s">
        <v>102</v>
      </c>
      <c r="J10" s="34">
        <v>57135</v>
      </c>
      <c r="K10" s="29">
        <v>47493.170000000042</v>
      </c>
      <c r="L10" s="30">
        <f>IFERROR('Raw Data'!$J10-'Raw Data'!$K10,"")</f>
        <v>9641.8299999999581</v>
      </c>
    </row>
    <row r="11" spans="1:12" x14ac:dyDescent="0.2">
      <c r="A11" s="22">
        <v>43952</v>
      </c>
      <c r="B11" s="23">
        <f>IF('Raw Data'!$A11="","",'Raw Data'!$A11)</f>
        <v>43952</v>
      </c>
      <c r="C11" s="24">
        <f>'Raw Data'!$B11</f>
        <v>43952</v>
      </c>
      <c r="D11" s="25" t="s">
        <v>23</v>
      </c>
      <c r="E11" s="26" t="s">
        <v>27</v>
      </c>
      <c r="F11" s="27" t="str">
        <f>'Raw Data'!$D11&amp;" "&amp;'Raw Data'!$E11</f>
        <v>Bosch Branding</v>
      </c>
      <c r="G11" s="28">
        <f>IFERROR(VLOOKUP('Raw Data'!$F11,Database!O:S,2,0),"")</f>
        <v>7704351160</v>
      </c>
      <c r="H11" s="27" t="str">
        <f>IFERROR(VLOOKUP('Raw Data'!$F11,Database!O:S,3,0),"")</f>
        <v>Permanent Indoor POS</v>
      </c>
      <c r="I11" s="25" t="s">
        <v>103</v>
      </c>
      <c r="J11" s="34">
        <v>58271</v>
      </c>
      <c r="K11" s="29">
        <v>5856.25</v>
      </c>
      <c r="L11" s="30">
        <f>IFERROR('Raw Data'!$J11-'Raw Data'!$K11,"")</f>
        <v>52414.75</v>
      </c>
    </row>
    <row r="12" spans="1:12" x14ac:dyDescent="0.2">
      <c r="A12" s="22">
        <v>43952</v>
      </c>
      <c r="B12" s="23">
        <f>IF('Raw Data'!$A12="","",'Raw Data'!$A12)</f>
        <v>43952</v>
      </c>
      <c r="C12" s="24">
        <f>'Raw Data'!$B12</f>
        <v>43952</v>
      </c>
      <c r="D12" s="25" t="s">
        <v>23</v>
      </c>
      <c r="E12" s="26" t="s">
        <v>27</v>
      </c>
      <c r="F12" s="27" t="str">
        <f>'Raw Data'!$D12&amp;" "&amp;'Raw Data'!$E12</f>
        <v>Bosch Branding</v>
      </c>
      <c r="G12" s="28">
        <f>IFERROR(VLOOKUP('Raw Data'!$F12,Database!O:S,2,0),"")</f>
        <v>7704351160</v>
      </c>
      <c r="H12" s="27" t="str">
        <f>IFERROR(VLOOKUP('Raw Data'!$F12,Database!O:S,3,0),"")</f>
        <v>Permanent Indoor POS</v>
      </c>
      <c r="I12" s="25" t="s">
        <v>104</v>
      </c>
      <c r="J12" s="34">
        <v>61247</v>
      </c>
      <c r="K12" s="29">
        <v>30350</v>
      </c>
      <c r="L12" s="30">
        <f>IFERROR('Raw Data'!$J12-'Raw Data'!$K12,"")</f>
        <v>30897</v>
      </c>
    </row>
    <row r="13" spans="1:12" x14ac:dyDescent="0.2">
      <c r="A13" s="22">
        <v>43952</v>
      </c>
      <c r="B13" s="23">
        <f>IF('Raw Data'!$A13="","",'Raw Data'!$A13)</f>
        <v>43952</v>
      </c>
      <c r="C13" s="24">
        <f>'Raw Data'!$B13</f>
        <v>43952</v>
      </c>
      <c r="D13" s="25" t="s">
        <v>23</v>
      </c>
      <c r="E13" s="26" t="s">
        <v>27</v>
      </c>
      <c r="F13" s="27" t="str">
        <f>'Raw Data'!$D13&amp;" "&amp;'Raw Data'!$E13</f>
        <v>Bosch Branding</v>
      </c>
      <c r="G13" s="28">
        <f>IFERROR(VLOOKUP('Raw Data'!$F13,Database!O:S,2,0),"")</f>
        <v>7704351160</v>
      </c>
      <c r="H13" s="27" t="str">
        <f>IFERROR(VLOOKUP('Raw Data'!$F13,Database!O:S,3,0),"")</f>
        <v>Permanent Indoor POS</v>
      </c>
      <c r="I13" s="25" t="s">
        <v>105</v>
      </c>
      <c r="J13" s="34">
        <v>53298</v>
      </c>
      <c r="K13" s="29">
        <v>25976</v>
      </c>
      <c r="L13" s="30">
        <f>IFERROR('Raw Data'!$J13-'Raw Data'!$K13,"")</f>
        <v>27322</v>
      </c>
    </row>
    <row r="14" spans="1:12" x14ac:dyDescent="0.2">
      <c r="A14" s="22">
        <v>43952</v>
      </c>
      <c r="B14" s="23">
        <f>IF('Raw Data'!$A14="","",'Raw Data'!$A14)</f>
        <v>43952</v>
      </c>
      <c r="C14" s="24">
        <f>'Raw Data'!$B14</f>
        <v>43952</v>
      </c>
      <c r="D14" s="25" t="s">
        <v>23</v>
      </c>
      <c r="E14" s="26" t="s">
        <v>27</v>
      </c>
      <c r="F14" s="27" t="str">
        <f>'Raw Data'!$D14&amp;" "&amp;'Raw Data'!$E14</f>
        <v>Bosch Branding</v>
      </c>
      <c r="G14" s="28">
        <f>IFERROR(VLOOKUP('Raw Data'!$F14,Database!O:S,2,0),"")</f>
        <v>7704351160</v>
      </c>
      <c r="H14" s="27" t="str">
        <f>IFERROR(VLOOKUP('Raw Data'!$F14,Database!O:S,3,0),"")</f>
        <v>Permanent Indoor POS</v>
      </c>
      <c r="I14" s="25" t="s">
        <v>106</v>
      </c>
      <c r="J14" s="34">
        <v>66210</v>
      </c>
      <c r="K14" s="29">
        <v>2516</v>
      </c>
      <c r="L14" s="30">
        <f>IFERROR('Raw Data'!$J14-'Raw Data'!$K14,"")</f>
        <v>63694</v>
      </c>
    </row>
    <row r="15" spans="1:12" x14ac:dyDescent="0.2">
      <c r="A15" s="22">
        <v>43952</v>
      </c>
      <c r="B15" s="23">
        <f>IF('Raw Data'!$A15="","",'Raw Data'!$A15)</f>
        <v>43952</v>
      </c>
      <c r="C15" s="24">
        <f>'Raw Data'!$B15</f>
        <v>43952</v>
      </c>
      <c r="D15" s="25" t="s">
        <v>23</v>
      </c>
      <c r="E15" s="26" t="s">
        <v>27</v>
      </c>
      <c r="F15" s="27" t="str">
        <f>'Raw Data'!$D15&amp;" "&amp;'Raw Data'!$E15</f>
        <v>Bosch Branding</v>
      </c>
      <c r="G15" s="28">
        <f>IFERROR(VLOOKUP('Raw Data'!$F15,Database!O:S,2,0),"")</f>
        <v>7704351160</v>
      </c>
      <c r="H15" s="27" t="str">
        <f>IFERROR(VLOOKUP('Raw Data'!$F15,Database!O:S,3,0),"")</f>
        <v>Permanent Indoor POS</v>
      </c>
      <c r="I15" s="25" t="s">
        <v>107</v>
      </c>
      <c r="J15" s="34">
        <v>57749</v>
      </c>
      <c r="K15" s="29">
        <v>884</v>
      </c>
      <c r="L15" s="30">
        <f>IFERROR('Raw Data'!$J15-'Raw Data'!$K15,"")</f>
        <v>56865</v>
      </c>
    </row>
    <row r="16" spans="1:12" x14ac:dyDescent="0.2">
      <c r="A16" s="22">
        <v>43952</v>
      </c>
      <c r="B16" s="23">
        <f>IF('Raw Data'!$A16="","",'Raw Data'!$A16)</f>
        <v>43952</v>
      </c>
      <c r="C16" s="24">
        <f>'Raw Data'!$B16</f>
        <v>43952</v>
      </c>
      <c r="D16" s="25" t="s">
        <v>23</v>
      </c>
      <c r="E16" s="26" t="s">
        <v>27</v>
      </c>
      <c r="F16" s="27" t="str">
        <f>'Raw Data'!$D16&amp;" "&amp;'Raw Data'!$E16</f>
        <v>Bosch Branding</v>
      </c>
      <c r="G16" s="28">
        <f>IFERROR(VLOOKUP('Raw Data'!$F16,Database!O:S,2,0),"")</f>
        <v>7704351160</v>
      </c>
      <c r="H16" s="27" t="str">
        <f>IFERROR(VLOOKUP('Raw Data'!$F16,Database!O:S,3,0),"")</f>
        <v>Permanent Indoor POS</v>
      </c>
      <c r="I16" s="25" t="s">
        <v>108</v>
      </c>
      <c r="J16" s="34">
        <v>65435</v>
      </c>
      <c r="K16" s="29">
        <v>262.5</v>
      </c>
      <c r="L16" s="30">
        <f>IFERROR('Raw Data'!$J16-'Raw Data'!$K16,"")</f>
        <v>65172.5</v>
      </c>
    </row>
    <row r="17" spans="1:12" x14ac:dyDescent="0.2">
      <c r="A17" s="22">
        <v>43983</v>
      </c>
      <c r="B17" s="23">
        <f>IF('Raw Data'!$A17="","",'Raw Data'!$A17)</f>
        <v>43983</v>
      </c>
      <c r="C17" s="24">
        <f>'Raw Data'!$B17</f>
        <v>43983</v>
      </c>
      <c r="D17" s="25" t="s">
        <v>23</v>
      </c>
      <c r="E17" s="26" t="s">
        <v>27</v>
      </c>
      <c r="F17" s="27" t="str">
        <f>'Raw Data'!$D17&amp;" "&amp;'Raw Data'!$E17</f>
        <v>Bosch Branding</v>
      </c>
      <c r="G17" s="28">
        <f>IFERROR(VLOOKUP('Raw Data'!$F17,Database!O:S,2,0),"")</f>
        <v>7704351160</v>
      </c>
      <c r="H17" s="27" t="str">
        <f>IFERROR(VLOOKUP('Raw Data'!$F17,Database!O:S,3,0),"")</f>
        <v>Permanent Indoor POS</v>
      </c>
      <c r="I17" s="25" t="s">
        <v>109</v>
      </c>
      <c r="J17" s="34">
        <v>66534</v>
      </c>
      <c r="K17" s="29">
        <v>14400</v>
      </c>
      <c r="L17" s="30">
        <f>IFERROR('Raw Data'!$J17-'Raw Data'!$K17,"")</f>
        <v>52134</v>
      </c>
    </row>
    <row r="18" spans="1:12" x14ac:dyDescent="0.2">
      <c r="A18" s="22">
        <v>43983</v>
      </c>
      <c r="B18" s="23">
        <f>IF('Raw Data'!$A18="","",'Raw Data'!$A18)</f>
        <v>43983</v>
      </c>
      <c r="C18" s="24">
        <f>'Raw Data'!$B18</f>
        <v>43983</v>
      </c>
      <c r="D18" s="25" t="s">
        <v>23</v>
      </c>
      <c r="E18" s="26" t="s">
        <v>27</v>
      </c>
      <c r="F18" s="27" t="str">
        <f>'Raw Data'!$D18&amp;" "&amp;'Raw Data'!$E18</f>
        <v>Bosch Branding</v>
      </c>
      <c r="G18" s="28">
        <f>IFERROR(VLOOKUP('Raw Data'!$F18,Database!O:S,2,0),"")</f>
        <v>7704351160</v>
      </c>
      <c r="H18" s="27" t="str">
        <f>IFERROR(VLOOKUP('Raw Data'!$F18,Database!O:S,3,0),"")</f>
        <v>Permanent Indoor POS</v>
      </c>
      <c r="I18" s="25" t="s">
        <v>110</v>
      </c>
      <c r="J18" s="34">
        <v>60710</v>
      </c>
      <c r="K18" s="29">
        <v>5780</v>
      </c>
      <c r="L18" s="30">
        <f>IFERROR('Raw Data'!$J18-'Raw Data'!$K18,"")</f>
        <v>54930</v>
      </c>
    </row>
    <row r="19" spans="1:12" x14ac:dyDescent="0.2">
      <c r="A19" s="22">
        <v>43983</v>
      </c>
      <c r="B19" s="23">
        <f>IF('Raw Data'!$A19="","",'Raw Data'!$A19)</f>
        <v>43983</v>
      </c>
      <c r="C19" s="24">
        <f>'Raw Data'!$B19</f>
        <v>43983</v>
      </c>
      <c r="D19" s="25" t="s">
        <v>23</v>
      </c>
      <c r="E19" s="26" t="s">
        <v>27</v>
      </c>
      <c r="F19" s="27" t="str">
        <f>'Raw Data'!$D19&amp;" "&amp;'Raw Data'!$E19</f>
        <v>Bosch Branding</v>
      </c>
      <c r="G19" s="28">
        <f>IFERROR(VLOOKUP('Raw Data'!$F19,Database!O:S,2,0),"")</f>
        <v>7704351160</v>
      </c>
      <c r="H19" s="27" t="str">
        <f>IFERROR(VLOOKUP('Raw Data'!$F19,Database!O:S,3,0),"")</f>
        <v>Permanent Indoor POS</v>
      </c>
      <c r="I19" s="25" t="s">
        <v>111</v>
      </c>
      <c r="J19" s="34">
        <v>72932</v>
      </c>
      <c r="K19" s="29">
        <v>15840.7</v>
      </c>
      <c r="L19" s="30">
        <f>IFERROR('Raw Data'!$J19-'Raw Data'!$K19,"")</f>
        <v>57091.3</v>
      </c>
    </row>
    <row r="20" spans="1:12" x14ac:dyDescent="0.2">
      <c r="A20" s="22">
        <v>44013</v>
      </c>
      <c r="B20" s="23">
        <f>IF('Raw Data'!$A20="","",'Raw Data'!$A20)</f>
        <v>44013</v>
      </c>
      <c r="C20" s="24">
        <f>'Raw Data'!$B20</f>
        <v>44013</v>
      </c>
      <c r="D20" s="25" t="s">
        <v>23</v>
      </c>
      <c r="E20" s="26" t="s">
        <v>27</v>
      </c>
      <c r="F20" s="27" t="str">
        <f>'Raw Data'!$D20&amp;" "&amp;'Raw Data'!$E20</f>
        <v>Bosch Branding</v>
      </c>
      <c r="G20" s="28">
        <f>IFERROR(VLOOKUP('Raw Data'!$F20,Database!O:S,2,0),"")</f>
        <v>7704351160</v>
      </c>
      <c r="H20" s="27" t="str">
        <f>IFERROR(VLOOKUP('Raw Data'!$F20,Database!O:S,3,0),"")</f>
        <v>Permanent Indoor POS</v>
      </c>
      <c r="I20" s="25" t="s">
        <v>95</v>
      </c>
      <c r="J20" s="34">
        <v>54930</v>
      </c>
      <c r="K20" s="29">
        <v>39924</v>
      </c>
      <c r="L20" s="30">
        <f>IFERROR('Raw Data'!$J20-'Raw Data'!$K20,"")</f>
        <v>15006</v>
      </c>
    </row>
    <row r="21" spans="1:12" x14ac:dyDescent="0.2">
      <c r="A21" s="22">
        <v>44013</v>
      </c>
      <c r="B21" s="23">
        <f>IF('Raw Data'!$A21="","",'Raw Data'!$A21)</f>
        <v>44013</v>
      </c>
      <c r="C21" s="24">
        <f>'Raw Data'!$B21</f>
        <v>44013</v>
      </c>
      <c r="D21" s="25" t="s">
        <v>23</v>
      </c>
      <c r="E21" s="26" t="s">
        <v>27</v>
      </c>
      <c r="F21" s="27" t="str">
        <f>'Raw Data'!$D21&amp;" "&amp;'Raw Data'!$E21</f>
        <v>Bosch Branding</v>
      </c>
      <c r="G21" s="28">
        <f>IFERROR(VLOOKUP('Raw Data'!$F21,Database!O:S,2,0),"")</f>
        <v>7704351160</v>
      </c>
      <c r="H21" s="27" t="str">
        <f>IFERROR(VLOOKUP('Raw Data'!$F21,Database!O:S,3,0),"")</f>
        <v>Permanent Indoor POS</v>
      </c>
      <c r="I21" s="25" t="s">
        <v>96</v>
      </c>
      <c r="J21" s="34">
        <v>60031</v>
      </c>
      <c r="K21" s="29">
        <v>38342.29</v>
      </c>
      <c r="L21" s="30">
        <f>IFERROR('Raw Data'!$J21-'Raw Data'!$K21,"")</f>
        <v>21688.71</v>
      </c>
    </row>
    <row r="22" spans="1:12" x14ac:dyDescent="0.2">
      <c r="A22" s="22">
        <v>44013</v>
      </c>
      <c r="B22" s="23">
        <f>IF('Raw Data'!$A22="","",'Raw Data'!$A22)</f>
        <v>44013</v>
      </c>
      <c r="C22" s="24">
        <f>'Raw Data'!$B22</f>
        <v>44013</v>
      </c>
      <c r="D22" s="25" t="s">
        <v>23</v>
      </c>
      <c r="E22" s="26" t="s">
        <v>27</v>
      </c>
      <c r="F22" s="27" t="str">
        <f>'Raw Data'!$D22&amp;" "&amp;'Raw Data'!$E22</f>
        <v>Bosch Branding</v>
      </c>
      <c r="G22" s="28">
        <f>IFERROR(VLOOKUP('Raw Data'!$F22,Database!O:S,2,0),"")</f>
        <v>7704351160</v>
      </c>
      <c r="H22" s="27" t="str">
        <f>IFERROR(VLOOKUP('Raw Data'!$F22,Database!O:S,3,0),"")</f>
        <v>Permanent Indoor POS</v>
      </c>
      <c r="I22" s="25" t="s">
        <v>97</v>
      </c>
      <c r="J22" s="34">
        <v>52678</v>
      </c>
      <c r="K22" s="29">
        <v>19776.25</v>
      </c>
      <c r="L22" s="30">
        <f>IFERROR('Raw Data'!$J22-'Raw Data'!$K22,"")</f>
        <v>32901.75</v>
      </c>
    </row>
    <row r="23" spans="1:12" x14ac:dyDescent="0.2">
      <c r="A23" s="22">
        <v>44013</v>
      </c>
      <c r="B23" s="23">
        <f>IF('Raw Data'!$A23="","",'Raw Data'!$A23)</f>
        <v>44013</v>
      </c>
      <c r="C23" s="24">
        <f>'Raw Data'!$B23</f>
        <v>44013</v>
      </c>
      <c r="D23" s="25" t="s">
        <v>23</v>
      </c>
      <c r="E23" s="26" t="s">
        <v>27</v>
      </c>
      <c r="F23" s="27" t="str">
        <f>'Raw Data'!$D23&amp;" "&amp;'Raw Data'!$E23</f>
        <v>Bosch Branding</v>
      </c>
      <c r="G23" s="28">
        <f>IFERROR(VLOOKUP('Raw Data'!$F23,Database!O:S,2,0),"")</f>
        <v>7704351160</v>
      </c>
      <c r="H23" s="27" t="str">
        <f>IFERROR(VLOOKUP('Raw Data'!$F23,Database!O:S,3,0),"")</f>
        <v>Permanent Indoor POS</v>
      </c>
      <c r="I23" s="25" t="s">
        <v>98</v>
      </c>
      <c r="J23" s="34">
        <v>70387</v>
      </c>
      <c r="K23" s="29">
        <v>46096</v>
      </c>
      <c r="L23" s="30">
        <f>IFERROR('Raw Data'!$J23-'Raw Data'!$K23,"")</f>
        <v>24291</v>
      </c>
    </row>
    <row r="24" spans="1:12" x14ac:dyDescent="0.2">
      <c r="A24" s="22">
        <v>44013</v>
      </c>
      <c r="B24" s="23">
        <f>IF('Raw Data'!$A24="","",'Raw Data'!$A24)</f>
        <v>44013</v>
      </c>
      <c r="C24" s="24">
        <f>'Raw Data'!$B24</f>
        <v>44013</v>
      </c>
      <c r="D24" s="25" t="s">
        <v>23</v>
      </c>
      <c r="E24" s="26" t="s">
        <v>27</v>
      </c>
      <c r="F24" s="27" t="str">
        <f>'Raw Data'!$D24&amp;" "&amp;'Raw Data'!$E24</f>
        <v>Bosch Branding</v>
      </c>
      <c r="G24" s="28">
        <f>IFERROR(VLOOKUP('Raw Data'!$F24,Database!O:S,2,0),"")</f>
        <v>7704351160</v>
      </c>
      <c r="H24" s="27" t="str">
        <f>IFERROR(VLOOKUP('Raw Data'!$F24,Database!O:S,3,0),"")</f>
        <v>Permanent Indoor POS</v>
      </c>
      <c r="I24" s="25" t="s">
        <v>99</v>
      </c>
      <c r="J24" s="34">
        <v>52366</v>
      </c>
      <c r="K24" s="29">
        <v>5467.2</v>
      </c>
      <c r="L24" s="30">
        <f>IFERROR('Raw Data'!$J24-'Raw Data'!$K24,"")</f>
        <v>46898.8</v>
      </c>
    </row>
    <row r="25" spans="1:12" x14ac:dyDescent="0.2">
      <c r="A25" s="22">
        <v>44044</v>
      </c>
      <c r="B25" s="23">
        <f>IF('Raw Data'!$A25="","",'Raw Data'!$A25)</f>
        <v>44044</v>
      </c>
      <c r="C25" s="24">
        <f>'Raw Data'!$B25</f>
        <v>44044</v>
      </c>
      <c r="D25" s="25" t="s">
        <v>23</v>
      </c>
      <c r="E25" s="26" t="s">
        <v>27</v>
      </c>
      <c r="F25" s="27" t="str">
        <f>'Raw Data'!$D25&amp;" "&amp;'Raw Data'!$E25</f>
        <v>Bosch Branding</v>
      </c>
      <c r="G25" s="28">
        <f>IFERROR(VLOOKUP('Raw Data'!$F25,Database!O:S,2,0),"")</f>
        <v>7704351160</v>
      </c>
      <c r="H25" s="27" t="str">
        <f>IFERROR(VLOOKUP('Raw Data'!$F25,Database!O:S,3,0),"")</f>
        <v>Permanent Indoor POS</v>
      </c>
      <c r="I25" s="25" t="s">
        <v>100</v>
      </c>
      <c r="J25" s="34">
        <v>50531</v>
      </c>
      <c r="K25" s="29">
        <v>20910.599999999999</v>
      </c>
      <c r="L25" s="30">
        <f>IFERROR('Raw Data'!$J25-'Raw Data'!$K25,"")</f>
        <v>29620.400000000001</v>
      </c>
    </row>
    <row r="26" spans="1:12" x14ac:dyDescent="0.2">
      <c r="A26" s="22">
        <v>44075</v>
      </c>
      <c r="B26" s="23">
        <f>IF('Raw Data'!$A26="","",'Raw Data'!$A26)</f>
        <v>44075</v>
      </c>
      <c r="C26" s="24">
        <f>'Raw Data'!$B26</f>
        <v>44075</v>
      </c>
      <c r="D26" s="25" t="s">
        <v>23</v>
      </c>
      <c r="E26" s="26" t="s">
        <v>27</v>
      </c>
      <c r="F26" s="27" t="str">
        <f>'Raw Data'!$D26&amp;" "&amp;'Raw Data'!$E26</f>
        <v>Bosch Branding</v>
      </c>
      <c r="G26" s="28">
        <f>IFERROR(VLOOKUP('Raw Data'!$F26,Database!O:S,2,0),"")</f>
        <v>7704351160</v>
      </c>
      <c r="H26" s="27" t="str">
        <f>IFERROR(VLOOKUP('Raw Data'!$F26,Database!O:S,3,0),"")</f>
        <v>Permanent Indoor POS</v>
      </c>
      <c r="I26" s="25" t="s">
        <v>101</v>
      </c>
      <c r="J26" s="34">
        <v>67485</v>
      </c>
      <c r="K26" s="29">
        <v>129441.89</v>
      </c>
      <c r="L26" s="30">
        <f>IFERROR('Raw Data'!$J26-'Raw Data'!$K26,"")</f>
        <v>-61956.89</v>
      </c>
    </row>
    <row r="27" spans="1:12" x14ac:dyDescent="0.2">
      <c r="A27" s="22">
        <v>43891</v>
      </c>
      <c r="B27" s="23">
        <f>IF('Raw Data'!$A27="","",'Raw Data'!$A27)</f>
        <v>43891</v>
      </c>
      <c r="C27" s="24">
        <f>'Raw Data'!$B27</f>
        <v>43891</v>
      </c>
      <c r="D27" s="25" t="s">
        <v>23</v>
      </c>
      <c r="E27" s="26" t="s">
        <v>27</v>
      </c>
      <c r="F27" s="27" t="str">
        <f>'Raw Data'!$D27&amp;" "&amp;'Raw Data'!$E27</f>
        <v>Bosch Branding</v>
      </c>
      <c r="G27" s="28">
        <f>IFERROR(VLOOKUP('Raw Data'!$F27,Database!O:S,2,0),"")</f>
        <v>7704351160</v>
      </c>
      <c r="H27" s="27" t="str">
        <f>IFERROR(VLOOKUP('Raw Data'!$F27,Database!O:S,3,0),"")</f>
        <v>Permanent Indoor POS</v>
      </c>
      <c r="I27" s="25" t="s">
        <v>102</v>
      </c>
      <c r="J27" s="34">
        <v>56669</v>
      </c>
      <c r="K27" s="29">
        <v>500</v>
      </c>
      <c r="L27" s="30">
        <f>IFERROR('Raw Data'!$J27-'Raw Data'!$K27,"")</f>
        <v>56169</v>
      </c>
    </row>
    <row r="28" spans="1:12" x14ac:dyDescent="0.2">
      <c r="A28" s="22">
        <v>43831</v>
      </c>
      <c r="B28" s="23">
        <f>IF('Raw Data'!$A28="","",'Raw Data'!$A28)</f>
        <v>43831</v>
      </c>
      <c r="C28" s="24">
        <f>'Raw Data'!$B28</f>
        <v>43831</v>
      </c>
      <c r="D28" s="25" t="s">
        <v>23</v>
      </c>
      <c r="E28" s="26" t="s">
        <v>26</v>
      </c>
      <c r="F28" s="27" t="str">
        <f>'Raw Data'!$D28&amp;" "&amp;'Raw Data'!$E28</f>
        <v>Bosch Merch</v>
      </c>
      <c r="G28" s="28">
        <f>IFERROR(VLOOKUP('Raw Data'!$F28,Database!O:S,2,0),"")</f>
        <v>7604355010</v>
      </c>
      <c r="H28" s="27" t="str">
        <f>IFERROR(VLOOKUP('Raw Data'!$F28,Database!O:S,3,0),"")</f>
        <v>Merchandisers Expences</v>
      </c>
      <c r="I28" s="25" t="s">
        <v>103</v>
      </c>
      <c r="J28" s="34">
        <v>64596</v>
      </c>
      <c r="K28" s="29">
        <v>161138</v>
      </c>
      <c r="L28" s="30">
        <f>IFERROR('Raw Data'!$J28-'Raw Data'!$K28,"")</f>
        <v>-96542</v>
      </c>
    </row>
    <row r="29" spans="1:12" x14ac:dyDescent="0.2">
      <c r="A29" s="22">
        <v>43862</v>
      </c>
      <c r="B29" s="23">
        <f>IF('Raw Data'!$A29="","",'Raw Data'!$A29)</f>
        <v>43862</v>
      </c>
      <c r="C29" s="24">
        <f>'Raw Data'!$B29</f>
        <v>43862</v>
      </c>
      <c r="D29" s="25" t="s">
        <v>23</v>
      </c>
      <c r="E29" s="26" t="s">
        <v>26</v>
      </c>
      <c r="F29" s="27" t="str">
        <f>'Raw Data'!$D29&amp;" "&amp;'Raw Data'!$E29</f>
        <v>Bosch Merch</v>
      </c>
      <c r="G29" s="28">
        <f>IFERROR(VLOOKUP('Raw Data'!$F29,Database!O:S,2,0),"")</f>
        <v>7604355010</v>
      </c>
      <c r="H29" s="27" t="str">
        <f>IFERROR(VLOOKUP('Raw Data'!$F29,Database!O:S,3,0),"")</f>
        <v>Merchandisers Expences</v>
      </c>
      <c r="I29" s="25" t="s">
        <v>104</v>
      </c>
      <c r="J29" s="34">
        <v>74198</v>
      </c>
      <c r="K29" s="29">
        <v>243163</v>
      </c>
      <c r="L29" s="30">
        <f>IFERROR('Raw Data'!$J29-'Raw Data'!$K29,"")</f>
        <v>-168965</v>
      </c>
    </row>
    <row r="30" spans="1:12" x14ac:dyDescent="0.2">
      <c r="A30" s="22">
        <v>43891</v>
      </c>
      <c r="B30" s="23">
        <f>IF('Raw Data'!$A30="","",'Raw Data'!$A30)</f>
        <v>43891</v>
      </c>
      <c r="C30" s="24">
        <f>'Raw Data'!$B30</f>
        <v>43891</v>
      </c>
      <c r="D30" s="25" t="s">
        <v>23</v>
      </c>
      <c r="E30" s="26" t="s">
        <v>26</v>
      </c>
      <c r="F30" s="27" t="str">
        <f>'Raw Data'!$D30&amp;" "&amp;'Raw Data'!$E30</f>
        <v>Bosch Merch</v>
      </c>
      <c r="G30" s="28">
        <f>IFERROR(VLOOKUP('Raw Data'!$F30,Database!O:S,2,0),"")</f>
        <v>7604355010</v>
      </c>
      <c r="H30" s="27" t="str">
        <f>IFERROR(VLOOKUP('Raw Data'!$F30,Database!O:S,3,0),"")</f>
        <v>Merchandisers Expences</v>
      </c>
      <c r="I30" s="25" t="s">
        <v>105</v>
      </c>
      <c r="J30" s="34">
        <v>66014</v>
      </c>
      <c r="K30" s="29">
        <v>854</v>
      </c>
      <c r="L30" s="30">
        <f>IFERROR('Raw Data'!$J30-'Raw Data'!$K30,"")</f>
        <v>65160</v>
      </c>
    </row>
    <row r="31" spans="1:12" x14ac:dyDescent="0.2">
      <c r="A31" s="22">
        <v>43891</v>
      </c>
      <c r="B31" s="23">
        <f>IF('Raw Data'!$A31="","",'Raw Data'!$A31)</f>
        <v>43891</v>
      </c>
      <c r="C31" s="24">
        <f>'Raw Data'!$B31</f>
        <v>43891</v>
      </c>
      <c r="D31" s="25" t="s">
        <v>23</v>
      </c>
      <c r="E31" s="26" t="s">
        <v>26</v>
      </c>
      <c r="F31" s="27" t="str">
        <f>'Raw Data'!$D31&amp;" "&amp;'Raw Data'!$E31</f>
        <v>Bosch Merch</v>
      </c>
      <c r="G31" s="28">
        <f>IFERROR(VLOOKUP('Raw Data'!$F31,Database!O:S,2,0),"")</f>
        <v>7604355010</v>
      </c>
      <c r="H31" s="27" t="str">
        <f>IFERROR(VLOOKUP('Raw Data'!$F31,Database!O:S,3,0),"")</f>
        <v>Merchandisers Expences</v>
      </c>
      <c r="I31" s="25" t="s">
        <v>106</v>
      </c>
      <c r="J31" s="34">
        <v>56977</v>
      </c>
      <c r="K31" s="29">
        <v>45655.839999999997</v>
      </c>
      <c r="L31" s="30">
        <f>IFERROR('Raw Data'!$J31-'Raw Data'!$K31,"")</f>
        <v>11321.160000000003</v>
      </c>
    </row>
    <row r="32" spans="1:12" x14ac:dyDescent="0.2">
      <c r="A32" s="22">
        <v>43891</v>
      </c>
      <c r="B32" s="23">
        <f>IF('Raw Data'!$A32="","",'Raw Data'!$A32)</f>
        <v>43891</v>
      </c>
      <c r="C32" s="24">
        <f>'Raw Data'!$B32</f>
        <v>43891</v>
      </c>
      <c r="D32" s="25" t="s">
        <v>23</v>
      </c>
      <c r="E32" s="26" t="s">
        <v>26</v>
      </c>
      <c r="F32" s="27" t="str">
        <f>'Raw Data'!$D32&amp;" "&amp;'Raw Data'!$E32</f>
        <v>Bosch Merch</v>
      </c>
      <c r="G32" s="28">
        <f>IFERROR(VLOOKUP('Raw Data'!$F32,Database!O:S,2,0),"")</f>
        <v>7604355010</v>
      </c>
      <c r="H32" s="27" t="str">
        <f>IFERROR(VLOOKUP('Raw Data'!$F32,Database!O:S,3,0),"")</f>
        <v>Merchandisers Expences</v>
      </c>
      <c r="I32" s="25" t="s">
        <v>107</v>
      </c>
      <c r="J32" s="34">
        <v>51081</v>
      </c>
      <c r="K32" s="29">
        <v>1033</v>
      </c>
      <c r="L32" s="30">
        <f>IFERROR('Raw Data'!$J32-'Raw Data'!$K32,"")</f>
        <v>50048</v>
      </c>
    </row>
    <row r="33" spans="1:12" x14ac:dyDescent="0.2">
      <c r="A33" s="22">
        <v>43891</v>
      </c>
      <c r="B33" s="23">
        <f>IF('Raw Data'!$A33="","",'Raw Data'!$A33)</f>
        <v>43891</v>
      </c>
      <c r="C33" s="24">
        <f>'Raw Data'!$B33</f>
        <v>43891</v>
      </c>
      <c r="D33" s="25" t="s">
        <v>23</v>
      </c>
      <c r="E33" s="26" t="s">
        <v>26</v>
      </c>
      <c r="F33" s="27" t="str">
        <f>'Raw Data'!$D33&amp;" "&amp;'Raw Data'!$E33</f>
        <v>Bosch Merch</v>
      </c>
      <c r="G33" s="28">
        <f>IFERROR(VLOOKUP('Raw Data'!$F33,Database!O:S,2,0),"")</f>
        <v>7604355010</v>
      </c>
      <c r="H33" s="27" t="str">
        <f>IFERROR(VLOOKUP('Raw Data'!$F33,Database!O:S,3,0),"")</f>
        <v>Merchandisers Expences</v>
      </c>
      <c r="I33" s="25" t="s">
        <v>108</v>
      </c>
      <c r="J33" s="34">
        <v>73983</v>
      </c>
      <c r="K33" s="29">
        <v>186950.85</v>
      </c>
      <c r="L33" s="30">
        <f>IFERROR('Raw Data'!$J33-'Raw Data'!$K33,"")</f>
        <v>-112967.85</v>
      </c>
    </row>
    <row r="34" spans="1:12" x14ac:dyDescent="0.2">
      <c r="A34" s="22">
        <v>43922</v>
      </c>
      <c r="B34" s="23">
        <f>IF('Raw Data'!$A34="","",'Raw Data'!$A34)</f>
        <v>43922</v>
      </c>
      <c r="C34" s="24">
        <f>'Raw Data'!$B34</f>
        <v>43922</v>
      </c>
      <c r="D34" s="25" t="s">
        <v>23</v>
      </c>
      <c r="E34" s="26" t="s">
        <v>26</v>
      </c>
      <c r="F34" s="27" t="str">
        <f>'Raw Data'!$D34&amp;" "&amp;'Raw Data'!$E34</f>
        <v>Bosch Merch</v>
      </c>
      <c r="G34" s="28">
        <f>IFERROR(VLOOKUP('Raw Data'!$F34,Database!O:S,2,0),"")</f>
        <v>7604355010</v>
      </c>
      <c r="H34" s="27" t="str">
        <f>IFERROR(VLOOKUP('Raw Data'!$F34,Database!O:S,3,0),"")</f>
        <v>Merchandisers Expences</v>
      </c>
      <c r="I34" s="25" t="s">
        <v>109</v>
      </c>
      <c r="J34" s="34">
        <v>63539</v>
      </c>
      <c r="K34" s="29">
        <v>3579.0199748901437</v>
      </c>
      <c r="L34" s="30">
        <f>IFERROR('Raw Data'!$J34-'Raw Data'!$K34,"")</f>
        <v>59959.980025109857</v>
      </c>
    </row>
    <row r="35" spans="1:12" x14ac:dyDescent="0.2">
      <c r="A35" s="22">
        <v>43952</v>
      </c>
      <c r="B35" s="23">
        <f>IF('Raw Data'!$A35="","",'Raw Data'!$A35)</f>
        <v>43952</v>
      </c>
      <c r="C35" s="24">
        <f>'Raw Data'!$B35</f>
        <v>43952</v>
      </c>
      <c r="D35" s="25" t="s">
        <v>23</v>
      </c>
      <c r="E35" s="26" t="s">
        <v>26</v>
      </c>
      <c r="F35" s="27" t="str">
        <f>'Raw Data'!$D35&amp;" "&amp;'Raw Data'!$E35</f>
        <v>Bosch Merch</v>
      </c>
      <c r="G35" s="28">
        <f>IFERROR(VLOOKUP('Raw Data'!$F35,Database!O:S,2,0),"")</f>
        <v>7604355010</v>
      </c>
      <c r="H35" s="27" t="str">
        <f>IFERROR(VLOOKUP('Raw Data'!$F35,Database!O:S,3,0),"")</f>
        <v>Merchandisers Expences</v>
      </c>
      <c r="I35" s="25" t="s">
        <v>110</v>
      </c>
      <c r="J35" s="34">
        <v>66622</v>
      </c>
      <c r="K35" s="29">
        <v>50483</v>
      </c>
      <c r="L35" s="30">
        <f>IFERROR('Raw Data'!$J35-'Raw Data'!$K35,"")</f>
        <v>16139</v>
      </c>
    </row>
    <row r="36" spans="1:12" x14ac:dyDescent="0.2">
      <c r="A36" s="22">
        <v>43983</v>
      </c>
      <c r="B36" s="23">
        <f>IF('Raw Data'!$A36="","",'Raw Data'!$A36)</f>
        <v>43983</v>
      </c>
      <c r="C36" s="24">
        <f>'Raw Data'!$B36</f>
        <v>43983</v>
      </c>
      <c r="D36" s="25" t="s">
        <v>23</v>
      </c>
      <c r="E36" s="26" t="s">
        <v>26</v>
      </c>
      <c r="F36" s="27" t="str">
        <f>'Raw Data'!$D36&amp;" "&amp;'Raw Data'!$E36</f>
        <v>Bosch Merch</v>
      </c>
      <c r="G36" s="28">
        <f>IFERROR(VLOOKUP('Raw Data'!$F36,Database!O:S,2,0),"")</f>
        <v>7604355010</v>
      </c>
      <c r="H36" s="27" t="str">
        <f>IFERROR(VLOOKUP('Raw Data'!$F36,Database!O:S,3,0),"")</f>
        <v>Merchandisers Expences</v>
      </c>
      <c r="I36" s="25" t="s">
        <v>111</v>
      </c>
      <c r="J36" s="35">
        <v>50354</v>
      </c>
      <c r="K36" s="29">
        <v>208244</v>
      </c>
      <c r="L36" s="30">
        <f>IFERROR('Raw Data'!$J36-'Raw Data'!$K36,"")</f>
        <v>-157890</v>
      </c>
    </row>
    <row r="37" spans="1:12" x14ac:dyDescent="0.2">
      <c r="A37" s="22">
        <v>44013</v>
      </c>
      <c r="B37" s="23">
        <f>IF('Raw Data'!$A37="","",'Raw Data'!$A37)</f>
        <v>44013</v>
      </c>
      <c r="C37" s="24">
        <f>'Raw Data'!$B37</f>
        <v>44013</v>
      </c>
      <c r="D37" s="25" t="s">
        <v>23</v>
      </c>
      <c r="E37" s="26" t="s">
        <v>26</v>
      </c>
      <c r="F37" s="27" t="str">
        <f>'Raw Data'!$D37&amp;" "&amp;'Raw Data'!$E37</f>
        <v>Bosch Merch</v>
      </c>
      <c r="G37" s="28">
        <f>IFERROR(VLOOKUP('Raw Data'!$F37,Database!O:S,2,0),"")</f>
        <v>7604355010</v>
      </c>
      <c r="H37" s="27" t="str">
        <f>IFERROR(VLOOKUP('Raw Data'!$F37,Database!O:S,3,0),"")</f>
        <v>Merchandisers Expences</v>
      </c>
      <c r="I37" s="25" t="s">
        <v>95</v>
      </c>
      <c r="J37" s="35">
        <v>54816</v>
      </c>
      <c r="K37" s="29">
        <v>228287</v>
      </c>
      <c r="L37" s="30">
        <f>IFERROR('Raw Data'!$J37-'Raw Data'!$K37,"")</f>
        <v>-173471</v>
      </c>
    </row>
    <row r="38" spans="1:12" x14ac:dyDescent="0.2">
      <c r="A38" s="22">
        <v>44044</v>
      </c>
      <c r="B38" s="23">
        <f>IF('Raw Data'!$A38="","",'Raw Data'!$A38)</f>
        <v>44044</v>
      </c>
      <c r="C38" s="24">
        <f>'Raw Data'!$B38</f>
        <v>44044</v>
      </c>
      <c r="D38" s="25" t="s">
        <v>23</v>
      </c>
      <c r="E38" s="26" t="s">
        <v>26</v>
      </c>
      <c r="F38" s="27" t="str">
        <f>'Raw Data'!$D38&amp;" "&amp;'Raw Data'!$E38</f>
        <v>Bosch Merch</v>
      </c>
      <c r="G38" s="28">
        <f>IFERROR(VLOOKUP('Raw Data'!$F38,Database!O:S,2,0),"")</f>
        <v>7604355010</v>
      </c>
      <c r="H38" s="27" t="str">
        <f>IFERROR(VLOOKUP('Raw Data'!$F38,Database!O:S,3,0),"")</f>
        <v>Merchandisers Expences</v>
      </c>
      <c r="I38" s="25" t="s">
        <v>96</v>
      </c>
      <c r="J38" s="35">
        <v>52736</v>
      </c>
      <c r="K38" s="29">
        <v>201450.91</v>
      </c>
      <c r="L38" s="30">
        <f>IFERROR('Raw Data'!$J38-'Raw Data'!$K38,"")</f>
        <v>-148714.91</v>
      </c>
    </row>
    <row r="39" spans="1:12" x14ac:dyDescent="0.2">
      <c r="A39" s="22">
        <v>44075</v>
      </c>
      <c r="B39" s="23">
        <f>IF('Raw Data'!$A39="","",'Raw Data'!$A39)</f>
        <v>44075</v>
      </c>
      <c r="C39" s="24">
        <f>'Raw Data'!$B39</f>
        <v>44075</v>
      </c>
      <c r="D39" s="25" t="s">
        <v>23</v>
      </c>
      <c r="E39" s="26" t="s">
        <v>26</v>
      </c>
      <c r="F39" s="27" t="str">
        <f>'Raw Data'!$D39&amp;" "&amp;'Raw Data'!$E39</f>
        <v>Bosch Merch</v>
      </c>
      <c r="G39" s="28">
        <f>IFERROR(VLOOKUP('Raw Data'!$F39,Database!O:S,2,0),"")</f>
        <v>7604355010</v>
      </c>
      <c r="H39" s="27" t="str">
        <f>IFERROR(VLOOKUP('Raw Data'!$F39,Database!O:S,3,0),"")</f>
        <v>Merchandisers Expences</v>
      </c>
      <c r="I39" s="25" t="s">
        <v>97</v>
      </c>
      <c r="J39" s="35">
        <v>68232</v>
      </c>
      <c r="K39" s="29">
        <v>206061</v>
      </c>
      <c r="L39" s="30">
        <f>IFERROR('Raw Data'!$J39-'Raw Data'!$K39,"")</f>
        <v>-137829</v>
      </c>
    </row>
    <row r="40" spans="1:12" x14ac:dyDescent="0.2">
      <c r="A40" s="22">
        <v>43831</v>
      </c>
      <c r="B40" s="23">
        <f>IF('Raw Data'!$A40="","",'Raw Data'!$A40)</f>
        <v>43831</v>
      </c>
      <c r="C40" s="24">
        <f>'Raw Data'!$B40</f>
        <v>43831</v>
      </c>
      <c r="D40" s="25" t="s">
        <v>24</v>
      </c>
      <c r="E40" s="26" t="s">
        <v>27</v>
      </c>
      <c r="F40" s="27" t="str">
        <f>'Raw Data'!$D40&amp;" "&amp;'Raw Data'!$E40</f>
        <v>Profilo Branding</v>
      </c>
      <c r="G40" s="28">
        <f>IFERROR(VLOOKUP('Raw Data'!$F40,Database!O:S,2,0),"")</f>
        <v>7704351160</v>
      </c>
      <c r="H40" s="27" t="str">
        <f>IFERROR(VLOOKUP('Raw Data'!$F40,Database!O:S,3,0),"")</f>
        <v>Permanent Indoor POS</v>
      </c>
      <c r="I40" s="25" t="s">
        <v>98</v>
      </c>
      <c r="J40" s="35">
        <v>62734</v>
      </c>
      <c r="K40" s="29">
        <v>132970</v>
      </c>
      <c r="L40" s="30">
        <f>IFERROR('Raw Data'!$J40-'Raw Data'!$K40,"")</f>
        <v>-70236</v>
      </c>
    </row>
    <row r="41" spans="1:12" x14ac:dyDescent="0.2">
      <c r="A41" s="22">
        <v>43831</v>
      </c>
      <c r="B41" s="23">
        <f>IF('Raw Data'!$A41="","",'Raw Data'!$A41)</f>
        <v>43831</v>
      </c>
      <c r="C41" s="24">
        <f>'Raw Data'!$B41</f>
        <v>43831</v>
      </c>
      <c r="D41" s="25" t="s">
        <v>24</v>
      </c>
      <c r="E41" s="26" t="s">
        <v>27</v>
      </c>
      <c r="F41" s="27" t="str">
        <f>'Raw Data'!$D41&amp;" "&amp;'Raw Data'!$E41</f>
        <v>Profilo Branding</v>
      </c>
      <c r="G41" s="28">
        <f>IFERROR(VLOOKUP('Raw Data'!$F41,Database!O:S,2,0),"")</f>
        <v>7704351160</v>
      </c>
      <c r="H41" s="27" t="str">
        <f>IFERROR(VLOOKUP('Raw Data'!$F41,Database!O:S,3,0),"")</f>
        <v>Permanent Indoor POS</v>
      </c>
      <c r="I41" s="25" t="s">
        <v>99</v>
      </c>
      <c r="J41" s="35">
        <v>74436</v>
      </c>
      <c r="K41" s="29">
        <v>22000</v>
      </c>
      <c r="L41" s="30">
        <f>IFERROR('Raw Data'!$J41-'Raw Data'!$K41,"")</f>
        <v>52436</v>
      </c>
    </row>
    <row r="42" spans="1:12" x14ac:dyDescent="0.2">
      <c r="A42" s="22">
        <v>43862</v>
      </c>
      <c r="B42" s="23">
        <f>IF('Raw Data'!$A42="","",'Raw Data'!$A42)</f>
        <v>43862</v>
      </c>
      <c r="C42" s="24">
        <f>'Raw Data'!$B42</f>
        <v>43862</v>
      </c>
      <c r="D42" s="25" t="s">
        <v>24</v>
      </c>
      <c r="E42" s="26" t="s">
        <v>27</v>
      </c>
      <c r="F42" s="27" t="str">
        <f>'Raw Data'!$D42&amp;" "&amp;'Raw Data'!$E42</f>
        <v>Profilo Branding</v>
      </c>
      <c r="G42" s="28">
        <f>IFERROR(VLOOKUP('Raw Data'!$F42,Database!O:S,2,0),"")</f>
        <v>7704351160</v>
      </c>
      <c r="H42" s="27" t="str">
        <f>IFERROR(VLOOKUP('Raw Data'!$F42,Database!O:S,3,0),"")</f>
        <v>Permanent Indoor POS</v>
      </c>
      <c r="I42" s="25" t="s">
        <v>100</v>
      </c>
      <c r="J42" s="35">
        <v>55988</v>
      </c>
      <c r="K42" s="29">
        <v>871.4</v>
      </c>
      <c r="L42" s="30">
        <f>IFERROR('Raw Data'!$J42-'Raw Data'!$K42,"")</f>
        <v>55116.6</v>
      </c>
    </row>
    <row r="43" spans="1:12" x14ac:dyDescent="0.2">
      <c r="A43" s="22">
        <v>43862</v>
      </c>
      <c r="B43" s="23">
        <f>IF('Raw Data'!$A43="","",'Raw Data'!$A43)</f>
        <v>43862</v>
      </c>
      <c r="C43" s="24">
        <f>'Raw Data'!$B43</f>
        <v>43862</v>
      </c>
      <c r="D43" s="25" t="s">
        <v>24</v>
      </c>
      <c r="E43" s="26" t="s">
        <v>27</v>
      </c>
      <c r="F43" s="27" t="str">
        <f>'Raw Data'!$D43&amp;" "&amp;'Raw Data'!$E43</f>
        <v>Profilo Branding</v>
      </c>
      <c r="G43" s="28">
        <f>IFERROR(VLOOKUP('Raw Data'!$F43,Database!O:S,2,0),"")</f>
        <v>7704351160</v>
      </c>
      <c r="H43" s="27" t="str">
        <f>IFERROR(VLOOKUP('Raw Data'!$F43,Database!O:S,3,0),"")</f>
        <v>Permanent Indoor POS</v>
      </c>
      <c r="I43" s="25" t="s">
        <v>101</v>
      </c>
      <c r="J43" s="35">
        <v>72090</v>
      </c>
      <c r="K43" s="29">
        <v>47675</v>
      </c>
      <c r="L43" s="30">
        <f>IFERROR('Raw Data'!$J43-'Raw Data'!$K43,"")</f>
        <v>24415</v>
      </c>
    </row>
    <row r="44" spans="1:12" x14ac:dyDescent="0.2">
      <c r="A44" s="22">
        <v>43862</v>
      </c>
      <c r="B44" s="23">
        <f>IF('Raw Data'!$A44="","",'Raw Data'!$A44)</f>
        <v>43862</v>
      </c>
      <c r="C44" s="24">
        <f>'Raw Data'!$B44</f>
        <v>43862</v>
      </c>
      <c r="D44" s="25" t="s">
        <v>24</v>
      </c>
      <c r="E44" s="26" t="s">
        <v>27</v>
      </c>
      <c r="F44" s="27" t="str">
        <f>'Raw Data'!$D44&amp;" "&amp;'Raw Data'!$E44</f>
        <v>Profilo Branding</v>
      </c>
      <c r="G44" s="28">
        <f>IFERROR(VLOOKUP('Raw Data'!$F44,Database!O:S,2,0),"")</f>
        <v>7704351160</v>
      </c>
      <c r="H44" s="27" t="str">
        <f>IFERROR(VLOOKUP('Raw Data'!$F44,Database!O:S,3,0),"")</f>
        <v>Permanent Indoor POS</v>
      </c>
      <c r="I44" s="25" t="s">
        <v>102</v>
      </c>
      <c r="J44" s="34">
        <v>53598</v>
      </c>
      <c r="K44" s="29">
        <v>22000</v>
      </c>
      <c r="L44" s="30">
        <f>IFERROR('Raw Data'!$J44-'Raw Data'!$K44,"")</f>
        <v>31598</v>
      </c>
    </row>
    <row r="45" spans="1:12" x14ac:dyDescent="0.2">
      <c r="A45" s="22">
        <v>43891</v>
      </c>
      <c r="B45" s="23">
        <f>IF('Raw Data'!$A45="","",'Raw Data'!$A45)</f>
        <v>43891</v>
      </c>
      <c r="C45" s="24">
        <f>'Raw Data'!$B45</f>
        <v>43891</v>
      </c>
      <c r="D45" s="25" t="s">
        <v>24</v>
      </c>
      <c r="E45" s="26" t="s">
        <v>27</v>
      </c>
      <c r="F45" s="27" t="str">
        <f>'Raw Data'!$D45&amp;" "&amp;'Raw Data'!$E45</f>
        <v>Profilo Branding</v>
      </c>
      <c r="G45" s="28">
        <f>IFERROR(VLOOKUP('Raw Data'!$F45,Database!O:S,2,0),"")</f>
        <v>7704351160</v>
      </c>
      <c r="H45" s="27" t="str">
        <f>IFERROR(VLOOKUP('Raw Data'!$F45,Database!O:S,3,0),"")</f>
        <v>Permanent Indoor POS</v>
      </c>
      <c r="I45" s="25" t="s">
        <v>103</v>
      </c>
      <c r="J45" s="34">
        <v>50966</v>
      </c>
      <c r="K45" s="29">
        <v>22000</v>
      </c>
      <c r="L45" s="30">
        <f>IFERROR('Raw Data'!$J45-'Raw Data'!$K45,"")</f>
        <v>28966</v>
      </c>
    </row>
    <row r="46" spans="1:12" x14ac:dyDescent="0.2">
      <c r="A46" s="22">
        <v>43891</v>
      </c>
      <c r="B46" s="23">
        <f>IF('Raw Data'!$A46="","",'Raw Data'!$A46)</f>
        <v>43891</v>
      </c>
      <c r="C46" s="24">
        <f>'Raw Data'!$B46</f>
        <v>43891</v>
      </c>
      <c r="D46" s="25" t="s">
        <v>24</v>
      </c>
      <c r="E46" s="26" t="s">
        <v>27</v>
      </c>
      <c r="F46" s="27" t="str">
        <f>'Raw Data'!$D46&amp;" "&amp;'Raw Data'!$E46</f>
        <v>Profilo Branding</v>
      </c>
      <c r="G46" s="28">
        <f>IFERROR(VLOOKUP('Raw Data'!$F46,Database!O:S,2,0),"")</f>
        <v>7704351160</v>
      </c>
      <c r="H46" s="27" t="str">
        <f>IFERROR(VLOOKUP('Raw Data'!$F46,Database!O:S,3,0),"")</f>
        <v>Permanent Indoor POS</v>
      </c>
      <c r="I46" s="25" t="s">
        <v>104</v>
      </c>
      <c r="J46" s="34">
        <v>65058</v>
      </c>
      <c r="K46" s="29">
        <v>6275</v>
      </c>
      <c r="L46" s="30">
        <f>IFERROR('Raw Data'!$J46-'Raw Data'!$K46,"")</f>
        <v>58783</v>
      </c>
    </row>
    <row r="47" spans="1:12" x14ac:dyDescent="0.2">
      <c r="A47" s="22">
        <v>43922</v>
      </c>
      <c r="B47" s="23">
        <f>IF('Raw Data'!$A47="","",'Raw Data'!$A47)</f>
        <v>43922</v>
      </c>
      <c r="C47" s="24">
        <f>'Raw Data'!$B47</f>
        <v>43922</v>
      </c>
      <c r="D47" s="25" t="s">
        <v>24</v>
      </c>
      <c r="E47" s="26" t="s">
        <v>27</v>
      </c>
      <c r="F47" s="27" t="str">
        <f>'Raw Data'!$D47&amp;" "&amp;'Raw Data'!$E47</f>
        <v>Profilo Branding</v>
      </c>
      <c r="G47" s="28">
        <f>IFERROR(VLOOKUP('Raw Data'!$F47,Database!O:S,2,0),"")</f>
        <v>7704351160</v>
      </c>
      <c r="H47" s="27" t="str">
        <f>IFERROR(VLOOKUP('Raw Data'!$F47,Database!O:S,3,0),"")</f>
        <v>Permanent Indoor POS</v>
      </c>
      <c r="I47" s="25" t="s">
        <v>105</v>
      </c>
      <c r="J47" s="34">
        <v>57751</v>
      </c>
      <c r="K47" s="29">
        <v>47526.119999999995</v>
      </c>
      <c r="L47" s="30">
        <f>IFERROR('Raw Data'!$J47-'Raw Data'!$K47,"")</f>
        <v>10224.880000000005</v>
      </c>
    </row>
    <row r="48" spans="1:12" x14ac:dyDescent="0.2">
      <c r="A48" s="22">
        <v>43952</v>
      </c>
      <c r="B48" s="23">
        <f>IF('Raw Data'!$A48="","",'Raw Data'!$A48)</f>
        <v>43952</v>
      </c>
      <c r="C48" s="24">
        <f>'Raw Data'!$B48</f>
        <v>43952</v>
      </c>
      <c r="D48" s="25" t="s">
        <v>24</v>
      </c>
      <c r="E48" s="26" t="s">
        <v>27</v>
      </c>
      <c r="F48" s="27" t="str">
        <f>'Raw Data'!$D48&amp;" "&amp;'Raw Data'!$E48</f>
        <v>Profilo Branding</v>
      </c>
      <c r="G48" s="28">
        <f>IFERROR(VLOOKUP('Raw Data'!$F48,Database!O:S,2,0),"")</f>
        <v>7704351160</v>
      </c>
      <c r="H48" s="27" t="str">
        <f>IFERROR(VLOOKUP('Raw Data'!$F48,Database!O:S,3,0),"")</f>
        <v>Permanent Indoor POS</v>
      </c>
      <c r="I48" s="25" t="s">
        <v>106</v>
      </c>
      <c r="J48" s="34">
        <v>65812</v>
      </c>
      <c r="K48" s="29">
        <v>3550</v>
      </c>
      <c r="L48" s="30">
        <f>IFERROR('Raw Data'!$J48-'Raw Data'!$K48,"")</f>
        <v>62262</v>
      </c>
    </row>
    <row r="49" spans="1:12" x14ac:dyDescent="0.2">
      <c r="A49" s="22">
        <v>43952</v>
      </c>
      <c r="B49" s="23">
        <f>IF('Raw Data'!$A49="","",'Raw Data'!$A49)</f>
        <v>43952</v>
      </c>
      <c r="C49" s="24">
        <f>'Raw Data'!$B49</f>
        <v>43952</v>
      </c>
      <c r="D49" s="25" t="s">
        <v>24</v>
      </c>
      <c r="E49" s="26" t="s">
        <v>27</v>
      </c>
      <c r="F49" s="27" t="str">
        <f>'Raw Data'!$D49&amp;" "&amp;'Raw Data'!$E49</f>
        <v>Profilo Branding</v>
      </c>
      <c r="G49" s="28">
        <f>IFERROR(VLOOKUP('Raw Data'!$F49,Database!O:S,2,0),"")</f>
        <v>7704351160</v>
      </c>
      <c r="H49" s="27" t="str">
        <f>IFERROR(VLOOKUP('Raw Data'!$F49,Database!O:S,3,0),"")</f>
        <v>Permanent Indoor POS</v>
      </c>
      <c r="I49" s="25" t="s">
        <v>107</v>
      </c>
      <c r="J49" s="34">
        <v>65862</v>
      </c>
      <c r="K49" s="29">
        <v>2765</v>
      </c>
      <c r="L49" s="30">
        <f>IFERROR('Raw Data'!$J49-'Raw Data'!$K49,"")</f>
        <v>63097</v>
      </c>
    </row>
    <row r="50" spans="1:12" x14ac:dyDescent="0.2">
      <c r="A50" s="22">
        <v>43952</v>
      </c>
      <c r="B50" s="23">
        <f>IF('Raw Data'!$A50="","",'Raw Data'!$A50)</f>
        <v>43952</v>
      </c>
      <c r="C50" s="24">
        <f>'Raw Data'!$B50</f>
        <v>43952</v>
      </c>
      <c r="D50" s="25" t="s">
        <v>24</v>
      </c>
      <c r="E50" s="26" t="s">
        <v>27</v>
      </c>
      <c r="F50" s="27" t="str">
        <f>'Raw Data'!$D50&amp;" "&amp;'Raw Data'!$E50</f>
        <v>Profilo Branding</v>
      </c>
      <c r="G50" s="28">
        <f>IFERROR(VLOOKUP('Raw Data'!$F50,Database!O:S,2,0),"")</f>
        <v>7704351160</v>
      </c>
      <c r="H50" s="27" t="str">
        <f>IFERROR(VLOOKUP('Raw Data'!$F50,Database!O:S,3,0),"")</f>
        <v>Permanent Indoor POS</v>
      </c>
      <c r="I50" s="25" t="s">
        <v>108</v>
      </c>
      <c r="J50" s="34">
        <v>71337</v>
      </c>
      <c r="K50" s="29">
        <v>167785.15</v>
      </c>
      <c r="L50" s="30">
        <f>IFERROR('Raw Data'!$J50-'Raw Data'!$K50,"")</f>
        <v>-96448.15</v>
      </c>
    </row>
    <row r="51" spans="1:12" x14ac:dyDescent="0.2">
      <c r="A51" s="22">
        <v>43952</v>
      </c>
      <c r="B51" s="23">
        <f>IF('Raw Data'!$A51="","",'Raw Data'!$A51)</f>
        <v>43952</v>
      </c>
      <c r="C51" s="24">
        <f>'Raw Data'!$B51</f>
        <v>43952</v>
      </c>
      <c r="D51" s="25" t="s">
        <v>24</v>
      </c>
      <c r="E51" s="26" t="s">
        <v>27</v>
      </c>
      <c r="F51" s="27" t="str">
        <f>'Raw Data'!$D51&amp;" "&amp;'Raw Data'!$E51</f>
        <v>Profilo Branding</v>
      </c>
      <c r="G51" s="28">
        <f>IFERROR(VLOOKUP('Raw Data'!$F51,Database!O:S,2,0),"")</f>
        <v>7704351160</v>
      </c>
      <c r="H51" s="27" t="str">
        <f>IFERROR(VLOOKUP('Raw Data'!$F51,Database!O:S,3,0),"")</f>
        <v>Permanent Indoor POS</v>
      </c>
      <c r="I51" s="25" t="s">
        <v>109</v>
      </c>
      <c r="J51" s="34">
        <v>53620</v>
      </c>
      <c r="K51" s="29">
        <v>259</v>
      </c>
      <c r="L51" s="30">
        <f>IFERROR('Raw Data'!$J51-'Raw Data'!$K51,"")</f>
        <v>53361</v>
      </c>
    </row>
    <row r="52" spans="1:12" x14ac:dyDescent="0.2">
      <c r="A52" s="22">
        <v>43983</v>
      </c>
      <c r="B52" s="23">
        <f>IF('Raw Data'!$A52="","",'Raw Data'!$A52)</f>
        <v>43983</v>
      </c>
      <c r="C52" s="24">
        <f>'Raw Data'!$B52</f>
        <v>43983</v>
      </c>
      <c r="D52" s="25" t="s">
        <v>24</v>
      </c>
      <c r="E52" s="26" t="s">
        <v>27</v>
      </c>
      <c r="F52" s="27" t="str">
        <f>'Raw Data'!$D52&amp;" "&amp;'Raw Data'!$E52</f>
        <v>Profilo Branding</v>
      </c>
      <c r="G52" s="28">
        <f>IFERROR(VLOOKUP('Raw Data'!$F52,Database!O:S,2,0),"")</f>
        <v>7704351160</v>
      </c>
      <c r="H52" s="27" t="str">
        <f>IFERROR(VLOOKUP('Raw Data'!$F52,Database!O:S,3,0),"")</f>
        <v>Permanent Indoor POS</v>
      </c>
      <c r="I52" s="25" t="s">
        <v>110</v>
      </c>
      <c r="J52" s="34">
        <v>54939</v>
      </c>
      <c r="K52" s="29">
        <v>12260</v>
      </c>
      <c r="L52" s="30">
        <f>IFERROR('Raw Data'!$J52-'Raw Data'!$K52,"")</f>
        <v>42679</v>
      </c>
    </row>
    <row r="53" spans="1:12" x14ac:dyDescent="0.2">
      <c r="A53" s="22">
        <v>43983</v>
      </c>
      <c r="B53" s="23">
        <f>IF('Raw Data'!$A53="","",'Raw Data'!$A53)</f>
        <v>43983</v>
      </c>
      <c r="C53" s="24">
        <f>'Raw Data'!$B53</f>
        <v>43983</v>
      </c>
      <c r="D53" s="25" t="s">
        <v>24</v>
      </c>
      <c r="E53" s="26" t="s">
        <v>27</v>
      </c>
      <c r="F53" s="27" t="str">
        <f>'Raw Data'!$D53&amp;" "&amp;'Raw Data'!$E53</f>
        <v>Profilo Branding</v>
      </c>
      <c r="G53" s="28">
        <f>IFERROR(VLOOKUP('Raw Data'!$F53,Database!O:S,2,0),"")</f>
        <v>7704351160</v>
      </c>
      <c r="H53" s="27" t="str">
        <f>IFERROR(VLOOKUP('Raw Data'!$F53,Database!O:S,3,0),"")</f>
        <v>Permanent Indoor POS</v>
      </c>
      <c r="I53" s="25" t="s">
        <v>111</v>
      </c>
      <c r="J53" s="34">
        <v>68653</v>
      </c>
      <c r="K53" s="29">
        <v>33615</v>
      </c>
      <c r="L53" s="30">
        <f>IFERROR('Raw Data'!$J53-'Raw Data'!$K53,"")</f>
        <v>35038</v>
      </c>
    </row>
    <row r="54" spans="1:12" x14ac:dyDescent="0.2">
      <c r="A54" s="22">
        <v>44013</v>
      </c>
      <c r="B54" s="23">
        <f>IF('Raw Data'!$A54="","",'Raw Data'!$A54)</f>
        <v>44013</v>
      </c>
      <c r="C54" s="24">
        <f>'Raw Data'!$B54</f>
        <v>44013</v>
      </c>
      <c r="D54" s="25" t="s">
        <v>24</v>
      </c>
      <c r="E54" s="26" t="s">
        <v>27</v>
      </c>
      <c r="F54" s="27" t="str">
        <f>'Raw Data'!$D54&amp;" "&amp;'Raw Data'!$E54</f>
        <v>Profilo Branding</v>
      </c>
      <c r="G54" s="28">
        <f>IFERROR(VLOOKUP('Raw Data'!$F54,Database!O:S,2,0),"")</f>
        <v>7704351160</v>
      </c>
      <c r="H54" s="27" t="str">
        <f>IFERROR(VLOOKUP('Raw Data'!$F54,Database!O:S,3,0),"")</f>
        <v>Permanent Indoor POS</v>
      </c>
      <c r="I54" s="25" t="s">
        <v>95</v>
      </c>
      <c r="J54" s="34">
        <v>64501</v>
      </c>
      <c r="K54" s="29">
        <v>1385</v>
      </c>
      <c r="L54" s="30">
        <f>IFERROR('Raw Data'!$J54-'Raw Data'!$K54,"")</f>
        <v>63116</v>
      </c>
    </row>
    <row r="55" spans="1:12" x14ac:dyDescent="0.2">
      <c r="A55" s="22">
        <v>44044</v>
      </c>
      <c r="B55" s="23">
        <f>IF('Raw Data'!$A55="","",'Raw Data'!$A55)</f>
        <v>44044</v>
      </c>
      <c r="C55" s="24">
        <f>'Raw Data'!$B55</f>
        <v>44044</v>
      </c>
      <c r="D55" s="25" t="s">
        <v>24</v>
      </c>
      <c r="E55" s="26" t="s">
        <v>27</v>
      </c>
      <c r="F55" s="27" t="str">
        <f>'Raw Data'!$D55&amp;" "&amp;'Raw Data'!$E55</f>
        <v>Profilo Branding</v>
      </c>
      <c r="G55" s="28">
        <f>IFERROR(VLOOKUP('Raw Data'!$F55,Database!O:S,2,0),"")</f>
        <v>7704351160</v>
      </c>
      <c r="H55" s="27" t="str">
        <f>IFERROR(VLOOKUP('Raw Data'!$F55,Database!O:S,3,0),"")</f>
        <v>Permanent Indoor POS</v>
      </c>
      <c r="I55" s="25" t="s">
        <v>96</v>
      </c>
      <c r="J55" s="34">
        <v>50779</v>
      </c>
      <c r="K55" s="29">
        <v>18461.239999999998</v>
      </c>
      <c r="L55" s="30">
        <f>IFERROR('Raw Data'!$J55-'Raw Data'!$K55,"")</f>
        <v>32317.760000000002</v>
      </c>
    </row>
    <row r="56" spans="1:12" x14ac:dyDescent="0.2">
      <c r="A56" s="22">
        <v>44075</v>
      </c>
      <c r="B56" s="23">
        <f>IF('Raw Data'!$A56="","",'Raw Data'!$A56)</f>
        <v>44075</v>
      </c>
      <c r="C56" s="24">
        <f>'Raw Data'!$B56</f>
        <v>44075</v>
      </c>
      <c r="D56" s="25" t="s">
        <v>24</v>
      </c>
      <c r="E56" s="26" t="s">
        <v>27</v>
      </c>
      <c r="F56" s="27" t="str">
        <f>'Raw Data'!$D56&amp;" "&amp;'Raw Data'!$E56</f>
        <v>Profilo Branding</v>
      </c>
      <c r="G56" s="28">
        <f>IFERROR(VLOOKUP('Raw Data'!$F56,Database!O:S,2,0),"")</f>
        <v>7704351160</v>
      </c>
      <c r="H56" s="27" t="str">
        <f>IFERROR(VLOOKUP('Raw Data'!$F56,Database!O:S,3,0),"")</f>
        <v>Permanent Indoor POS</v>
      </c>
      <c r="I56" s="25" t="s">
        <v>97</v>
      </c>
      <c r="J56" s="34">
        <v>56109</v>
      </c>
      <c r="K56" s="29">
        <v>9220</v>
      </c>
      <c r="L56" s="30">
        <f>IFERROR('Raw Data'!$J56-'Raw Data'!$K56,"")</f>
        <v>46889</v>
      </c>
    </row>
    <row r="57" spans="1:12" x14ac:dyDescent="0.2">
      <c r="A57" s="22">
        <v>44105</v>
      </c>
      <c r="B57" s="23">
        <f>IF('Raw Data'!$A57="","",'Raw Data'!$A57)</f>
        <v>44105</v>
      </c>
      <c r="C57" s="24">
        <f>'Raw Data'!$B57</f>
        <v>44105</v>
      </c>
      <c r="D57" s="25" t="s">
        <v>24</v>
      </c>
      <c r="E57" s="26" t="s">
        <v>27</v>
      </c>
      <c r="F57" s="27" t="str">
        <f>'Raw Data'!$D57&amp;" "&amp;'Raw Data'!$E57</f>
        <v>Profilo Branding</v>
      </c>
      <c r="G57" s="28">
        <f>IFERROR(VLOOKUP('Raw Data'!$F57,Database!O:S,2,0),"")</f>
        <v>7704351160</v>
      </c>
      <c r="H57" s="27" t="str">
        <f>IFERROR(VLOOKUP('Raw Data'!$F57,Database!O:S,3,0),"")</f>
        <v>Permanent Indoor POS</v>
      </c>
      <c r="I57" s="25" t="s">
        <v>98</v>
      </c>
      <c r="J57" s="34">
        <v>55057</v>
      </c>
      <c r="K57" s="29">
        <v>6199.88</v>
      </c>
      <c r="L57" s="30">
        <f>IFERROR('Raw Data'!$J57-'Raw Data'!$K57,"")</f>
        <v>48857.120000000003</v>
      </c>
    </row>
    <row r="58" spans="1:12" x14ac:dyDescent="0.2">
      <c r="A58" s="22">
        <v>44105</v>
      </c>
      <c r="B58" s="23">
        <f>IF('Raw Data'!$A58="","",'Raw Data'!$A58)</f>
        <v>44105</v>
      </c>
      <c r="C58" s="24">
        <f>'Raw Data'!$B58</f>
        <v>44105</v>
      </c>
      <c r="D58" s="25" t="s">
        <v>24</v>
      </c>
      <c r="E58" s="26" t="s">
        <v>27</v>
      </c>
      <c r="F58" s="27" t="str">
        <f>'Raw Data'!$D58&amp;" "&amp;'Raw Data'!$E58</f>
        <v>Profilo Branding</v>
      </c>
      <c r="G58" s="28">
        <f>IFERROR(VLOOKUP('Raw Data'!$F58,Database!O:S,2,0),"")</f>
        <v>7704351160</v>
      </c>
      <c r="H58" s="27" t="str">
        <f>IFERROR(VLOOKUP('Raw Data'!$F58,Database!O:S,3,0),"")</f>
        <v>Permanent Indoor POS</v>
      </c>
      <c r="I58" s="25" t="s">
        <v>99</v>
      </c>
      <c r="J58" s="34">
        <v>65588</v>
      </c>
      <c r="K58" s="29">
        <v>94526.7</v>
      </c>
      <c r="L58" s="30">
        <f>IFERROR('Raw Data'!$J58-'Raw Data'!$K58,"")</f>
        <v>-28938.699999999997</v>
      </c>
    </row>
    <row r="59" spans="1:12" x14ac:dyDescent="0.2">
      <c r="A59" s="22">
        <v>43831</v>
      </c>
      <c r="B59" s="23">
        <f>IF('Raw Data'!$A59="","",'Raw Data'!$A59)</f>
        <v>43831</v>
      </c>
      <c r="C59" s="24">
        <f>'Raw Data'!$B59</f>
        <v>43831</v>
      </c>
      <c r="D59" s="25" t="s">
        <v>24</v>
      </c>
      <c r="E59" s="26" t="s">
        <v>26</v>
      </c>
      <c r="F59" s="27" t="str">
        <f>'Raw Data'!$D59&amp;" "&amp;'Raw Data'!$E59</f>
        <v>Profilo Merch</v>
      </c>
      <c r="G59" s="28">
        <f>IFERROR(VLOOKUP('Raw Data'!$F59,Database!O:S,2,0),"")</f>
        <v>7604355010</v>
      </c>
      <c r="H59" s="27" t="str">
        <f>IFERROR(VLOOKUP('Raw Data'!$F59,Database!O:S,3,0),"")</f>
        <v>Merchandisers Expences</v>
      </c>
      <c r="I59" s="25" t="s">
        <v>100</v>
      </c>
      <c r="J59" s="34">
        <v>63887</v>
      </c>
      <c r="K59" s="29">
        <v>109039.57</v>
      </c>
      <c r="L59" s="30">
        <f>IFERROR('Raw Data'!$J59-'Raw Data'!$K59,"")</f>
        <v>-45152.570000000007</v>
      </c>
    </row>
    <row r="60" spans="1:12" x14ac:dyDescent="0.2">
      <c r="A60" s="22">
        <v>43862</v>
      </c>
      <c r="B60" s="23">
        <f>IF('Raw Data'!$A60="","",'Raw Data'!$A60)</f>
        <v>43862</v>
      </c>
      <c r="C60" s="24">
        <f>'Raw Data'!$B60</f>
        <v>43862</v>
      </c>
      <c r="D60" s="25" t="s">
        <v>24</v>
      </c>
      <c r="E60" s="26" t="s">
        <v>26</v>
      </c>
      <c r="F60" s="27" t="str">
        <f>'Raw Data'!$D60&amp;" "&amp;'Raw Data'!$E60</f>
        <v>Profilo Merch</v>
      </c>
      <c r="G60" s="28">
        <f>IFERROR(VLOOKUP('Raw Data'!$F60,Database!O:S,2,0),"")</f>
        <v>7604355010</v>
      </c>
      <c r="H60" s="27" t="str">
        <f>IFERROR(VLOOKUP('Raw Data'!$F60,Database!O:S,3,0),"")</f>
        <v>Merchandisers Expences</v>
      </c>
      <c r="I60" s="25" t="s">
        <v>101</v>
      </c>
      <c r="J60" s="34">
        <v>65283</v>
      </c>
      <c r="K60" s="29">
        <v>105952.06</v>
      </c>
      <c r="L60" s="30">
        <f>IFERROR('Raw Data'!$J60-'Raw Data'!$K60,"")</f>
        <v>-40669.06</v>
      </c>
    </row>
    <row r="61" spans="1:12" x14ac:dyDescent="0.2">
      <c r="A61" s="22">
        <v>43891</v>
      </c>
      <c r="B61" s="23">
        <f>IF('Raw Data'!$A61="","",'Raw Data'!$A61)</f>
        <v>43891</v>
      </c>
      <c r="C61" s="24">
        <f>'Raw Data'!$B61</f>
        <v>43891</v>
      </c>
      <c r="D61" s="25" t="s">
        <v>24</v>
      </c>
      <c r="E61" s="26" t="s">
        <v>26</v>
      </c>
      <c r="F61" s="27" t="str">
        <f>'Raw Data'!$D61&amp;" "&amp;'Raw Data'!$E61</f>
        <v>Profilo Merch</v>
      </c>
      <c r="G61" s="28">
        <f>IFERROR(VLOOKUP('Raw Data'!$F61,Database!O:S,2,0),"")</f>
        <v>7604355010</v>
      </c>
      <c r="H61" s="27" t="str">
        <f>IFERROR(VLOOKUP('Raw Data'!$F61,Database!O:S,3,0),"")</f>
        <v>Merchandisers Expences</v>
      </c>
      <c r="I61" s="25" t="s">
        <v>102</v>
      </c>
      <c r="J61" s="34">
        <v>52410</v>
      </c>
      <c r="K61" s="29">
        <v>94243.26</v>
      </c>
      <c r="L61" s="30">
        <f>IFERROR('Raw Data'!$J61-'Raw Data'!$K61,"")</f>
        <v>-41833.259999999995</v>
      </c>
    </row>
    <row r="62" spans="1:12" x14ac:dyDescent="0.2">
      <c r="A62" s="22">
        <v>43891</v>
      </c>
      <c r="B62" s="23">
        <f>IF('Raw Data'!$A62="","",'Raw Data'!$A62)</f>
        <v>43891</v>
      </c>
      <c r="C62" s="24">
        <f>'Raw Data'!$B62</f>
        <v>43891</v>
      </c>
      <c r="D62" s="25" t="s">
        <v>24</v>
      </c>
      <c r="E62" s="26" t="s">
        <v>26</v>
      </c>
      <c r="F62" s="27" t="str">
        <f>'Raw Data'!$D62&amp;" "&amp;'Raw Data'!$E62</f>
        <v>Profilo Merch</v>
      </c>
      <c r="G62" s="28">
        <f>IFERROR(VLOOKUP('Raw Data'!$F62,Database!O:S,2,0),"")</f>
        <v>7604355010</v>
      </c>
      <c r="H62" s="27" t="str">
        <f>IFERROR(VLOOKUP('Raw Data'!$F62,Database!O:S,3,0),"")</f>
        <v>Merchandisers Expences</v>
      </c>
      <c r="I62" s="25" t="s">
        <v>103</v>
      </c>
      <c r="J62" s="34">
        <v>59256</v>
      </c>
      <c r="K62" s="29">
        <v>1033</v>
      </c>
      <c r="L62" s="30">
        <f>IFERROR('Raw Data'!$J62-'Raw Data'!$K62,"")</f>
        <v>58223</v>
      </c>
    </row>
    <row r="63" spans="1:12" x14ac:dyDescent="0.2">
      <c r="A63" s="22">
        <v>43891</v>
      </c>
      <c r="B63" s="23">
        <f>IF('Raw Data'!$A63="","",'Raw Data'!$A63)</f>
        <v>43891</v>
      </c>
      <c r="C63" s="24">
        <f>'Raw Data'!$B63</f>
        <v>43891</v>
      </c>
      <c r="D63" s="25" t="s">
        <v>24</v>
      </c>
      <c r="E63" s="26" t="s">
        <v>26</v>
      </c>
      <c r="F63" s="27" t="str">
        <f>'Raw Data'!$D63&amp;" "&amp;'Raw Data'!$E63</f>
        <v>Profilo Merch</v>
      </c>
      <c r="G63" s="28">
        <f>IFERROR(VLOOKUP('Raw Data'!$F63,Database!O:S,2,0),"")</f>
        <v>7604355010</v>
      </c>
      <c r="H63" s="27" t="str">
        <f>IFERROR(VLOOKUP('Raw Data'!$F63,Database!O:S,3,0),"")</f>
        <v>Merchandisers Expences</v>
      </c>
      <c r="I63" s="25" t="s">
        <v>104</v>
      </c>
      <c r="J63" s="34">
        <v>62367</v>
      </c>
      <c r="K63" s="29">
        <v>854</v>
      </c>
      <c r="L63" s="30">
        <f>IFERROR('Raw Data'!$J63-'Raw Data'!$K63,"")</f>
        <v>61513</v>
      </c>
    </row>
    <row r="64" spans="1:12" x14ac:dyDescent="0.2">
      <c r="A64" s="22">
        <v>43922</v>
      </c>
      <c r="B64" s="23">
        <f>IF('Raw Data'!$A64="","",'Raw Data'!$A64)</f>
        <v>43922</v>
      </c>
      <c r="C64" s="24">
        <f>'Raw Data'!$B64</f>
        <v>43922</v>
      </c>
      <c r="D64" s="25" t="s">
        <v>24</v>
      </c>
      <c r="E64" s="26" t="s">
        <v>26</v>
      </c>
      <c r="F64" s="27" t="str">
        <f>'Raw Data'!$D64&amp;" "&amp;'Raw Data'!$E64</f>
        <v>Profilo Merch</v>
      </c>
      <c r="G64" s="28">
        <f>IFERROR(VLOOKUP('Raw Data'!$F64,Database!O:S,2,0),"")</f>
        <v>7604355010</v>
      </c>
      <c r="H64" s="27" t="str">
        <f>IFERROR(VLOOKUP('Raw Data'!$F64,Database!O:S,3,0),"")</f>
        <v>Merchandisers Expences</v>
      </c>
      <c r="I64" s="25" t="s">
        <v>105</v>
      </c>
      <c r="J64" s="34">
        <v>56905</v>
      </c>
      <c r="K64" s="29">
        <v>41100.264915254236</v>
      </c>
      <c r="L64" s="30">
        <f>IFERROR('Raw Data'!$J64-'Raw Data'!$K64,"")</f>
        <v>15804.735084745764</v>
      </c>
    </row>
    <row r="65" spans="1:12" x14ac:dyDescent="0.2">
      <c r="A65" s="22">
        <v>43952</v>
      </c>
      <c r="B65" s="23">
        <f>IF('Raw Data'!$A65="","",'Raw Data'!$A65)</f>
        <v>43952</v>
      </c>
      <c r="C65" s="24">
        <f>'Raw Data'!$B65</f>
        <v>43952</v>
      </c>
      <c r="D65" s="25" t="s">
        <v>24</v>
      </c>
      <c r="E65" s="26" t="s">
        <v>26</v>
      </c>
      <c r="F65" s="27" t="str">
        <f>'Raw Data'!$D65&amp;" "&amp;'Raw Data'!$E65</f>
        <v>Profilo Merch</v>
      </c>
      <c r="G65" s="28">
        <f>IFERROR(VLOOKUP('Raw Data'!$F65,Database!O:S,2,0),"")</f>
        <v>7604355010</v>
      </c>
      <c r="H65" s="27" t="str">
        <f>IFERROR(VLOOKUP('Raw Data'!$F65,Database!O:S,3,0),"")</f>
        <v>Merchandisers Expences</v>
      </c>
      <c r="I65" s="25" t="s">
        <v>106</v>
      </c>
      <c r="J65" s="34">
        <v>70631</v>
      </c>
      <c r="K65" s="29">
        <v>26663.773197289833</v>
      </c>
      <c r="L65" s="30">
        <f>IFERROR('Raw Data'!$J65-'Raw Data'!$K65,"")</f>
        <v>43967.226802710167</v>
      </c>
    </row>
    <row r="66" spans="1:12" x14ac:dyDescent="0.2">
      <c r="A66" s="22">
        <v>43983</v>
      </c>
      <c r="B66" s="23">
        <f>IF('Raw Data'!$A66="","",'Raw Data'!$A66)</f>
        <v>43983</v>
      </c>
      <c r="C66" s="24">
        <f>'Raw Data'!$B66</f>
        <v>43983</v>
      </c>
      <c r="D66" s="25" t="s">
        <v>24</v>
      </c>
      <c r="E66" s="26" t="s">
        <v>26</v>
      </c>
      <c r="F66" s="27" t="str">
        <f>'Raw Data'!$D66&amp;" "&amp;'Raw Data'!$E66</f>
        <v>Profilo Merch</v>
      </c>
      <c r="G66" s="28">
        <f>IFERROR(VLOOKUP('Raw Data'!$F66,Database!O:S,2,0),"")</f>
        <v>7604355010</v>
      </c>
      <c r="H66" s="27" t="str">
        <f>IFERROR(VLOOKUP('Raw Data'!$F66,Database!O:S,3,0),"")</f>
        <v>Merchandisers Expences</v>
      </c>
      <c r="I66" s="25" t="s">
        <v>107</v>
      </c>
      <c r="J66" s="34">
        <v>57847</v>
      </c>
      <c r="K66" s="29">
        <v>100940.81999999999</v>
      </c>
      <c r="L66" s="30">
        <f>IFERROR('Raw Data'!$J66-'Raw Data'!$K66,"")</f>
        <v>-43093.819999999992</v>
      </c>
    </row>
    <row r="67" spans="1:12" x14ac:dyDescent="0.2">
      <c r="A67" s="22">
        <v>44013</v>
      </c>
      <c r="B67" s="23">
        <f>IF('Raw Data'!$A67="","",'Raw Data'!$A67)</f>
        <v>44013</v>
      </c>
      <c r="C67" s="24">
        <f>'Raw Data'!$B67</f>
        <v>44013</v>
      </c>
      <c r="D67" s="25" t="s">
        <v>24</v>
      </c>
      <c r="E67" s="26" t="s">
        <v>26</v>
      </c>
      <c r="F67" s="27" t="str">
        <f>'Raw Data'!$D67&amp;" "&amp;'Raw Data'!$E67</f>
        <v>Profilo Merch</v>
      </c>
      <c r="G67" s="28">
        <f>IFERROR(VLOOKUP('Raw Data'!$F67,Database!O:S,2,0),"")</f>
        <v>7604355010</v>
      </c>
      <c r="H67" s="27" t="str">
        <f>IFERROR(VLOOKUP('Raw Data'!$F67,Database!O:S,3,0),"")</f>
        <v>Merchandisers Expences</v>
      </c>
      <c r="I67" s="25" t="s">
        <v>108</v>
      </c>
      <c r="J67" s="34">
        <v>72076</v>
      </c>
      <c r="K67" s="29">
        <v>110042.54000000001</v>
      </c>
      <c r="L67" s="30">
        <f>IFERROR('Raw Data'!$J67-'Raw Data'!$K67,"")</f>
        <v>-37966.540000000008</v>
      </c>
    </row>
    <row r="68" spans="1:12" x14ac:dyDescent="0.2">
      <c r="A68" s="22">
        <v>44044</v>
      </c>
      <c r="B68" s="23">
        <f>IF('Raw Data'!$A68="","",'Raw Data'!$A68)</f>
        <v>44044</v>
      </c>
      <c r="C68" s="24">
        <f>'Raw Data'!$B68</f>
        <v>44044</v>
      </c>
      <c r="D68" s="25" t="s">
        <v>24</v>
      </c>
      <c r="E68" s="26" t="s">
        <v>26</v>
      </c>
      <c r="F68" s="27" t="str">
        <f>'Raw Data'!$D68&amp;" "&amp;'Raw Data'!$E68</f>
        <v>Profilo Merch</v>
      </c>
      <c r="G68" s="28">
        <f>IFERROR(VLOOKUP('Raw Data'!$F68,Database!O:S,2,0),"")</f>
        <v>7604355010</v>
      </c>
      <c r="H68" s="27" t="str">
        <f>IFERROR(VLOOKUP('Raw Data'!$F68,Database!O:S,3,0),"")</f>
        <v>Merchandisers Expences</v>
      </c>
      <c r="I68" s="25" t="s">
        <v>109</v>
      </c>
      <c r="J68" s="34">
        <v>53329</v>
      </c>
      <c r="K68" s="29">
        <v>91642.61</v>
      </c>
      <c r="L68" s="30">
        <f>IFERROR('Raw Data'!$J68-'Raw Data'!$K68,"")</f>
        <v>-38313.61</v>
      </c>
    </row>
    <row r="69" spans="1:12" x14ac:dyDescent="0.2">
      <c r="A69" s="22">
        <v>44075</v>
      </c>
      <c r="B69" s="23">
        <f>IF('Raw Data'!$A69="","",'Raw Data'!$A69)</f>
        <v>44075</v>
      </c>
      <c r="C69" s="24">
        <f>'Raw Data'!$B69</f>
        <v>44075</v>
      </c>
      <c r="D69" s="25" t="s">
        <v>24</v>
      </c>
      <c r="E69" s="26" t="s">
        <v>26</v>
      </c>
      <c r="F69" s="27" t="str">
        <f>'Raw Data'!$D69&amp;" "&amp;'Raw Data'!$E69</f>
        <v>Profilo Merch</v>
      </c>
      <c r="G69" s="28">
        <f>IFERROR(VLOOKUP('Raw Data'!$F69,Database!O:S,2,0),"")</f>
        <v>7604355010</v>
      </c>
      <c r="H69" s="27" t="str">
        <f>IFERROR(VLOOKUP('Raw Data'!$F69,Database!O:S,3,0),"")</f>
        <v>Merchandisers Expences</v>
      </c>
      <c r="I69" s="25" t="s">
        <v>110</v>
      </c>
      <c r="J69" s="34">
        <v>68779</v>
      </c>
      <c r="K69" s="29">
        <v>90459</v>
      </c>
      <c r="L69" s="30">
        <f>IFERROR('Raw Data'!$J69-'Raw Data'!$K69,"")</f>
        <v>-21680</v>
      </c>
    </row>
    <row r="70" spans="1:12" x14ac:dyDescent="0.2">
      <c r="A70" s="22">
        <v>43831</v>
      </c>
      <c r="B70" s="23">
        <f>IF('Raw Data'!$A70="","",'Raw Data'!$A70)</f>
        <v>43831</v>
      </c>
      <c r="C70" s="24">
        <f>'Raw Data'!$B70</f>
        <v>43831</v>
      </c>
      <c r="D70" s="25" t="s">
        <v>25</v>
      </c>
      <c r="E70" s="26" t="s">
        <v>27</v>
      </c>
      <c r="F70" s="27" t="str">
        <f>'Raw Data'!$D70&amp;" "&amp;'Raw Data'!$E70</f>
        <v>Siemens Branding</v>
      </c>
      <c r="G70" s="28">
        <f>IFERROR(VLOOKUP('Raw Data'!$F70,Database!O:S,2,0),"")</f>
        <v>7704351160</v>
      </c>
      <c r="H70" s="27" t="str">
        <f>IFERROR(VLOOKUP('Raw Data'!$F70,Database!O:S,3,0),"")</f>
        <v>Permanent Indoor POS</v>
      </c>
      <c r="I70" s="25" t="s">
        <v>111</v>
      </c>
      <c r="J70" s="34">
        <v>64259</v>
      </c>
      <c r="K70" s="29">
        <v>41000</v>
      </c>
      <c r="L70" s="30">
        <f>IFERROR('Raw Data'!$J70-'Raw Data'!$K70,"")</f>
        <v>23259</v>
      </c>
    </row>
    <row r="71" spans="1:12" x14ac:dyDescent="0.2">
      <c r="A71" s="22">
        <v>43831</v>
      </c>
      <c r="B71" s="23">
        <f>IF('Raw Data'!$A71="","",'Raw Data'!$A71)</f>
        <v>43831</v>
      </c>
      <c r="C71" s="24">
        <f>'Raw Data'!$B71</f>
        <v>43831</v>
      </c>
      <c r="D71" s="25" t="s">
        <v>25</v>
      </c>
      <c r="E71" s="26" t="s">
        <v>27</v>
      </c>
      <c r="F71" s="27" t="str">
        <f>'Raw Data'!$D71&amp;" "&amp;'Raw Data'!$E71</f>
        <v>Siemens Branding</v>
      </c>
      <c r="G71" s="28">
        <f>IFERROR(VLOOKUP('Raw Data'!$F71,Database!O:S,2,0),"")</f>
        <v>7704351160</v>
      </c>
      <c r="H71" s="27" t="str">
        <f>IFERROR(VLOOKUP('Raw Data'!$F71,Database!O:S,3,0),"")</f>
        <v>Permanent Indoor POS</v>
      </c>
      <c r="I71" s="25" t="s">
        <v>95</v>
      </c>
      <c r="J71" s="34">
        <v>58730</v>
      </c>
      <c r="K71" s="29">
        <v>133834.20000000001</v>
      </c>
      <c r="L71" s="30">
        <f>IFERROR('Raw Data'!$J71-'Raw Data'!$K71,"")</f>
        <v>-75104.200000000012</v>
      </c>
    </row>
    <row r="72" spans="1:12" x14ac:dyDescent="0.2">
      <c r="A72" s="22">
        <v>43862</v>
      </c>
      <c r="B72" s="23">
        <f>IF('Raw Data'!$A72="","",'Raw Data'!$A72)</f>
        <v>43862</v>
      </c>
      <c r="C72" s="24">
        <f>'Raw Data'!$B72</f>
        <v>43862</v>
      </c>
      <c r="D72" s="25" t="s">
        <v>25</v>
      </c>
      <c r="E72" s="26" t="s">
        <v>27</v>
      </c>
      <c r="F72" s="27" t="str">
        <f>'Raw Data'!$D72&amp;" "&amp;'Raw Data'!$E72</f>
        <v>Siemens Branding</v>
      </c>
      <c r="G72" s="28">
        <f>IFERROR(VLOOKUP('Raw Data'!$F72,Database!O:S,2,0),"")</f>
        <v>7704351160</v>
      </c>
      <c r="H72" s="27" t="str">
        <f>IFERROR(VLOOKUP('Raw Data'!$F72,Database!O:S,3,0),"")</f>
        <v>Permanent Indoor POS</v>
      </c>
      <c r="I72" s="25" t="s">
        <v>96</v>
      </c>
      <c r="J72" s="34">
        <v>67030</v>
      </c>
      <c r="K72" s="29">
        <v>41000</v>
      </c>
      <c r="L72" s="30">
        <f>IFERROR('Raw Data'!$J72-'Raw Data'!$K72,"")</f>
        <v>26030</v>
      </c>
    </row>
    <row r="73" spans="1:12" x14ac:dyDescent="0.2">
      <c r="A73" s="22">
        <v>43891</v>
      </c>
      <c r="B73" s="23">
        <f>IF('Raw Data'!$A73="","",'Raw Data'!$A73)</f>
        <v>43891</v>
      </c>
      <c r="C73" s="24">
        <f>'Raw Data'!$B73</f>
        <v>43891</v>
      </c>
      <c r="D73" s="25" t="s">
        <v>25</v>
      </c>
      <c r="E73" s="26" t="s">
        <v>27</v>
      </c>
      <c r="F73" s="27" t="str">
        <f>'Raw Data'!$D73&amp;" "&amp;'Raw Data'!$E73</f>
        <v>Siemens Branding</v>
      </c>
      <c r="G73" s="28">
        <f>IFERROR(VLOOKUP('Raw Data'!$F73,Database!O:S,2,0),"")</f>
        <v>7704351160</v>
      </c>
      <c r="H73" s="27" t="str">
        <f>IFERROR(VLOOKUP('Raw Data'!$F73,Database!O:S,3,0),"")</f>
        <v>Permanent Indoor POS</v>
      </c>
      <c r="I73" s="25" t="s">
        <v>97</v>
      </c>
      <c r="J73" s="34">
        <v>53563</v>
      </c>
      <c r="K73" s="29">
        <v>1800</v>
      </c>
      <c r="L73" s="30">
        <f>IFERROR('Raw Data'!$J73-'Raw Data'!$K73,"")</f>
        <v>51763</v>
      </c>
    </row>
    <row r="74" spans="1:12" x14ac:dyDescent="0.2">
      <c r="A74" s="22">
        <v>43891</v>
      </c>
      <c r="B74" s="23">
        <f>IF('Raw Data'!$A74="","",'Raw Data'!$A74)</f>
        <v>43891</v>
      </c>
      <c r="C74" s="24">
        <f>'Raw Data'!$B74</f>
        <v>43891</v>
      </c>
      <c r="D74" s="25" t="s">
        <v>25</v>
      </c>
      <c r="E74" s="26" t="s">
        <v>27</v>
      </c>
      <c r="F74" s="27" t="str">
        <f>'Raw Data'!$D74&amp;" "&amp;'Raw Data'!$E74</f>
        <v>Siemens Branding</v>
      </c>
      <c r="G74" s="28">
        <f>IFERROR(VLOOKUP('Raw Data'!$F74,Database!O:S,2,0),"")</f>
        <v>7704351160</v>
      </c>
      <c r="H74" s="27" t="str">
        <f>IFERROR(VLOOKUP('Raw Data'!$F74,Database!O:S,3,0),"")</f>
        <v>Permanent Indoor POS</v>
      </c>
      <c r="I74" s="25" t="s">
        <v>98</v>
      </c>
      <c r="J74" s="34">
        <v>68791</v>
      </c>
      <c r="K74" s="29">
        <v>41000</v>
      </c>
      <c r="L74" s="30">
        <f>IFERROR('Raw Data'!$J74-'Raw Data'!$K74,"")</f>
        <v>27791</v>
      </c>
    </row>
    <row r="75" spans="1:12" x14ac:dyDescent="0.2">
      <c r="A75" s="22">
        <v>43922</v>
      </c>
      <c r="B75" s="23">
        <f>IF('Raw Data'!$A75="","",'Raw Data'!$A75)</f>
        <v>43922</v>
      </c>
      <c r="C75" s="24">
        <f>'Raw Data'!$B75</f>
        <v>43922</v>
      </c>
      <c r="D75" s="25" t="s">
        <v>25</v>
      </c>
      <c r="E75" s="26" t="s">
        <v>27</v>
      </c>
      <c r="F75" s="27" t="str">
        <f>'Raw Data'!$D75&amp;" "&amp;'Raw Data'!$E75</f>
        <v>Siemens Branding</v>
      </c>
      <c r="G75" s="28">
        <f>IFERROR(VLOOKUP('Raw Data'!$F75,Database!O:S,2,0),"")</f>
        <v>7704351160</v>
      </c>
      <c r="H75" s="27" t="str">
        <f>IFERROR(VLOOKUP('Raw Data'!$F75,Database!O:S,3,0),"")</f>
        <v>Permanent Indoor POS</v>
      </c>
      <c r="I75" s="25" t="s">
        <v>99</v>
      </c>
      <c r="J75" s="34">
        <v>50600</v>
      </c>
      <c r="K75" s="29">
        <v>41004.510000000009</v>
      </c>
      <c r="L75" s="30">
        <f>IFERROR('Raw Data'!$J75-'Raw Data'!$K75,"")</f>
        <v>9595.4899999999907</v>
      </c>
    </row>
    <row r="76" spans="1:12" x14ac:dyDescent="0.2">
      <c r="A76" s="22">
        <v>43952</v>
      </c>
      <c r="B76" s="23">
        <f>IF('Raw Data'!$A76="","",'Raw Data'!$A76)</f>
        <v>43952</v>
      </c>
      <c r="C76" s="24">
        <f>'Raw Data'!$B76</f>
        <v>43952</v>
      </c>
      <c r="D76" s="25" t="s">
        <v>25</v>
      </c>
      <c r="E76" s="26" t="s">
        <v>27</v>
      </c>
      <c r="F76" s="27" t="str">
        <f>'Raw Data'!$D76&amp;" "&amp;'Raw Data'!$E76</f>
        <v>Siemens Branding</v>
      </c>
      <c r="G76" s="28">
        <f>IFERROR(VLOOKUP('Raw Data'!$F76,Database!O:S,2,0),"")</f>
        <v>7704351160</v>
      </c>
      <c r="H76" s="27" t="str">
        <f>IFERROR(VLOOKUP('Raw Data'!$F76,Database!O:S,3,0),"")</f>
        <v>Permanent Indoor POS</v>
      </c>
      <c r="I76" s="25" t="s">
        <v>100</v>
      </c>
      <c r="J76" s="34">
        <v>74240</v>
      </c>
      <c r="K76" s="29">
        <v>23600</v>
      </c>
      <c r="L76" s="30">
        <f>IFERROR('Raw Data'!$J76-'Raw Data'!$K76,"")</f>
        <v>50640</v>
      </c>
    </row>
    <row r="77" spans="1:12" x14ac:dyDescent="0.2">
      <c r="A77" s="22">
        <v>43952</v>
      </c>
      <c r="B77" s="23">
        <f>IF('Raw Data'!$A77="","",'Raw Data'!$A77)</f>
        <v>43952</v>
      </c>
      <c r="C77" s="24">
        <f>'Raw Data'!$B77</f>
        <v>43952</v>
      </c>
      <c r="D77" s="25" t="s">
        <v>25</v>
      </c>
      <c r="E77" s="26" t="s">
        <v>27</v>
      </c>
      <c r="F77" s="27" t="str">
        <f>'Raw Data'!$D77&amp;" "&amp;'Raw Data'!$E77</f>
        <v>Siemens Branding</v>
      </c>
      <c r="G77" s="28">
        <f>IFERROR(VLOOKUP('Raw Data'!$F77,Database!O:S,2,0),"")</f>
        <v>7704351160</v>
      </c>
      <c r="H77" s="27" t="str">
        <f>IFERROR(VLOOKUP('Raw Data'!$F77,Database!O:S,3,0),"")</f>
        <v>Permanent Indoor POS</v>
      </c>
      <c r="I77" s="25" t="s">
        <v>101</v>
      </c>
      <c r="J77" s="34">
        <v>64485</v>
      </c>
      <c r="K77" s="29">
        <v>457967.5</v>
      </c>
      <c r="L77" s="30">
        <f>IFERROR('Raw Data'!$J77-'Raw Data'!$K77,"")</f>
        <v>-393482.5</v>
      </c>
    </row>
    <row r="78" spans="1:12" x14ac:dyDescent="0.2">
      <c r="A78" s="22">
        <v>43952</v>
      </c>
      <c r="B78" s="23">
        <f>IF('Raw Data'!$A78="","",'Raw Data'!$A78)</f>
        <v>43952</v>
      </c>
      <c r="C78" s="24">
        <f>'Raw Data'!$B78</f>
        <v>43952</v>
      </c>
      <c r="D78" s="25" t="s">
        <v>25</v>
      </c>
      <c r="E78" s="26" t="s">
        <v>27</v>
      </c>
      <c r="F78" s="27" t="str">
        <f>'Raw Data'!$D78&amp;" "&amp;'Raw Data'!$E78</f>
        <v>Siemens Branding</v>
      </c>
      <c r="G78" s="28">
        <f>IFERROR(VLOOKUP('Raw Data'!$F78,Database!O:S,2,0),"")</f>
        <v>7704351160</v>
      </c>
      <c r="H78" s="27" t="str">
        <f>IFERROR(VLOOKUP('Raw Data'!$F78,Database!O:S,3,0),"")</f>
        <v>Permanent Indoor POS</v>
      </c>
      <c r="I78" s="25" t="s">
        <v>102</v>
      </c>
      <c r="J78" s="34">
        <v>65765</v>
      </c>
      <c r="K78" s="29">
        <v>22910</v>
      </c>
      <c r="L78" s="30">
        <f>IFERROR('Raw Data'!$J78-'Raw Data'!$K78,"")</f>
        <v>42855</v>
      </c>
    </row>
    <row r="79" spans="1:12" x14ac:dyDescent="0.2">
      <c r="A79" s="22">
        <v>43952</v>
      </c>
      <c r="B79" s="23">
        <f>IF('Raw Data'!$A79="","",'Raw Data'!$A79)</f>
        <v>43952</v>
      </c>
      <c r="C79" s="24">
        <f>'Raw Data'!$B79</f>
        <v>43952</v>
      </c>
      <c r="D79" s="25" t="s">
        <v>25</v>
      </c>
      <c r="E79" s="26" t="s">
        <v>27</v>
      </c>
      <c r="F79" s="27" t="str">
        <f>'Raw Data'!$D79&amp;" "&amp;'Raw Data'!$E79</f>
        <v>Siemens Branding</v>
      </c>
      <c r="G79" s="28">
        <f>IFERROR(VLOOKUP('Raw Data'!$F79,Database!O:S,2,0),"")</f>
        <v>7704351160</v>
      </c>
      <c r="H79" s="27" t="str">
        <f>IFERROR(VLOOKUP('Raw Data'!$F79,Database!O:S,3,0),"")</f>
        <v>Permanent Indoor POS</v>
      </c>
      <c r="I79" s="25" t="s">
        <v>103</v>
      </c>
      <c r="J79" s="34">
        <v>69165</v>
      </c>
      <c r="K79" s="29">
        <v>49757</v>
      </c>
      <c r="L79" s="30">
        <f>IFERROR('Raw Data'!$J79-'Raw Data'!$K79,"")</f>
        <v>19408</v>
      </c>
    </row>
    <row r="80" spans="1:12" x14ac:dyDescent="0.2">
      <c r="A80" s="22">
        <v>43952</v>
      </c>
      <c r="B80" s="23">
        <f>IF('Raw Data'!$A80="","",'Raw Data'!$A80)</f>
        <v>43952</v>
      </c>
      <c r="C80" s="24">
        <f>'Raw Data'!$B80</f>
        <v>43952</v>
      </c>
      <c r="D80" s="25" t="s">
        <v>25</v>
      </c>
      <c r="E80" s="26" t="s">
        <v>27</v>
      </c>
      <c r="F80" s="27" t="str">
        <f>'Raw Data'!$D80&amp;" "&amp;'Raw Data'!$E80</f>
        <v>Siemens Branding</v>
      </c>
      <c r="G80" s="28">
        <f>IFERROR(VLOOKUP('Raw Data'!$F80,Database!O:S,2,0),"")</f>
        <v>7704351160</v>
      </c>
      <c r="H80" s="27" t="str">
        <f>IFERROR(VLOOKUP('Raw Data'!$F80,Database!O:S,3,0),"")</f>
        <v>Permanent Indoor POS</v>
      </c>
      <c r="I80" s="25" t="s">
        <v>104</v>
      </c>
      <c r="J80" s="34">
        <v>61086</v>
      </c>
      <c r="K80" s="29">
        <v>2146</v>
      </c>
      <c r="L80" s="30">
        <f>IFERROR('Raw Data'!$J80-'Raw Data'!$K80,"")</f>
        <v>58940</v>
      </c>
    </row>
    <row r="81" spans="1:12" x14ac:dyDescent="0.2">
      <c r="A81" s="22">
        <v>43983</v>
      </c>
      <c r="B81" s="23">
        <f>IF('Raw Data'!$A81="","",'Raw Data'!$A81)</f>
        <v>43983</v>
      </c>
      <c r="C81" s="24">
        <f>'Raw Data'!$B81</f>
        <v>43983</v>
      </c>
      <c r="D81" s="25" t="s">
        <v>25</v>
      </c>
      <c r="E81" s="26" t="s">
        <v>27</v>
      </c>
      <c r="F81" s="27" t="str">
        <f>'Raw Data'!$D81&amp;" "&amp;'Raw Data'!$E81</f>
        <v>Siemens Branding</v>
      </c>
      <c r="G81" s="28">
        <f>IFERROR(VLOOKUP('Raw Data'!$F81,Database!O:S,2,0),"")</f>
        <v>7704351160</v>
      </c>
      <c r="H81" s="27" t="str">
        <f>IFERROR(VLOOKUP('Raw Data'!$F81,Database!O:S,3,0),"")</f>
        <v>Permanent Indoor POS</v>
      </c>
      <c r="I81" s="25" t="s">
        <v>105</v>
      </c>
      <c r="J81" s="34">
        <v>71468</v>
      </c>
      <c r="K81" s="29">
        <v>22303.279999999999</v>
      </c>
      <c r="L81" s="30">
        <f>IFERROR('Raw Data'!$J81-'Raw Data'!$K81,"")</f>
        <v>49164.72</v>
      </c>
    </row>
    <row r="82" spans="1:12" x14ac:dyDescent="0.2">
      <c r="A82" s="22">
        <v>44013</v>
      </c>
      <c r="B82" s="23">
        <f>IF('Raw Data'!$A82="","",'Raw Data'!$A82)</f>
        <v>44013</v>
      </c>
      <c r="C82" s="24">
        <f>'Raw Data'!$B82</f>
        <v>44013</v>
      </c>
      <c r="D82" s="25" t="s">
        <v>25</v>
      </c>
      <c r="E82" s="26" t="s">
        <v>27</v>
      </c>
      <c r="F82" s="27" t="str">
        <f>'Raw Data'!$D82&amp;" "&amp;'Raw Data'!$E82</f>
        <v>Siemens Branding</v>
      </c>
      <c r="G82" s="28">
        <f>IFERROR(VLOOKUP('Raw Data'!$F82,Database!O:S,2,0),"")</f>
        <v>7704351160</v>
      </c>
      <c r="H82" s="27" t="str">
        <f>IFERROR(VLOOKUP('Raw Data'!$F82,Database!O:S,3,0),"")</f>
        <v>Permanent Indoor POS</v>
      </c>
      <c r="I82" s="25" t="s">
        <v>106</v>
      </c>
      <c r="J82" s="34">
        <v>66875</v>
      </c>
      <c r="K82" s="29">
        <v>53052.86</v>
      </c>
      <c r="L82" s="30">
        <f>IFERROR('Raw Data'!$J82-'Raw Data'!$K82,"")</f>
        <v>13822.14</v>
      </c>
    </row>
    <row r="83" spans="1:12" x14ac:dyDescent="0.2">
      <c r="A83" s="22">
        <v>44044</v>
      </c>
      <c r="B83" s="23">
        <f>IF('Raw Data'!$A83="","",'Raw Data'!$A83)</f>
        <v>44044</v>
      </c>
      <c r="C83" s="24">
        <f>'Raw Data'!$B83</f>
        <v>44044</v>
      </c>
      <c r="D83" s="25" t="s">
        <v>25</v>
      </c>
      <c r="E83" s="26" t="s">
        <v>27</v>
      </c>
      <c r="F83" s="27" t="str">
        <f>'Raw Data'!$D83&amp;" "&amp;'Raw Data'!$E83</f>
        <v>Siemens Branding</v>
      </c>
      <c r="G83" s="28">
        <f>IFERROR(VLOOKUP('Raw Data'!$F83,Database!O:S,2,0),"")</f>
        <v>7704351160</v>
      </c>
      <c r="H83" s="27" t="str">
        <f>IFERROR(VLOOKUP('Raw Data'!$F83,Database!O:S,3,0),"")</f>
        <v>Permanent Indoor POS</v>
      </c>
      <c r="I83" s="25" t="s">
        <v>107</v>
      </c>
      <c r="J83" s="34">
        <v>58238</v>
      </c>
      <c r="K83" s="29">
        <v>38503.120000000003</v>
      </c>
      <c r="L83" s="30">
        <f>IFERROR('Raw Data'!$J83-'Raw Data'!$K83,"")</f>
        <v>19734.879999999997</v>
      </c>
    </row>
    <row r="84" spans="1:12" x14ac:dyDescent="0.2">
      <c r="A84" s="22">
        <v>44075</v>
      </c>
      <c r="B84" s="23">
        <f>IF('Raw Data'!$A84="","",'Raw Data'!$A84)</f>
        <v>44075</v>
      </c>
      <c r="C84" s="24">
        <f>'Raw Data'!$B84</f>
        <v>44075</v>
      </c>
      <c r="D84" s="25" t="s">
        <v>25</v>
      </c>
      <c r="E84" s="26" t="s">
        <v>27</v>
      </c>
      <c r="F84" s="27" t="str">
        <f>'Raw Data'!$D84&amp;" "&amp;'Raw Data'!$E84</f>
        <v>Siemens Branding</v>
      </c>
      <c r="G84" s="28">
        <f>IFERROR(VLOOKUP('Raw Data'!$F84,Database!O:S,2,0),"")</f>
        <v>7704351160</v>
      </c>
      <c r="H84" s="27" t="str">
        <f>IFERROR(VLOOKUP('Raw Data'!$F84,Database!O:S,3,0),"")</f>
        <v>Permanent Indoor POS</v>
      </c>
      <c r="I84" s="25" t="s">
        <v>108</v>
      </c>
      <c r="J84" s="34">
        <v>53981</v>
      </c>
      <c r="K84" s="29">
        <v>38816.1</v>
      </c>
      <c r="L84" s="30">
        <f>IFERROR('Raw Data'!$J84-'Raw Data'!$K84,"")</f>
        <v>15164.900000000001</v>
      </c>
    </row>
    <row r="85" spans="1:12" x14ac:dyDescent="0.2">
      <c r="A85" s="22">
        <v>44105</v>
      </c>
      <c r="B85" s="23">
        <f>IF('Raw Data'!$A85="","",'Raw Data'!$A85)</f>
        <v>44105</v>
      </c>
      <c r="C85" s="24">
        <f>'Raw Data'!$B85</f>
        <v>44105</v>
      </c>
      <c r="D85" s="25" t="s">
        <v>25</v>
      </c>
      <c r="E85" s="26" t="s">
        <v>27</v>
      </c>
      <c r="F85" s="27" t="str">
        <f>'Raw Data'!$D85&amp;" "&amp;'Raw Data'!$E85</f>
        <v>Siemens Branding</v>
      </c>
      <c r="G85" s="28">
        <f>IFERROR(VLOOKUP('Raw Data'!$F85,Database!O:S,2,0),"")</f>
        <v>7704351160</v>
      </c>
      <c r="H85" s="27" t="str">
        <f>IFERROR(VLOOKUP('Raw Data'!$F85,Database!O:S,3,0),"")</f>
        <v>Permanent Indoor POS</v>
      </c>
      <c r="I85" s="25" t="s">
        <v>109</v>
      </c>
      <c r="J85" s="34">
        <v>52721</v>
      </c>
      <c r="K85" s="29">
        <v>53965.54</v>
      </c>
      <c r="L85" s="30">
        <f>IFERROR('Raw Data'!$J85-'Raw Data'!$K85,"")</f>
        <v>-1244.5400000000009</v>
      </c>
    </row>
    <row r="86" spans="1:12" x14ac:dyDescent="0.2">
      <c r="A86" s="22">
        <v>43831</v>
      </c>
      <c r="B86" s="23">
        <f>IF('Raw Data'!$A86="","",'Raw Data'!$A86)</f>
        <v>43831</v>
      </c>
      <c r="C86" s="24">
        <f>'Raw Data'!$B86</f>
        <v>43831</v>
      </c>
      <c r="D86" s="25" t="s">
        <v>25</v>
      </c>
      <c r="E86" s="26" t="s">
        <v>26</v>
      </c>
      <c r="F86" s="27" t="str">
        <f>'Raw Data'!$D86&amp;" "&amp;'Raw Data'!$E86</f>
        <v>Siemens Merch</v>
      </c>
      <c r="G86" s="28">
        <f>IFERROR(VLOOKUP('Raw Data'!$F86,Database!O:S,2,0),"")</f>
        <v>7604355010</v>
      </c>
      <c r="H86" s="27" t="str">
        <f>IFERROR(VLOOKUP('Raw Data'!$F86,Database!O:S,3,0),"")</f>
        <v>Merchandisers Expences</v>
      </c>
      <c r="I86" s="25" t="s">
        <v>110</v>
      </c>
      <c r="J86" s="34">
        <v>54429</v>
      </c>
      <c r="K86" s="29">
        <v>120138.51000000001</v>
      </c>
      <c r="L86" s="30">
        <f>IFERROR('Raw Data'!$J86-'Raw Data'!$K86,"")</f>
        <v>-65709.510000000009</v>
      </c>
    </row>
    <row r="87" spans="1:12" x14ac:dyDescent="0.2">
      <c r="A87" s="22">
        <v>43862</v>
      </c>
      <c r="B87" s="23">
        <f>IF('Raw Data'!$A87="","",'Raw Data'!$A87)</f>
        <v>43862</v>
      </c>
      <c r="C87" s="24">
        <f>'Raw Data'!$B87</f>
        <v>43862</v>
      </c>
      <c r="D87" s="25" t="s">
        <v>25</v>
      </c>
      <c r="E87" s="26" t="s">
        <v>26</v>
      </c>
      <c r="F87" s="27" t="str">
        <f>'Raw Data'!$D87&amp;" "&amp;'Raw Data'!$E87</f>
        <v>Siemens Merch</v>
      </c>
      <c r="G87" s="28">
        <f>IFERROR(VLOOKUP('Raw Data'!$F87,Database!O:S,2,0),"")</f>
        <v>7604355010</v>
      </c>
      <c r="H87" s="27" t="str">
        <f>IFERROR(VLOOKUP('Raw Data'!$F87,Database!O:S,3,0),"")</f>
        <v>Merchandisers Expences</v>
      </c>
      <c r="I87" s="25" t="s">
        <v>111</v>
      </c>
      <c r="J87" s="34">
        <v>65384</v>
      </c>
      <c r="K87" s="29">
        <v>91546.86</v>
      </c>
      <c r="L87" s="30">
        <f>IFERROR('Raw Data'!$J87-'Raw Data'!$K87,"")</f>
        <v>-26162.86</v>
      </c>
    </row>
    <row r="88" spans="1:12" x14ac:dyDescent="0.2">
      <c r="A88" s="22">
        <v>43891</v>
      </c>
      <c r="B88" s="23">
        <f>IF('Raw Data'!$A88="","",'Raw Data'!$A88)</f>
        <v>43891</v>
      </c>
      <c r="C88" s="24">
        <f>'Raw Data'!$B88</f>
        <v>43891</v>
      </c>
      <c r="D88" s="25" t="s">
        <v>25</v>
      </c>
      <c r="E88" s="26" t="s">
        <v>26</v>
      </c>
      <c r="F88" s="27" t="str">
        <f>'Raw Data'!$D88&amp;" "&amp;'Raw Data'!$E88</f>
        <v>Siemens Merch</v>
      </c>
      <c r="G88" s="28">
        <f>IFERROR(VLOOKUP('Raw Data'!$F88,Database!O:S,2,0),"")</f>
        <v>7604355010</v>
      </c>
      <c r="H88" s="27" t="str">
        <f>IFERROR(VLOOKUP('Raw Data'!$F88,Database!O:S,3,0),"")</f>
        <v>Merchandisers Expences</v>
      </c>
      <c r="I88" s="25" t="s">
        <v>95</v>
      </c>
      <c r="J88" s="34">
        <v>61062</v>
      </c>
      <c r="K88" s="29">
        <v>1033</v>
      </c>
      <c r="L88" s="30">
        <f>IFERROR('Raw Data'!$J88-'Raw Data'!$K88,"")</f>
        <v>60029</v>
      </c>
    </row>
    <row r="89" spans="1:12" x14ac:dyDescent="0.2">
      <c r="A89" s="22">
        <v>43891</v>
      </c>
      <c r="B89" s="23">
        <f>IF('Raw Data'!$A89="","",'Raw Data'!$A89)</f>
        <v>43891</v>
      </c>
      <c r="C89" s="24">
        <f>'Raw Data'!$B89</f>
        <v>43891</v>
      </c>
      <c r="D89" s="25" t="s">
        <v>25</v>
      </c>
      <c r="E89" s="26" t="s">
        <v>26</v>
      </c>
      <c r="F89" s="27" t="str">
        <f>'Raw Data'!$D89&amp;" "&amp;'Raw Data'!$E89</f>
        <v>Siemens Merch</v>
      </c>
      <c r="G89" s="28">
        <f>IFERROR(VLOOKUP('Raw Data'!$F89,Database!O:S,2,0),"")</f>
        <v>7604355010</v>
      </c>
      <c r="H89" s="27" t="str">
        <f>IFERROR(VLOOKUP('Raw Data'!$F89,Database!O:S,3,0),"")</f>
        <v>Merchandisers Expences</v>
      </c>
      <c r="I89" s="25" t="s">
        <v>96</v>
      </c>
      <c r="J89" s="34">
        <v>56439</v>
      </c>
      <c r="K89" s="29">
        <v>93835.48000000001</v>
      </c>
      <c r="L89" s="30">
        <f>IFERROR('Raw Data'!$J89-'Raw Data'!$K89,"")</f>
        <v>-37396.48000000001</v>
      </c>
    </row>
    <row r="90" spans="1:12" x14ac:dyDescent="0.2">
      <c r="A90" s="22">
        <v>43891</v>
      </c>
      <c r="B90" s="23">
        <f>IF('Raw Data'!$A90="","",'Raw Data'!$A90)</f>
        <v>43891</v>
      </c>
      <c r="C90" s="24">
        <f>'Raw Data'!$B90</f>
        <v>43891</v>
      </c>
      <c r="D90" s="25" t="s">
        <v>25</v>
      </c>
      <c r="E90" s="26" t="s">
        <v>26</v>
      </c>
      <c r="F90" s="27" t="str">
        <f>'Raw Data'!$D90&amp;" "&amp;'Raw Data'!$E90</f>
        <v>Siemens Merch</v>
      </c>
      <c r="G90" s="28">
        <f>IFERROR(VLOOKUP('Raw Data'!$F90,Database!O:S,2,0),"")</f>
        <v>7604355010</v>
      </c>
      <c r="H90" s="27" t="str">
        <f>IFERROR(VLOOKUP('Raw Data'!$F90,Database!O:S,3,0),"")</f>
        <v>Merchandisers Expences</v>
      </c>
      <c r="I90" s="25" t="s">
        <v>97</v>
      </c>
      <c r="J90" s="34">
        <v>68954</v>
      </c>
      <c r="K90" s="29">
        <v>853</v>
      </c>
      <c r="L90" s="30">
        <f>IFERROR('Raw Data'!$J90-'Raw Data'!$K90,"")</f>
        <v>68101</v>
      </c>
    </row>
    <row r="91" spans="1:12" x14ac:dyDescent="0.2">
      <c r="A91" s="22">
        <v>43922</v>
      </c>
      <c r="B91" s="23">
        <f>IF('Raw Data'!$A91="","",'Raw Data'!$A91)</f>
        <v>43922</v>
      </c>
      <c r="C91" s="24">
        <f>'Raw Data'!$B91</f>
        <v>43922</v>
      </c>
      <c r="D91" s="25" t="s">
        <v>25</v>
      </c>
      <c r="E91" s="26" t="s">
        <v>26</v>
      </c>
      <c r="F91" s="27" t="str">
        <f>'Raw Data'!$D91&amp;" "&amp;'Raw Data'!$E91</f>
        <v>Siemens Merch</v>
      </c>
      <c r="G91" s="28">
        <f>IFERROR(VLOOKUP('Raw Data'!$F91,Database!O:S,2,0),"")</f>
        <v>7604355010</v>
      </c>
      <c r="H91" s="27" t="str">
        <f>IFERROR(VLOOKUP('Raw Data'!$F91,Database!O:S,3,0),"")</f>
        <v>Merchandisers Expences</v>
      </c>
      <c r="I91" s="25" t="s">
        <v>98</v>
      </c>
      <c r="J91" s="34">
        <v>58473</v>
      </c>
      <c r="K91" s="29">
        <v>63249</v>
      </c>
      <c r="L91" s="30">
        <f>IFERROR('Raw Data'!$J91-'Raw Data'!$K91,"")</f>
        <v>-4776</v>
      </c>
    </row>
    <row r="92" spans="1:12" x14ac:dyDescent="0.2">
      <c r="A92" s="22">
        <v>43952</v>
      </c>
      <c r="B92" s="23">
        <f>IF('Raw Data'!$A92="","",'Raw Data'!$A92)</f>
        <v>43952</v>
      </c>
      <c r="C92" s="24">
        <f>'Raw Data'!$B92</f>
        <v>43952</v>
      </c>
      <c r="D92" s="25" t="s">
        <v>25</v>
      </c>
      <c r="E92" s="26" t="s">
        <v>26</v>
      </c>
      <c r="F92" s="27" t="str">
        <f>'Raw Data'!$D92&amp;" "&amp;'Raw Data'!$E92</f>
        <v>Siemens Merch</v>
      </c>
      <c r="G92" s="28">
        <f>IFERROR(VLOOKUP('Raw Data'!$F92,Database!O:S,2,0),"")</f>
        <v>7604355010</v>
      </c>
      <c r="H92" s="27" t="str">
        <f>IFERROR(VLOOKUP('Raw Data'!$F92,Database!O:S,3,0),"")</f>
        <v>Merchandisers Expences</v>
      </c>
      <c r="I92" s="25" t="s">
        <v>99</v>
      </c>
      <c r="J92" s="34">
        <v>73460</v>
      </c>
      <c r="K92" s="29">
        <v>36219</v>
      </c>
      <c r="L92" s="30">
        <f>IFERROR('Raw Data'!$J92-'Raw Data'!$K92,"")</f>
        <v>37241</v>
      </c>
    </row>
    <row r="93" spans="1:12" x14ac:dyDescent="0.2">
      <c r="A93" s="22">
        <v>43983</v>
      </c>
      <c r="B93" s="23">
        <f>IF('Raw Data'!$A93="","",'Raw Data'!$A93)</f>
        <v>43983</v>
      </c>
      <c r="C93" s="24">
        <f>'Raw Data'!$B93</f>
        <v>43983</v>
      </c>
      <c r="D93" s="25" t="s">
        <v>25</v>
      </c>
      <c r="E93" s="26" t="s">
        <v>26</v>
      </c>
      <c r="F93" s="27" t="str">
        <f>'Raw Data'!$D93&amp;" "&amp;'Raw Data'!$E93</f>
        <v>Siemens Merch</v>
      </c>
      <c r="G93" s="28">
        <f>IFERROR(VLOOKUP('Raw Data'!$F93,Database!O:S,2,0),"")</f>
        <v>7604355010</v>
      </c>
      <c r="H93" s="27" t="str">
        <f>IFERROR(VLOOKUP('Raw Data'!$F93,Database!O:S,3,0),"")</f>
        <v>Merchandisers Expences</v>
      </c>
      <c r="I93" s="25" t="s">
        <v>100</v>
      </c>
      <c r="J93" s="34">
        <v>51724</v>
      </c>
      <c r="K93" s="29">
        <v>110875</v>
      </c>
      <c r="L93" s="30">
        <f>IFERROR('Raw Data'!$J93-'Raw Data'!$K93,"")</f>
        <v>-59151</v>
      </c>
    </row>
    <row r="94" spans="1:12" x14ac:dyDescent="0.2">
      <c r="A94" s="22">
        <v>44013</v>
      </c>
      <c r="B94" s="23">
        <f>IF('Raw Data'!$A94="","",'Raw Data'!$A94)</f>
        <v>44013</v>
      </c>
      <c r="C94" s="24">
        <f>'Raw Data'!$B94</f>
        <v>44013</v>
      </c>
      <c r="D94" s="25" t="s">
        <v>25</v>
      </c>
      <c r="E94" s="26" t="s">
        <v>26</v>
      </c>
      <c r="F94" s="27" t="str">
        <f>'Raw Data'!$D94&amp;" "&amp;'Raw Data'!$E94</f>
        <v>Siemens Merch</v>
      </c>
      <c r="G94" s="28">
        <f>IFERROR(VLOOKUP('Raw Data'!$F94,Database!O:S,2,0),"")</f>
        <v>7604355010</v>
      </c>
      <c r="H94" s="27" t="str">
        <f>IFERROR(VLOOKUP('Raw Data'!$F94,Database!O:S,3,0),"")</f>
        <v>Merchandisers Expences</v>
      </c>
      <c r="I94" s="25" t="s">
        <v>101</v>
      </c>
      <c r="J94" s="34">
        <v>74898</v>
      </c>
      <c r="K94" s="29">
        <v>93878</v>
      </c>
      <c r="L94" s="30">
        <f>IFERROR('Raw Data'!$J94-'Raw Data'!$K94,"")</f>
        <v>-18980</v>
      </c>
    </row>
    <row r="95" spans="1:12" x14ac:dyDescent="0.2">
      <c r="A95" s="22">
        <v>44044</v>
      </c>
      <c r="B95" s="23">
        <f>IF('Raw Data'!$A95="","",'Raw Data'!$A95)</f>
        <v>44044</v>
      </c>
      <c r="C95" s="24">
        <f>'Raw Data'!$B95</f>
        <v>44044</v>
      </c>
      <c r="D95" s="25" t="s">
        <v>25</v>
      </c>
      <c r="E95" s="26" t="s">
        <v>26</v>
      </c>
      <c r="F95" s="27" t="str">
        <f>'Raw Data'!$D95&amp;" "&amp;'Raw Data'!$E95</f>
        <v>Siemens Merch</v>
      </c>
      <c r="G95" s="28">
        <f>IFERROR(VLOOKUP('Raw Data'!$F95,Database!O:S,2,0),"")</f>
        <v>7604355010</v>
      </c>
      <c r="H95" s="27" t="str">
        <f>IFERROR(VLOOKUP('Raw Data'!$F95,Database!O:S,3,0),"")</f>
        <v>Merchandisers Expences</v>
      </c>
      <c r="I95" s="25" t="s">
        <v>102</v>
      </c>
      <c r="J95" s="34">
        <v>73021</v>
      </c>
      <c r="K95" s="29">
        <v>91735</v>
      </c>
      <c r="L95" s="30">
        <f>IFERROR('Raw Data'!$J95-'Raw Data'!$K95,"")</f>
        <v>-18714</v>
      </c>
    </row>
    <row r="96" spans="1:12" x14ac:dyDescent="0.2">
      <c r="A96" s="22">
        <v>44075</v>
      </c>
      <c r="B96" s="23">
        <f>IF('Raw Data'!$A96="","",'Raw Data'!$A96)</f>
        <v>44075</v>
      </c>
      <c r="C96" s="24">
        <f>'Raw Data'!$B96</f>
        <v>44075</v>
      </c>
      <c r="D96" s="25" t="s">
        <v>25</v>
      </c>
      <c r="E96" s="26" t="s">
        <v>26</v>
      </c>
      <c r="F96" s="27" t="str">
        <f>'Raw Data'!$D96&amp;" "&amp;'Raw Data'!$E96</f>
        <v>Siemens Merch</v>
      </c>
      <c r="G96" s="28">
        <f>IFERROR(VLOOKUP('Raw Data'!$F96,Database!O:S,2,0),"")</f>
        <v>7604355010</v>
      </c>
      <c r="H96" s="27" t="str">
        <f>IFERROR(VLOOKUP('Raw Data'!$F96,Database!O:S,3,0),"")</f>
        <v>Merchandisers Expences</v>
      </c>
      <c r="I96" s="25" t="s">
        <v>103</v>
      </c>
      <c r="J96" s="34">
        <v>52939</v>
      </c>
      <c r="K96" s="29">
        <v>123461</v>
      </c>
      <c r="L96" s="30">
        <f>IFERROR('Raw Data'!$J96-'Raw Data'!$K96,"")</f>
        <v>-70522</v>
      </c>
    </row>
    <row r="97" spans="1:12" x14ac:dyDescent="0.2">
      <c r="A97" s="22"/>
      <c r="B97" s="23" t="str">
        <f>IF('Raw Data'!$A97="","",'Raw Data'!$A97)</f>
        <v/>
      </c>
      <c r="C97" s="24" t="str">
        <f>'Raw Data'!$B97</f>
        <v/>
      </c>
      <c r="D97" s="25"/>
      <c r="E97" s="26"/>
      <c r="F97" s="27" t="str">
        <f>'Raw Data'!$D97&amp;" "&amp;'Raw Data'!$E97</f>
        <v xml:space="preserve"> </v>
      </c>
      <c r="G97" s="28" t="str">
        <f>IFERROR(VLOOKUP('Raw Data'!$F97,Database!O:S,2,0),"")</f>
        <v/>
      </c>
      <c r="H97" s="62" t="str">
        <f>IFERROR(VLOOKUP('Raw Data'!$F97,Database!O:S,3,0),"")</f>
        <v/>
      </c>
      <c r="I97" s="25"/>
      <c r="J97" s="34"/>
      <c r="K97" s="29"/>
      <c r="L97" s="30">
        <f>IFERROR('Raw Data'!$J97-'Raw Data'!$K97,"")</f>
        <v>0</v>
      </c>
    </row>
    <row r="98" spans="1:12" x14ac:dyDescent="0.2">
      <c r="A98" s="22"/>
      <c r="B98" s="23" t="str">
        <f>IF('Raw Data'!$A98="","",'Raw Data'!$A98)</f>
        <v/>
      </c>
      <c r="C98" s="24" t="str">
        <f>'Raw Data'!$B98</f>
        <v/>
      </c>
      <c r="D98" s="25"/>
      <c r="E98" s="26"/>
      <c r="F98" s="27" t="str">
        <f>'Raw Data'!$D98&amp;" "&amp;'Raw Data'!$E98</f>
        <v xml:space="preserve"> </v>
      </c>
      <c r="G98" s="28" t="str">
        <f>IFERROR(VLOOKUP('Raw Data'!$F98,Database!O:S,2,0),"")</f>
        <v/>
      </c>
      <c r="H98" s="62" t="str">
        <f>IFERROR(VLOOKUP('Raw Data'!$F98,Database!O:S,3,0),"")</f>
        <v/>
      </c>
      <c r="I98" s="25"/>
      <c r="J98" s="34"/>
      <c r="K98" s="29"/>
      <c r="L98" s="30">
        <f>IFERROR('Raw Data'!$J98-'Raw Data'!$K98,"")</f>
        <v>0</v>
      </c>
    </row>
    <row r="99" spans="1:12" x14ac:dyDescent="0.2">
      <c r="A99" s="22"/>
      <c r="B99" s="23" t="str">
        <f>IF('Raw Data'!$A99="","",'Raw Data'!$A99)</f>
        <v/>
      </c>
      <c r="C99" s="24" t="str">
        <f>'Raw Data'!$B99</f>
        <v/>
      </c>
      <c r="D99" s="25"/>
      <c r="E99" s="26"/>
      <c r="F99" s="27" t="str">
        <f>'Raw Data'!$D99&amp;" "&amp;'Raw Data'!$E99</f>
        <v xml:space="preserve"> </v>
      </c>
      <c r="G99" s="28" t="str">
        <f>IFERROR(VLOOKUP('Raw Data'!$F99,Database!O:S,2,0),"")</f>
        <v/>
      </c>
      <c r="H99" s="62" t="str">
        <f>IFERROR(VLOOKUP('Raw Data'!$F99,Database!O:S,3,0),"")</f>
        <v/>
      </c>
      <c r="I99" s="25"/>
      <c r="J99" s="34"/>
      <c r="K99" s="29"/>
      <c r="L99" s="30">
        <f>IFERROR('Raw Data'!$J99-'Raw Data'!$K99,"")</f>
        <v>0</v>
      </c>
    </row>
    <row r="100" spans="1:12" x14ac:dyDescent="0.2">
      <c r="A100" s="22"/>
      <c r="B100" s="23" t="str">
        <f>IF('Raw Data'!$A100="","",'Raw Data'!$A100)</f>
        <v/>
      </c>
      <c r="C100" s="24" t="str">
        <f>'Raw Data'!$B100</f>
        <v/>
      </c>
      <c r="D100" s="25"/>
      <c r="E100" s="26"/>
      <c r="F100" s="27" t="str">
        <f>'Raw Data'!$D100&amp;" "&amp;'Raw Data'!$E100</f>
        <v xml:space="preserve"> </v>
      </c>
      <c r="G100" s="28" t="str">
        <f>IFERROR(VLOOKUP('Raw Data'!$F100,Database!O:S,2,0),"")</f>
        <v/>
      </c>
      <c r="H100" s="62" t="str">
        <f>IFERROR(VLOOKUP('Raw Data'!$F100,Database!O:S,3,0),"")</f>
        <v/>
      </c>
      <c r="I100" s="25"/>
      <c r="J100" s="34"/>
      <c r="K100" s="29"/>
      <c r="L100" s="30">
        <f>IFERROR('Raw Data'!$J100-'Raw Data'!$K100,"")</f>
        <v>0</v>
      </c>
    </row>
    <row r="101" spans="1:12" x14ac:dyDescent="0.2">
      <c r="A101" s="22"/>
      <c r="B101" s="23" t="str">
        <f>IF('Raw Data'!$A101="","",'Raw Data'!$A101)</f>
        <v/>
      </c>
      <c r="C101" s="24" t="str">
        <f>'Raw Data'!$B101</f>
        <v/>
      </c>
      <c r="D101" s="25"/>
      <c r="E101" s="26"/>
      <c r="F101" s="27" t="str">
        <f>'Raw Data'!$D101&amp;" "&amp;'Raw Data'!$E101</f>
        <v xml:space="preserve"> </v>
      </c>
      <c r="G101" s="28" t="str">
        <f>IFERROR(VLOOKUP('Raw Data'!$F101,Database!O:S,2,0),"")</f>
        <v/>
      </c>
      <c r="H101" s="62" t="str">
        <f>IFERROR(VLOOKUP('Raw Data'!$F101,Database!O:S,3,0),"")</f>
        <v/>
      </c>
      <c r="I101" s="25"/>
      <c r="J101" s="34"/>
      <c r="K101" s="29"/>
      <c r="L101" s="30">
        <f>IFERROR('Raw Data'!$J101-'Raw Data'!$K101,"")</f>
        <v>0</v>
      </c>
    </row>
    <row r="102" spans="1:12" x14ac:dyDescent="0.2">
      <c r="A102" s="22"/>
      <c r="B102" s="23" t="str">
        <f>IF('Raw Data'!$A102="","",'Raw Data'!$A102)</f>
        <v/>
      </c>
      <c r="C102" s="24" t="str">
        <f>'Raw Data'!$B102</f>
        <v/>
      </c>
      <c r="D102" s="25"/>
      <c r="E102" s="26"/>
      <c r="F102" s="27" t="str">
        <f>'Raw Data'!$D102&amp;" "&amp;'Raw Data'!$E102</f>
        <v xml:space="preserve"> </v>
      </c>
      <c r="G102" s="28" t="str">
        <f>IFERROR(VLOOKUP('Raw Data'!$F102,Database!O:S,2,0),"")</f>
        <v/>
      </c>
      <c r="H102" s="62" t="str">
        <f>IFERROR(VLOOKUP('Raw Data'!$F102,Database!O:S,3,0),"")</f>
        <v/>
      </c>
      <c r="I102" s="25"/>
      <c r="J102" s="34"/>
      <c r="K102" s="29"/>
      <c r="L102" s="30">
        <f>IFERROR('Raw Data'!$J102-'Raw Data'!$K102,"")</f>
        <v>0</v>
      </c>
    </row>
    <row r="103" spans="1:12" x14ac:dyDescent="0.2">
      <c r="A103" s="22"/>
      <c r="B103" s="23" t="str">
        <f>IF('Raw Data'!$A103="","",'Raw Data'!$A103)</f>
        <v/>
      </c>
      <c r="C103" s="24" t="str">
        <f>'Raw Data'!$B103</f>
        <v/>
      </c>
      <c r="D103" s="25"/>
      <c r="E103" s="26"/>
      <c r="F103" s="27" t="str">
        <f>'Raw Data'!$D103&amp;" "&amp;'Raw Data'!$E103</f>
        <v xml:space="preserve"> </v>
      </c>
      <c r="G103" s="28" t="str">
        <f>IFERROR(VLOOKUP('Raw Data'!$F103,Database!O:S,2,0),"")</f>
        <v/>
      </c>
      <c r="H103" s="62" t="str">
        <f>IFERROR(VLOOKUP('Raw Data'!$F103,Database!O:S,3,0),"")</f>
        <v/>
      </c>
      <c r="I103" s="25"/>
      <c r="J103" s="34"/>
      <c r="K103" s="29"/>
      <c r="L103" s="30">
        <f>IFERROR('Raw Data'!$J103-'Raw Data'!$K103,"")</f>
        <v>0</v>
      </c>
    </row>
    <row r="104" spans="1:12" x14ac:dyDescent="0.2">
      <c r="A104" s="22"/>
      <c r="B104" s="23" t="str">
        <f>IF('Raw Data'!$A104="","",'Raw Data'!$A104)</f>
        <v/>
      </c>
      <c r="C104" s="24" t="str">
        <f>'Raw Data'!$B104</f>
        <v/>
      </c>
      <c r="D104" s="25"/>
      <c r="E104" s="26"/>
      <c r="F104" s="27" t="str">
        <f>'Raw Data'!$D104&amp;" "&amp;'Raw Data'!$E104</f>
        <v xml:space="preserve"> </v>
      </c>
      <c r="G104" s="28" t="str">
        <f>IFERROR(VLOOKUP('Raw Data'!$F104,Database!O:S,2,0),"")</f>
        <v/>
      </c>
      <c r="H104" s="62" t="str">
        <f>IFERROR(VLOOKUP('Raw Data'!$F104,Database!O:S,3,0),"")</f>
        <v/>
      </c>
      <c r="I104" s="25"/>
      <c r="J104" s="34"/>
      <c r="K104" s="29"/>
      <c r="L104" s="30">
        <f>IFERROR('Raw Data'!$J104-'Raw Data'!$K104,"")</f>
        <v>0</v>
      </c>
    </row>
  </sheetData>
  <sheetProtection selectLockedCells="1"/>
  <phoneticPr fontId="19" type="noConversion"/>
  <dataValidations count="3">
    <dataValidation type="list" allowBlank="1" showInputMessage="1" showErrorMessage="1" sqref="D3:D104" xr:uid="{FA4457B8-5114-4394-A017-88C4CE54C7AA}">
      <formula1>Brand</formula1>
    </dataValidation>
    <dataValidation type="list" allowBlank="1" showInputMessage="1" showErrorMessage="1" sqref="E3:E104" xr:uid="{FAE221F8-6D59-4EF8-8347-F62C469B0809}">
      <formula1>Status</formula1>
    </dataValidation>
    <dataValidation type="list" allowBlank="1" showInputMessage="1" showErrorMessage="1" sqref="I3:I104" xr:uid="{A9AB9B7D-3390-41D0-805D-077A02CA40ED}">
      <formula1>Supplier</formula1>
    </dataValidation>
  </dataValidation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2B2B-70D9-4BF1-A950-C0B743422C00}">
  <sheetPr codeName="Sheet4">
    <tabColor rgb="FF8FCFAD"/>
  </sheetPr>
  <dimension ref="A1:T200"/>
  <sheetViews>
    <sheetView showGridLines="0" zoomScaleNormal="100" workbookViewId="0">
      <pane ySplit="4" topLeftCell="A5" activePane="bottomLeft" state="frozen"/>
      <selection activeCell="I101" sqref="I101"/>
      <selection pane="bottomLeft" activeCell="F5" sqref="F5:F21"/>
    </sheetView>
  </sheetViews>
  <sheetFormatPr defaultColWidth="0" defaultRowHeight="12.75" x14ac:dyDescent="0.2"/>
  <cols>
    <col min="1" max="1" width="1" style="1" customWidth="1"/>
    <col min="2" max="2" width="14.85546875" style="18" customWidth="1"/>
    <col min="3" max="3" width="0.85546875" style="1" customWidth="1"/>
    <col min="4" max="4" width="15" style="18" customWidth="1"/>
    <col min="5" max="5" width="0.5703125" style="1" customWidth="1"/>
    <col min="6" max="6" width="51.7109375" style="18" customWidth="1"/>
    <col min="7" max="7" width="4.7109375" style="1" customWidth="1"/>
    <col min="8" max="8" width="10.7109375" style="11" customWidth="1"/>
    <col min="9" max="9" width="13.85546875" style="12" customWidth="1"/>
    <col min="10" max="10" width="27.28515625" style="15" customWidth="1"/>
    <col min="11" max="11" width="23.28515625" style="13" customWidth="1"/>
    <col min="12" max="12" width="23.28515625" style="19" customWidth="1"/>
    <col min="13" max="13" width="4.28515625" style="1" customWidth="1"/>
    <col min="14" max="14" width="9.140625" style="1" hidden="1" customWidth="1"/>
    <col min="15" max="16" width="16.28515625" style="1" hidden="1" customWidth="1"/>
    <col min="17" max="17" width="22.42578125" style="1" hidden="1" customWidth="1"/>
    <col min="18" max="18" width="30" style="1" hidden="1" customWidth="1"/>
    <col min="19" max="20" width="22" style="1" hidden="1" customWidth="1"/>
    <col min="21" max="16384" width="9.140625" style="1" hidden="1"/>
  </cols>
  <sheetData>
    <row r="1" spans="1:19" x14ac:dyDescent="0.2">
      <c r="B1" s="1"/>
      <c r="D1" s="1"/>
      <c r="F1" s="1"/>
      <c r="H1" s="1"/>
      <c r="I1" s="1"/>
      <c r="J1" s="1"/>
      <c r="K1" s="1"/>
      <c r="L1" s="1"/>
    </row>
    <row r="2" spans="1:19" x14ac:dyDescent="0.2">
      <c r="B2" s="1"/>
      <c r="D2" s="1"/>
      <c r="F2" s="1"/>
      <c r="H2" s="1"/>
      <c r="I2" s="1"/>
      <c r="J2" s="1"/>
      <c r="K2" s="1"/>
      <c r="L2" s="1"/>
    </row>
    <row r="3" spans="1:19" x14ac:dyDescent="0.2">
      <c r="A3" s="10"/>
      <c r="B3" s="2" t="s">
        <v>38</v>
      </c>
      <c r="C3" s="2"/>
      <c r="D3" s="2"/>
      <c r="E3" s="2"/>
      <c r="F3" s="2"/>
      <c r="G3" s="2"/>
      <c r="H3" s="2" t="s">
        <v>30</v>
      </c>
      <c r="I3" s="10"/>
      <c r="J3" s="1"/>
      <c r="K3" s="1"/>
      <c r="L3" s="1"/>
    </row>
    <row r="4" spans="1:19" ht="31.5" customHeight="1" x14ac:dyDescent="0.2">
      <c r="B4" s="57" t="s">
        <v>17</v>
      </c>
      <c r="C4" s="17"/>
      <c r="D4" s="57" t="s">
        <v>18</v>
      </c>
      <c r="E4" s="17"/>
      <c r="F4" s="57" t="s">
        <v>32</v>
      </c>
      <c r="G4" s="17"/>
      <c r="H4" s="57" t="s">
        <v>17</v>
      </c>
      <c r="I4" s="57" t="s">
        <v>18</v>
      </c>
      <c r="J4" s="57" t="s">
        <v>37</v>
      </c>
      <c r="K4" s="57" t="s">
        <v>36</v>
      </c>
      <c r="L4" s="57" t="s">
        <v>33</v>
      </c>
      <c r="O4" s="20" t="s">
        <v>34</v>
      </c>
      <c r="P4" s="20" t="s">
        <v>19</v>
      </c>
      <c r="Q4" s="20" t="s">
        <v>20</v>
      </c>
      <c r="R4" s="20" t="s">
        <v>35</v>
      </c>
      <c r="S4" s="20" t="s">
        <v>33</v>
      </c>
    </row>
    <row r="5" spans="1:19" x14ac:dyDescent="0.2">
      <c r="B5" s="18" t="s">
        <v>23</v>
      </c>
      <c r="D5" s="18" t="s">
        <v>26</v>
      </c>
      <c r="F5" s="18" t="s">
        <v>95</v>
      </c>
      <c r="H5" s="11" t="s">
        <v>23</v>
      </c>
      <c r="I5" s="12" t="s">
        <v>26</v>
      </c>
      <c r="J5" s="15">
        <v>7604355010</v>
      </c>
      <c r="K5" s="16" t="s">
        <v>28</v>
      </c>
      <c r="L5" s="19">
        <v>3350000</v>
      </c>
      <c r="O5" s="1" t="str">
        <f t="shared" ref="O5:O36" si="0">IF(H5="","",H5&amp;" "&amp;I5)</f>
        <v>Bosch Merch</v>
      </c>
      <c r="P5" s="1">
        <f t="shared" ref="P5:P36" si="1">IF(O5="","",J5)</f>
        <v>7604355010</v>
      </c>
      <c r="Q5" s="1" t="str">
        <f t="shared" ref="Q5:Q36" si="2">IF(O5="","",K5)</f>
        <v>Merchandisers Expences</v>
      </c>
      <c r="R5" s="21"/>
      <c r="S5" s="9">
        <f>IF(O5="","",L5)</f>
        <v>3350000</v>
      </c>
    </row>
    <row r="6" spans="1:19" x14ac:dyDescent="0.2">
      <c r="B6" s="18" t="s">
        <v>24</v>
      </c>
      <c r="D6" s="18" t="s">
        <v>27</v>
      </c>
      <c r="F6" s="18" t="s">
        <v>96</v>
      </c>
      <c r="H6" s="11" t="s">
        <v>24</v>
      </c>
      <c r="I6" s="12" t="s">
        <v>26</v>
      </c>
      <c r="J6" s="15">
        <v>7604355010</v>
      </c>
      <c r="K6" s="16" t="s">
        <v>28</v>
      </c>
      <c r="L6" s="19">
        <v>1250000</v>
      </c>
      <c r="O6" s="1" t="str">
        <f t="shared" si="0"/>
        <v>Profilo Merch</v>
      </c>
      <c r="P6" s="1">
        <f t="shared" si="1"/>
        <v>7604355010</v>
      </c>
      <c r="Q6" s="1" t="str">
        <f t="shared" si="2"/>
        <v>Merchandisers Expences</v>
      </c>
      <c r="R6" s="21"/>
      <c r="S6" s="9">
        <f t="shared" ref="S6:S69" si="3">IF(O6="","",L6)</f>
        <v>1250000</v>
      </c>
    </row>
    <row r="7" spans="1:19" x14ac:dyDescent="0.2">
      <c r="B7" s="18" t="s">
        <v>25</v>
      </c>
      <c r="F7" s="18" t="s">
        <v>97</v>
      </c>
      <c r="H7" s="11" t="s">
        <v>25</v>
      </c>
      <c r="I7" s="12" t="s">
        <v>26</v>
      </c>
      <c r="J7" s="15">
        <v>7604355010</v>
      </c>
      <c r="K7" s="13" t="s">
        <v>28</v>
      </c>
      <c r="L7" s="19">
        <v>1250000</v>
      </c>
      <c r="O7" s="1" t="str">
        <f t="shared" si="0"/>
        <v>Siemens Merch</v>
      </c>
      <c r="P7" s="1">
        <f t="shared" si="1"/>
        <v>7604355010</v>
      </c>
      <c r="Q7" s="1" t="str">
        <f t="shared" si="2"/>
        <v>Merchandisers Expences</v>
      </c>
      <c r="R7" s="21"/>
      <c r="S7" s="9">
        <f t="shared" si="3"/>
        <v>1250000</v>
      </c>
    </row>
    <row r="8" spans="1:19" x14ac:dyDescent="0.2">
      <c r="F8" s="18" t="s">
        <v>98</v>
      </c>
      <c r="H8" s="11" t="s">
        <v>23</v>
      </c>
      <c r="I8" s="12" t="s">
        <v>27</v>
      </c>
      <c r="J8" s="15">
        <v>7704351160</v>
      </c>
      <c r="K8" s="13" t="s">
        <v>29</v>
      </c>
      <c r="L8" s="19">
        <v>2580000</v>
      </c>
      <c r="O8" s="1" t="str">
        <f t="shared" si="0"/>
        <v>Bosch Branding</v>
      </c>
      <c r="P8" s="1">
        <f t="shared" si="1"/>
        <v>7704351160</v>
      </c>
      <c r="Q8" s="1" t="str">
        <f t="shared" si="2"/>
        <v>Permanent Indoor POS</v>
      </c>
      <c r="R8" s="21"/>
      <c r="S8" s="9">
        <f t="shared" si="3"/>
        <v>2580000</v>
      </c>
    </row>
    <row r="9" spans="1:19" x14ac:dyDescent="0.2">
      <c r="F9" s="18" t="s">
        <v>99</v>
      </c>
      <c r="H9" s="11" t="s">
        <v>24</v>
      </c>
      <c r="I9" s="12" t="s">
        <v>27</v>
      </c>
      <c r="J9" s="15">
        <v>7704351160</v>
      </c>
      <c r="K9" s="13" t="s">
        <v>29</v>
      </c>
      <c r="L9" s="19">
        <v>500000</v>
      </c>
      <c r="O9" s="1" t="str">
        <f t="shared" si="0"/>
        <v>Profilo Branding</v>
      </c>
      <c r="P9" s="1">
        <f t="shared" si="1"/>
        <v>7704351160</v>
      </c>
      <c r="Q9" s="1" t="str">
        <f t="shared" si="2"/>
        <v>Permanent Indoor POS</v>
      </c>
      <c r="R9" s="21"/>
      <c r="S9" s="9">
        <f t="shared" si="3"/>
        <v>500000</v>
      </c>
    </row>
    <row r="10" spans="1:19" x14ac:dyDescent="0.2">
      <c r="F10" s="18" t="s">
        <v>100</v>
      </c>
      <c r="H10" s="11" t="s">
        <v>25</v>
      </c>
      <c r="I10" s="12" t="s">
        <v>27</v>
      </c>
      <c r="J10" s="15">
        <v>7704351160</v>
      </c>
      <c r="K10" s="13" t="s">
        <v>29</v>
      </c>
      <c r="L10" s="19">
        <v>835000</v>
      </c>
      <c r="O10" s="1" t="str">
        <f t="shared" si="0"/>
        <v>Siemens Branding</v>
      </c>
      <c r="P10" s="1">
        <f t="shared" si="1"/>
        <v>7704351160</v>
      </c>
      <c r="Q10" s="1" t="str">
        <f t="shared" si="2"/>
        <v>Permanent Indoor POS</v>
      </c>
      <c r="R10" s="21"/>
      <c r="S10" s="9">
        <f t="shared" si="3"/>
        <v>835000</v>
      </c>
    </row>
    <row r="11" spans="1:19" x14ac:dyDescent="0.2">
      <c r="F11" s="18" t="s">
        <v>101</v>
      </c>
      <c r="O11" s="1" t="str">
        <f t="shared" si="0"/>
        <v/>
      </c>
      <c r="P11" s="1" t="str">
        <f t="shared" si="1"/>
        <v/>
      </c>
      <c r="Q11" s="1" t="str">
        <f t="shared" si="2"/>
        <v/>
      </c>
      <c r="R11" s="21"/>
      <c r="S11" s="9" t="str">
        <f t="shared" si="3"/>
        <v/>
      </c>
    </row>
    <row r="12" spans="1:19" x14ac:dyDescent="0.2">
      <c r="F12" s="18" t="s">
        <v>102</v>
      </c>
      <c r="O12" s="1" t="str">
        <f t="shared" si="0"/>
        <v/>
      </c>
      <c r="P12" s="1" t="str">
        <f t="shared" si="1"/>
        <v/>
      </c>
      <c r="Q12" s="1" t="str">
        <f t="shared" si="2"/>
        <v/>
      </c>
      <c r="R12" s="21"/>
      <c r="S12" s="9" t="str">
        <f t="shared" si="3"/>
        <v/>
      </c>
    </row>
    <row r="13" spans="1:19" x14ac:dyDescent="0.2">
      <c r="F13" s="18" t="s">
        <v>103</v>
      </c>
      <c r="O13" s="1" t="str">
        <f t="shared" si="0"/>
        <v/>
      </c>
      <c r="P13" s="1" t="str">
        <f t="shared" si="1"/>
        <v/>
      </c>
      <c r="Q13" s="1" t="str">
        <f t="shared" si="2"/>
        <v/>
      </c>
      <c r="R13" s="21"/>
      <c r="S13" s="9" t="str">
        <f t="shared" si="3"/>
        <v/>
      </c>
    </row>
    <row r="14" spans="1:19" x14ac:dyDescent="0.2">
      <c r="F14" s="18" t="s">
        <v>104</v>
      </c>
      <c r="O14" s="1" t="str">
        <f t="shared" si="0"/>
        <v/>
      </c>
      <c r="P14" s="1" t="str">
        <f t="shared" si="1"/>
        <v/>
      </c>
      <c r="Q14" s="1" t="str">
        <f t="shared" si="2"/>
        <v/>
      </c>
      <c r="R14" s="21"/>
      <c r="S14" s="9" t="str">
        <f t="shared" si="3"/>
        <v/>
      </c>
    </row>
    <row r="15" spans="1:19" x14ac:dyDescent="0.2">
      <c r="F15" s="18" t="s">
        <v>105</v>
      </c>
      <c r="O15" s="1" t="str">
        <f t="shared" si="0"/>
        <v/>
      </c>
      <c r="P15" s="1" t="str">
        <f t="shared" si="1"/>
        <v/>
      </c>
      <c r="Q15" s="1" t="str">
        <f t="shared" si="2"/>
        <v/>
      </c>
      <c r="R15" s="21"/>
      <c r="S15" s="9" t="str">
        <f t="shared" si="3"/>
        <v/>
      </c>
    </row>
    <row r="16" spans="1:19" x14ac:dyDescent="0.2">
      <c r="F16" s="18" t="s">
        <v>106</v>
      </c>
      <c r="O16" s="1" t="str">
        <f t="shared" si="0"/>
        <v/>
      </c>
      <c r="P16" s="1" t="str">
        <f t="shared" si="1"/>
        <v/>
      </c>
      <c r="Q16" s="1" t="str">
        <f t="shared" si="2"/>
        <v/>
      </c>
      <c r="R16" s="21"/>
      <c r="S16" s="9" t="str">
        <f t="shared" si="3"/>
        <v/>
      </c>
    </row>
    <row r="17" spans="6:19" x14ac:dyDescent="0.2">
      <c r="F17" s="18" t="s">
        <v>107</v>
      </c>
      <c r="O17" s="1" t="str">
        <f t="shared" si="0"/>
        <v/>
      </c>
      <c r="P17" s="1" t="str">
        <f t="shared" si="1"/>
        <v/>
      </c>
      <c r="Q17" s="1" t="str">
        <f t="shared" si="2"/>
        <v/>
      </c>
      <c r="R17" s="21"/>
      <c r="S17" s="9" t="str">
        <f t="shared" si="3"/>
        <v/>
      </c>
    </row>
    <row r="18" spans="6:19" x14ac:dyDescent="0.2">
      <c r="F18" s="18" t="s">
        <v>108</v>
      </c>
      <c r="O18" s="1" t="str">
        <f t="shared" si="0"/>
        <v/>
      </c>
      <c r="P18" s="1" t="str">
        <f t="shared" si="1"/>
        <v/>
      </c>
      <c r="Q18" s="1" t="str">
        <f t="shared" si="2"/>
        <v/>
      </c>
      <c r="R18" s="21"/>
      <c r="S18" s="9" t="str">
        <f t="shared" si="3"/>
        <v/>
      </c>
    </row>
    <row r="19" spans="6:19" x14ac:dyDescent="0.2">
      <c r="F19" s="18" t="s">
        <v>109</v>
      </c>
      <c r="O19" s="1" t="str">
        <f t="shared" si="0"/>
        <v/>
      </c>
      <c r="P19" s="1" t="str">
        <f t="shared" si="1"/>
        <v/>
      </c>
      <c r="Q19" s="1" t="str">
        <f t="shared" si="2"/>
        <v/>
      </c>
      <c r="R19" s="21"/>
      <c r="S19" s="9" t="str">
        <f t="shared" si="3"/>
        <v/>
      </c>
    </row>
    <row r="20" spans="6:19" x14ac:dyDescent="0.2">
      <c r="F20" s="18" t="s">
        <v>110</v>
      </c>
      <c r="O20" s="1" t="str">
        <f t="shared" si="0"/>
        <v/>
      </c>
      <c r="P20" s="1" t="str">
        <f t="shared" si="1"/>
        <v/>
      </c>
      <c r="Q20" s="1" t="str">
        <f t="shared" si="2"/>
        <v/>
      </c>
      <c r="R20" s="21"/>
      <c r="S20" s="9" t="str">
        <f t="shared" si="3"/>
        <v/>
      </c>
    </row>
    <row r="21" spans="6:19" x14ac:dyDescent="0.2">
      <c r="F21" s="18" t="s">
        <v>111</v>
      </c>
      <c r="O21" s="1" t="str">
        <f t="shared" si="0"/>
        <v/>
      </c>
      <c r="P21" s="1" t="str">
        <f t="shared" si="1"/>
        <v/>
      </c>
      <c r="Q21" s="1" t="str">
        <f t="shared" si="2"/>
        <v/>
      </c>
      <c r="R21" s="21"/>
      <c r="S21" s="9" t="str">
        <f t="shared" si="3"/>
        <v/>
      </c>
    </row>
    <row r="22" spans="6:19" x14ac:dyDescent="0.2">
      <c r="O22" s="1" t="str">
        <f t="shared" si="0"/>
        <v/>
      </c>
      <c r="P22" s="1" t="str">
        <f t="shared" si="1"/>
        <v/>
      </c>
      <c r="Q22" s="1" t="str">
        <f t="shared" si="2"/>
        <v/>
      </c>
      <c r="R22" s="21"/>
      <c r="S22" s="9" t="str">
        <f t="shared" si="3"/>
        <v/>
      </c>
    </row>
    <row r="23" spans="6:19" x14ac:dyDescent="0.2">
      <c r="O23" s="1" t="str">
        <f t="shared" si="0"/>
        <v/>
      </c>
      <c r="P23" s="1" t="str">
        <f t="shared" si="1"/>
        <v/>
      </c>
      <c r="Q23" s="1" t="str">
        <f t="shared" si="2"/>
        <v/>
      </c>
      <c r="R23" s="21"/>
      <c r="S23" s="9" t="str">
        <f t="shared" si="3"/>
        <v/>
      </c>
    </row>
    <row r="24" spans="6:19" x14ac:dyDescent="0.2">
      <c r="O24" s="1" t="str">
        <f t="shared" si="0"/>
        <v/>
      </c>
      <c r="P24" s="1" t="str">
        <f t="shared" si="1"/>
        <v/>
      </c>
      <c r="Q24" s="1" t="str">
        <f t="shared" si="2"/>
        <v/>
      </c>
      <c r="R24" s="21"/>
      <c r="S24" s="9" t="str">
        <f t="shared" si="3"/>
        <v/>
      </c>
    </row>
    <row r="25" spans="6:19" x14ac:dyDescent="0.2">
      <c r="O25" s="1" t="str">
        <f t="shared" si="0"/>
        <v/>
      </c>
      <c r="P25" s="1" t="str">
        <f t="shared" si="1"/>
        <v/>
      </c>
      <c r="Q25" s="1" t="str">
        <f t="shared" si="2"/>
        <v/>
      </c>
      <c r="R25" s="21"/>
      <c r="S25" s="9" t="str">
        <f t="shared" si="3"/>
        <v/>
      </c>
    </row>
    <row r="26" spans="6:19" x14ac:dyDescent="0.2">
      <c r="O26" s="1" t="str">
        <f t="shared" si="0"/>
        <v/>
      </c>
      <c r="P26" s="1" t="str">
        <f t="shared" si="1"/>
        <v/>
      </c>
      <c r="Q26" s="1" t="str">
        <f t="shared" si="2"/>
        <v/>
      </c>
      <c r="R26" s="21"/>
      <c r="S26" s="9" t="str">
        <f t="shared" si="3"/>
        <v/>
      </c>
    </row>
    <row r="27" spans="6:19" x14ac:dyDescent="0.2">
      <c r="O27" s="1" t="str">
        <f t="shared" si="0"/>
        <v/>
      </c>
      <c r="P27" s="1" t="str">
        <f t="shared" si="1"/>
        <v/>
      </c>
      <c r="Q27" s="1" t="str">
        <f t="shared" si="2"/>
        <v/>
      </c>
      <c r="R27" s="21"/>
      <c r="S27" s="9" t="str">
        <f t="shared" si="3"/>
        <v/>
      </c>
    </row>
    <row r="28" spans="6:19" x14ac:dyDescent="0.2">
      <c r="O28" s="1" t="str">
        <f t="shared" si="0"/>
        <v/>
      </c>
      <c r="P28" s="1" t="str">
        <f t="shared" si="1"/>
        <v/>
      </c>
      <c r="Q28" s="1" t="str">
        <f t="shared" si="2"/>
        <v/>
      </c>
      <c r="R28" s="21"/>
      <c r="S28" s="9" t="str">
        <f t="shared" si="3"/>
        <v/>
      </c>
    </row>
    <row r="29" spans="6:19" x14ac:dyDescent="0.2">
      <c r="O29" s="1" t="str">
        <f t="shared" si="0"/>
        <v/>
      </c>
      <c r="P29" s="1" t="str">
        <f t="shared" si="1"/>
        <v/>
      </c>
      <c r="Q29" s="1" t="str">
        <f t="shared" si="2"/>
        <v/>
      </c>
      <c r="R29" s="21"/>
      <c r="S29" s="9" t="str">
        <f t="shared" si="3"/>
        <v/>
      </c>
    </row>
    <row r="30" spans="6:19" x14ac:dyDescent="0.2">
      <c r="O30" s="1" t="str">
        <f t="shared" si="0"/>
        <v/>
      </c>
      <c r="P30" s="1" t="str">
        <f t="shared" si="1"/>
        <v/>
      </c>
      <c r="Q30" s="1" t="str">
        <f t="shared" si="2"/>
        <v/>
      </c>
      <c r="R30" s="21"/>
      <c r="S30" s="9" t="str">
        <f t="shared" si="3"/>
        <v/>
      </c>
    </row>
    <row r="31" spans="6:19" x14ac:dyDescent="0.2">
      <c r="O31" s="1" t="str">
        <f t="shared" si="0"/>
        <v/>
      </c>
      <c r="P31" s="1" t="str">
        <f t="shared" si="1"/>
        <v/>
      </c>
      <c r="Q31" s="1" t="str">
        <f t="shared" si="2"/>
        <v/>
      </c>
      <c r="R31" s="21"/>
      <c r="S31" s="9" t="str">
        <f t="shared" si="3"/>
        <v/>
      </c>
    </row>
    <row r="32" spans="6:19" x14ac:dyDescent="0.2">
      <c r="O32" s="1" t="str">
        <f t="shared" si="0"/>
        <v/>
      </c>
      <c r="P32" s="1" t="str">
        <f t="shared" si="1"/>
        <v/>
      </c>
      <c r="Q32" s="1" t="str">
        <f t="shared" si="2"/>
        <v/>
      </c>
      <c r="R32" s="21"/>
      <c r="S32" s="9" t="str">
        <f t="shared" si="3"/>
        <v/>
      </c>
    </row>
    <row r="33" spans="15:19" x14ac:dyDescent="0.2">
      <c r="O33" s="1" t="str">
        <f t="shared" si="0"/>
        <v/>
      </c>
      <c r="P33" s="1" t="str">
        <f t="shared" si="1"/>
        <v/>
      </c>
      <c r="Q33" s="1" t="str">
        <f t="shared" si="2"/>
        <v/>
      </c>
      <c r="R33" s="21"/>
      <c r="S33" s="9" t="str">
        <f t="shared" si="3"/>
        <v/>
      </c>
    </row>
    <row r="34" spans="15:19" x14ac:dyDescent="0.2">
      <c r="O34" s="1" t="str">
        <f t="shared" si="0"/>
        <v/>
      </c>
      <c r="P34" s="1" t="str">
        <f t="shared" si="1"/>
        <v/>
      </c>
      <c r="Q34" s="1" t="str">
        <f t="shared" si="2"/>
        <v/>
      </c>
      <c r="R34" s="21"/>
      <c r="S34" s="9" t="str">
        <f t="shared" si="3"/>
        <v/>
      </c>
    </row>
    <row r="35" spans="15:19" x14ac:dyDescent="0.2">
      <c r="O35" s="1" t="str">
        <f t="shared" si="0"/>
        <v/>
      </c>
      <c r="P35" s="1" t="str">
        <f t="shared" si="1"/>
        <v/>
      </c>
      <c r="Q35" s="1" t="str">
        <f t="shared" si="2"/>
        <v/>
      </c>
      <c r="R35" s="21"/>
      <c r="S35" s="9" t="str">
        <f t="shared" si="3"/>
        <v/>
      </c>
    </row>
    <row r="36" spans="15:19" x14ac:dyDescent="0.2">
      <c r="O36" s="1" t="str">
        <f t="shared" si="0"/>
        <v/>
      </c>
      <c r="P36" s="1" t="str">
        <f t="shared" si="1"/>
        <v/>
      </c>
      <c r="Q36" s="1" t="str">
        <f t="shared" si="2"/>
        <v/>
      </c>
      <c r="R36" s="21"/>
      <c r="S36" s="9" t="str">
        <f t="shared" si="3"/>
        <v/>
      </c>
    </row>
    <row r="37" spans="15:19" x14ac:dyDescent="0.2">
      <c r="O37" s="1" t="str">
        <f t="shared" ref="O37:O68" si="4">IF(H37="","",H37&amp;" "&amp;I37)</f>
        <v/>
      </c>
      <c r="P37" s="1" t="str">
        <f t="shared" ref="P37:P68" si="5">IF(O37="","",J37)</f>
        <v/>
      </c>
      <c r="Q37" s="1" t="str">
        <f t="shared" ref="Q37:Q68" si="6">IF(O37="","",K37)</f>
        <v/>
      </c>
      <c r="R37" s="21"/>
      <c r="S37" s="9" t="str">
        <f t="shared" si="3"/>
        <v/>
      </c>
    </row>
    <row r="38" spans="15:19" x14ac:dyDescent="0.2">
      <c r="O38" s="1" t="str">
        <f t="shared" si="4"/>
        <v/>
      </c>
      <c r="P38" s="1" t="str">
        <f t="shared" si="5"/>
        <v/>
      </c>
      <c r="Q38" s="1" t="str">
        <f t="shared" si="6"/>
        <v/>
      </c>
      <c r="R38" s="21"/>
      <c r="S38" s="9" t="str">
        <f t="shared" si="3"/>
        <v/>
      </c>
    </row>
    <row r="39" spans="15:19" x14ac:dyDescent="0.2">
      <c r="O39" s="1" t="str">
        <f t="shared" si="4"/>
        <v/>
      </c>
      <c r="P39" s="1" t="str">
        <f t="shared" si="5"/>
        <v/>
      </c>
      <c r="Q39" s="1" t="str">
        <f t="shared" si="6"/>
        <v/>
      </c>
      <c r="R39" s="21"/>
      <c r="S39" s="9" t="str">
        <f t="shared" si="3"/>
        <v/>
      </c>
    </row>
    <row r="40" spans="15:19" x14ac:dyDescent="0.2">
      <c r="O40" s="1" t="str">
        <f t="shared" si="4"/>
        <v/>
      </c>
      <c r="P40" s="1" t="str">
        <f t="shared" si="5"/>
        <v/>
      </c>
      <c r="Q40" s="1" t="str">
        <f t="shared" si="6"/>
        <v/>
      </c>
      <c r="R40" s="21"/>
      <c r="S40" s="9" t="str">
        <f t="shared" si="3"/>
        <v/>
      </c>
    </row>
    <row r="41" spans="15:19" x14ac:dyDescent="0.2">
      <c r="O41" s="1" t="str">
        <f t="shared" si="4"/>
        <v/>
      </c>
      <c r="P41" s="1" t="str">
        <f t="shared" si="5"/>
        <v/>
      </c>
      <c r="Q41" s="1" t="str">
        <f t="shared" si="6"/>
        <v/>
      </c>
      <c r="R41" s="21"/>
      <c r="S41" s="9" t="str">
        <f t="shared" si="3"/>
        <v/>
      </c>
    </row>
    <row r="42" spans="15:19" x14ac:dyDescent="0.2">
      <c r="O42" s="1" t="str">
        <f t="shared" si="4"/>
        <v/>
      </c>
      <c r="P42" s="1" t="str">
        <f t="shared" si="5"/>
        <v/>
      </c>
      <c r="Q42" s="1" t="str">
        <f t="shared" si="6"/>
        <v/>
      </c>
      <c r="R42" s="21"/>
      <c r="S42" s="9" t="str">
        <f t="shared" si="3"/>
        <v/>
      </c>
    </row>
    <row r="43" spans="15:19" x14ac:dyDescent="0.2">
      <c r="O43" s="1" t="str">
        <f t="shared" si="4"/>
        <v/>
      </c>
      <c r="P43" s="1" t="str">
        <f t="shared" si="5"/>
        <v/>
      </c>
      <c r="Q43" s="1" t="str">
        <f t="shared" si="6"/>
        <v/>
      </c>
      <c r="R43" s="21"/>
      <c r="S43" s="9" t="str">
        <f t="shared" si="3"/>
        <v/>
      </c>
    </row>
    <row r="44" spans="15:19" x14ac:dyDescent="0.2">
      <c r="O44" s="1" t="str">
        <f t="shared" si="4"/>
        <v/>
      </c>
      <c r="P44" s="1" t="str">
        <f t="shared" si="5"/>
        <v/>
      </c>
      <c r="Q44" s="1" t="str">
        <f t="shared" si="6"/>
        <v/>
      </c>
      <c r="R44" s="21"/>
      <c r="S44" s="9" t="str">
        <f t="shared" si="3"/>
        <v/>
      </c>
    </row>
    <row r="45" spans="15:19" x14ac:dyDescent="0.2">
      <c r="O45" s="1" t="str">
        <f t="shared" si="4"/>
        <v/>
      </c>
      <c r="P45" s="1" t="str">
        <f t="shared" si="5"/>
        <v/>
      </c>
      <c r="Q45" s="1" t="str">
        <f t="shared" si="6"/>
        <v/>
      </c>
      <c r="R45" s="21"/>
      <c r="S45" s="9" t="str">
        <f t="shared" si="3"/>
        <v/>
      </c>
    </row>
    <row r="46" spans="15:19" x14ac:dyDescent="0.2">
      <c r="O46" s="1" t="str">
        <f t="shared" si="4"/>
        <v/>
      </c>
      <c r="P46" s="1" t="str">
        <f t="shared" si="5"/>
        <v/>
      </c>
      <c r="Q46" s="1" t="str">
        <f t="shared" si="6"/>
        <v/>
      </c>
      <c r="R46" s="21"/>
      <c r="S46" s="9" t="str">
        <f t="shared" si="3"/>
        <v/>
      </c>
    </row>
    <row r="47" spans="15:19" x14ac:dyDescent="0.2">
      <c r="O47" s="1" t="str">
        <f t="shared" si="4"/>
        <v/>
      </c>
      <c r="P47" s="1" t="str">
        <f t="shared" si="5"/>
        <v/>
      </c>
      <c r="Q47" s="1" t="str">
        <f t="shared" si="6"/>
        <v/>
      </c>
      <c r="R47" s="21"/>
      <c r="S47" s="9" t="str">
        <f t="shared" si="3"/>
        <v/>
      </c>
    </row>
    <row r="48" spans="15:19" x14ac:dyDescent="0.2">
      <c r="O48" s="1" t="str">
        <f t="shared" si="4"/>
        <v/>
      </c>
      <c r="P48" s="1" t="str">
        <f t="shared" si="5"/>
        <v/>
      </c>
      <c r="Q48" s="1" t="str">
        <f t="shared" si="6"/>
        <v/>
      </c>
      <c r="R48" s="21"/>
      <c r="S48" s="9" t="str">
        <f t="shared" si="3"/>
        <v/>
      </c>
    </row>
    <row r="49" spans="15:19" x14ac:dyDescent="0.2">
      <c r="O49" s="1" t="str">
        <f t="shared" si="4"/>
        <v/>
      </c>
      <c r="P49" s="1" t="str">
        <f t="shared" si="5"/>
        <v/>
      </c>
      <c r="Q49" s="1" t="str">
        <f t="shared" si="6"/>
        <v/>
      </c>
      <c r="R49" s="21"/>
      <c r="S49" s="9" t="str">
        <f t="shared" si="3"/>
        <v/>
      </c>
    </row>
    <row r="50" spans="15:19" x14ac:dyDescent="0.2">
      <c r="O50" s="1" t="str">
        <f t="shared" si="4"/>
        <v/>
      </c>
      <c r="P50" s="1" t="str">
        <f t="shared" si="5"/>
        <v/>
      </c>
      <c r="Q50" s="1" t="str">
        <f t="shared" si="6"/>
        <v/>
      </c>
      <c r="R50" s="21"/>
      <c r="S50" s="9" t="str">
        <f t="shared" si="3"/>
        <v/>
      </c>
    </row>
    <row r="51" spans="15:19" x14ac:dyDescent="0.2">
      <c r="O51" s="1" t="str">
        <f t="shared" si="4"/>
        <v/>
      </c>
      <c r="P51" s="1" t="str">
        <f t="shared" si="5"/>
        <v/>
      </c>
      <c r="Q51" s="1" t="str">
        <f t="shared" si="6"/>
        <v/>
      </c>
      <c r="R51" s="21"/>
      <c r="S51" s="9" t="str">
        <f t="shared" si="3"/>
        <v/>
      </c>
    </row>
    <row r="52" spans="15:19" x14ac:dyDescent="0.2">
      <c r="O52" s="1" t="str">
        <f t="shared" si="4"/>
        <v/>
      </c>
      <c r="P52" s="1" t="str">
        <f t="shared" si="5"/>
        <v/>
      </c>
      <c r="Q52" s="1" t="str">
        <f t="shared" si="6"/>
        <v/>
      </c>
      <c r="R52" s="21"/>
      <c r="S52" s="9" t="str">
        <f t="shared" si="3"/>
        <v/>
      </c>
    </row>
    <row r="53" spans="15:19" x14ac:dyDescent="0.2">
      <c r="O53" s="1" t="str">
        <f t="shared" si="4"/>
        <v/>
      </c>
      <c r="P53" s="1" t="str">
        <f t="shared" si="5"/>
        <v/>
      </c>
      <c r="Q53" s="1" t="str">
        <f t="shared" si="6"/>
        <v/>
      </c>
      <c r="R53" s="21"/>
      <c r="S53" s="9" t="str">
        <f t="shared" si="3"/>
        <v/>
      </c>
    </row>
    <row r="54" spans="15:19" x14ac:dyDescent="0.2">
      <c r="O54" s="1" t="str">
        <f t="shared" si="4"/>
        <v/>
      </c>
      <c r="P54" s="1" t="str">
        <f t="shared" si="5"/>
        <v/>
      </c>
      <c r="Q54" s="1" t="str">
        <f t="shared" si="6"/>
        <v/>
      </c>
      <c r="R54" s="21"/>
      <c r="S54" s="9" t="str">
        <f t="shared" si="3"/>
        <v/>
      </c>
    </row>
    <row r="55" spans="15:19" x14ac:dyDescent="0.2">
      <c r="O55" s="1" t="str">
        <f t="shared" si="4"/>
        <v/>
      </c>
      <c r="P55" s="1" t="str">
        <f t="shared" si="5"/>
        <v/>
      </c>
      <c r="Q55" s="1" t="str">
        <f t="shared" si="6"/>
        <v/>
      </c>
      <c r="R55" s="21"/>
      <c r="S55" s="9" t="str">
        <f t="shared" si="3"/>
        <v/>
      </c>
    </row>
    <row r="56" spans="15:19" x14ac:dyDescent="0.2">
      <c r="O56" s="1" t="str">
        <f t="shared" si="4"/>
        <v/>
      </c>
      <c r="P56" s="1" t="str">
        <f t="shared" si="5"/>
        <v/>
      </c>
      <c r="Q56" s="1" t="str">
        <f t="shared" si="6"/>
        <v/>
      </c>
      <c r="R56" s="21"/>
      <c r="S56" s="9" t="str">
        <f t="shared" si="3"/>
        <v/>
      </c>
    </row>
    <row r="57" spans="15:19" x14ac:dyDescent="0.2">
      <c r="O57" s="1" t="str">
        <f t="shared" si="4"/>
        <v/>
      </c>
      <c r="P57" s="1" t="str">
        <f t="shared" si="5"/>
        <v/>
      </c>
      <c r="Q57" s="1" t="str">
        <f t="shared" si="6"/>
        <v/>
      </c>
      <c r="R57" s="21"/>
      <c r="S57" s="9" t="str">
        <f t="shared" si="3"/>
        <v/>
      </c>
    </row>
    <row r="58" spans="15:19" x14ac:dyDescent="0.2">
      <c r="O58" s="1" t="str">
        <f t="shared" si="4"/>
        <v/>
      </c>
      <c r="P58" s="1" t="str">
        <f t="shared" si="5"/>
        <v/>
      </c>
      <c r="Q58" s="1" t="str">
        <f t="shared" si="6"/>
        <v/>
      </c>
      <c r="R58" s="21"/>
      <c r="S58" s="9" t="str">
        <f t="shared" si="3"/>
        <v/>
      </c>
    </row>
    <row r="59" spans="15:19" x14ac:dyDescent="0.2">
      <c r="O59" s="1" t="str">
        <f t="shared" si="4"/>
        <v/>
      </c>
      <c r="P59" s="1" t="str">
        <f t="shared" si="5"/>
        <v/>
      </c>
      <c r="Q59" s="1" t="str">
        <f t="shared" si="6"/>
        <v/>
      </c>
      <c r="R59" s="21"/>
      <c r="S59" s="9" t="str">
        <f t="shared" si="3"/>
        <v/>
      </c>
    </row>
    <row r="60" spans="15:19" x14ac:dyDescent="0.2">
      <c r="O60" s="1" t="str">
        <f t="shared" si="4"/>
        <v/>
      </c>
      <c r="P60" s="1" t="str">
        <f t="shared" si="5"/>
        <v/>
      </c>
      <c r="Q60" s="1" t="str">
        <f t="shared" si="6"/>
        <v/>
      </c>
      <c r="R60" s="21"/>
      <c r="S60" s="9" t="str">
        <f t="shared" si="3"/>
        <v/>
      </c>
    </row>
    <row r="61" spans="15:19" x14ac:dyDescent="0.2">
      <c r="O61" s="1" t="str">
        <f t="shared" si="4"/>
        <v/>
      </c>
      <c r="P61" s="1" t="str">
        <f t="shared" si="5"/>
        <v/>
      </c>
      <c r="Q61" s="1" t="str">
        <f t="shared" si="6"/>
        <v/>
      </c>
      <c r="R61" s="21"/>
      <c r="S61" s="9" t="str">
        <f t="shared" si="3"/>
        <v/>
      </c>
    </row>
    <row r="62" spans="15:19" x14ac:dyDescent="0.2">
      <c r="O62" s="1" t="str">
        <f t="shared" si="4"/>
        <v/>
      </c>
      <c r="P62" s="1" t="str">
        <f t="shared" si="5"/>
        <v/>
      </c>
      <c r="Q62" s="1" t="str">
        <f t="shared" si="6"/>
        <v/>
      </c>
      <c r="R62" s="21"/>
      <c r="S62" s="9" t="str">
        <f t="shared" si="3"/>
        <v/>
      </c>
    </row>
    <row r="63" spans="15:19" x14ac:dyDescent="0.2">
      <c r="O63" s="1" t="str">
        <f t="shared" si="4"/>
        <v/>
      </c>
      <c r="P63" s="1" t="str">
        <f t="shared" si="5"/>
        <v/>
      </c>
      <c r="Q63" s="1" t="str">
        <f t="shared" si="6"/>
        <v/>
      </c>
      <c r="R63" s="21"/>
      <c r="S63" s="9" t="str">
        <f t="shared" si="3"/>
        <v/>
      </c>
    </row>
    <row r="64" spans="15:19" x14ac:dyDescent="0.2">
      <c r="O64" s="1" t="str">
        <f t="shared" si="4"/>
        <v/>
      </c>
      <c r="P64" s="1" t="str">
        <f t="shared" si="5"/>
        <v/>
      </c>
      <c r="Q64" s="1" t="str">
        <f t="shared" si="6"/>
        <v/>
      </c>
      <c r="R64" s="21"/>
      <c r="S64" s="9" t="str">
        <f t="shared" si="3"/>
        <v/>
      </c>
    </row>
    <row r="65" spans="15:19" x14ac:dyDescent="0.2">
      <c r="O65" s="1" t="str">
        <f t="shared" si="4"/>
        <v/>
      </c>
      <c r="P65" s="1" t="str">
        <f t="shared" si="5"/>
        <v/>
      </c>
      <c r="Q65" s="1" t="str">
        <f t="shared" si="6"/>
        <v/>
      </c>
      <c r="R65" s="21"/>
      <c r="S65" s="9" t="str">
        <f t="shared" si="3"/>
        <v/>
      </c>
    </row>
    <row r="66" spans="15:19" x14ac:dyDescent="0.2">
      <c r="O66" s="1" t="str">
        <f t="shared" si="4"/>
        <v/>
      </c>
      <c r="P66" s="1" t="str">
        <f t="shared" si="5"/>
        <v/>
      </c>
      <c r="Q66" s="1" t="str">
        <f t="shared" si="6"/>
        <v/>
      </c>
      <c r="R66" s="21"/>
      <c r="S66" s="9" t="str">
        <f t="shared" si="3"/>
        <v/>
      </c>
    </row>
    <row r="67" spans="15:19" x14ac:dyDescent="0.2">
      <c r="O67" s="1" t="str">
        <f t="shared" si="4"/>
        <v/>
      </c>
      <c r="P67" s="1" t="str">
        <f t="shared" si="5"/>
        <v/>
      </c>
      <c r="Q67" s="1" t="str">
        <f t="shared" si="6"/>
        <v/>
      </c>
      <c r="R67" s="21"/>
      <c r="S67" s="9" t="str">
        <f t="shared" si="3"/>
        <v/>
      </c>
    </row>
    <row r="68" spans="15:19" x14ac:dyDescent="0.2">
      <c r="O68" s="1" t="str">
        <f t="shared" si="4"/>
        <v/>
      </c>
      <c r="P68" s="1" t="str">
        <f t="shared" si="5"/>
        <v/>
      </c>
      <c r="Q68" s="1" t="str">
        <f t="shared" si="6"/>
        <v/>
      </c>
      <c r="R68" s="21"/>
      <c r="S68" s="9" t="str">
        <f t="shared" si="3"/>
        <v/>
      </c>
    </row>
    <row r="69" spans="15:19" x14ac:dyDescent="0.2">
      <c r="O69" s="1" t="str">
        <f t="shared" ref="O69:O100" si="7">IF(H69="","",H69&amp;" "&amp;I69)</f>
        <v/>
      </c>
      <c r="P69" s="1" t="str">
        <f t="shared" ref="P69:P100" si="8">IF(O69="","",J69)</f>
        <v/>
      </c>
      <c r="Q69" s="1" t="str">
        <f t="shared" ref="Q69:Q100" si="9">IF(O69="","",K69)</f>
        <v/>
      </c>
      <c r="R69" s="21"/>
      <c r="S69" s="9" t="str">
        <f t="shared" si="3"/>
        <v/>
      </c>
    </row>
    <row r="70" spans="15:19" x14ac:dyDescent="0.2">
      <c r="O70" s="1" t="str">
        <f t="shared" si="7"/>
        <v/>
      </c>
      <c r="P70" s="1" t="str">
        <f t="shared" si="8"/>
        <v/>
      </c>
      <c r="Q70" s="1" t="str">
        <f t="shared" si="9"/>
        <v/>
      </c>
      <c r="R70" s="21"/>
      <c r="S70" s="9" t="str">
        <f t="shared" ref="S70:S133" si="10">IF(O70="","",L70)</f>
        <v/>
      </c>
    </row>
    <row r="71" spans="15:19" x14ac:dyDescent="0.2">
      <c r="O71" s="1" t="str">
        <f t="shared" si="7"/>
        <v/>
      </c>
      <c r="P71" s="1" t="str">
        <f t="shared" si="8"/>
        <v/>
      </c>
      <c r="Q71" s="1" t="str">
        <f t="shared" si="9"/>
        <v/>
      </c>
      <c r="R71" s="21"/>
      <c r="S71" s="9" t="str">
        <f t="shared" si="10"/>
        <v/>
      </c>
    </row>
    <row r="72" spans="15:19" x14ac:dyDescent="0.2">
      <c r="O72" s="1" t="str">
        <f t="shared" si="7"/>
        <v/>
      </c>
      <c r="P72" s="1" t="str">
        <f t="shared" si="8"/>
        <v/>
      </c>
      <c r="Q72" s="1" t="str">
        <f t="shared" si="9"/>
        <v/>
      </c>
      <c r="R72" s="21"/>
      <c r="S72" s="9" t="str">
        <f t="shared" si="10"/>
        <v/>
      </c>
    </row>
    <row r="73" spans="15:19" x14ac:dyDescent="0.2">
      <c r="O73" s="1" t="str">
        <f t="shared" si="7"/>
        <v/>
      </c>
      <c r="P73" s="1" t="str">
        <f t="shared" si="8"/>
        <v/>
      </c>
      <c r="Q73" s="1" t="str">
        <f t="shared" si="9"/>
        <v/>
      </c>
      <c r="R73" s="21"/>
      <c r="S73" s="9" t="str">
        <f t="shared" si="10"/>
        <v/>
      </c>
    </row>
    <row r="74" spans="15:19" x14ac:dyDescent="0.2">
      <c r="O74" s="1" t="str">
        <f t="shared" si="7"/>
        <v/>
      </c>
      <c r="P74" s="1" t="str">
        <f t="shared" si="8"/>
        <v/>
      </c>
      <c r="Q74" s="1" t="str">
        <f t="shared" si="9"/>
        <v/>
      </c>
      <c r="R74" s="21"/>
      <c r="S74" s="9" t="str">
        <f t="shared" si="10"/>
        <v/>
      </c>
    </row>
    <row r="75" spans="15:19" x14ac:dyDescent="0.2">
      <c r="O75" s="1" t="str">
        <f t="shared" si="7"/>
        <v/>
      </c>
      <c r="P75" s="1" t="str">
        <f t="shared" si="8"/>
        <v/>
      </c>
      <c r="Q75" s="1" t="str">
        <f t="shared" si="9"/>
        <v/>
      </c>
      <c r="R75" s="21"/>
      <c r="S75" s="9" t="str">
        <f t="shared" si="10"/>
        <v/>
      </c>
    </row>
    <row r="76" spans="15:19" x14ac:dyDescent="0.2">
      <c r="O76" s="1" t="str">
        <f t="shared" si="7"/>
        <v/>
      </c>
      <c r="P76" s="1" t="str">
        <f t="shared" si="8"/>
        <v/>
      </c>
      <c r="Q76" s="1" t="str">
        <f t="shared" si="9"/>
        <v/>
      </c>
      <c r="R76" s="21"/>
      <c r="S76" s="9" t="str">
        <f t="shared" si="10"/>
        <v/>
      </c>
    </row>
    <row r="77" spans="15:19" x14ac:dyDescent="0.2">
      <c r="O77" s="1" t="str">
        <f t="shared" si="7"/>
        <v/>
      </c>
      <c r="P77" s="1" t="str">
        <f t="shared" si="8"/>
        <v/>
      </c>
      <c r="Q77" s="1" t="str">
        <f t="shared" si="9"/>
        <v/>
      </c>
      <c r="R77" s="21"/>
      <c r="S77" s="9" t="str">
        <f t="shared" si="10"/>
        <v/>
      </c>
    </row>
    <row r="78" spans="15:19" x14ac:dyDescent="0.2">
      <c r="O78" s="1" t="str">
        <f t="shared" si="7"/>
        <v/>
      </c>
      <c r="P78" s="1" t="str">
        <f t="shared" si="8"/>
        <v/>
      </c>
      <c r="Q78" s="1" t="str">
        <f t="shared" si="9"/>
        <v/>
      </c>
      <c r="R78" s="21"/>
      <c r="S78" s="9" t="str">
        <f t="shared" si="10"/>
        <v/>
      </c>
    </row>
    <row r="79" spans="15:19" x14ac:dyDescent="0.2">
      <c r="O79" s="1" t="str">
        <f t="shared" si="7"/>
        <v/>
      </c>
      <c r="P79" s="1" t="str">
        <f t="shared" si="8"/>
        <v/>
      </c>
      <c r="Q79" s="1" t="str">
        <f t="shared" si="9"/>
        <v/>
      </c>
      <c r="R79" s="21"/>
      <c r="S79" s="9" t="str">
        <f t="shared" si="10"/>
        <v/>
      </c>
    </row>
    <row r="80" spans="15:19" x14ac:dyDescent="0.2">
      <c r="O80" s="1" t="str">
        <f t="shared" si="7"/>
        <v/>
      </c>
      <c r="P80" s="1" t="str">
        <f t="shared" si="8"/>
        <v/>
      </c>
      <c r="Q80" s="1" t="str">
        <f t="shared" si="9"/>
        <v/>
      </c>
      <c r="R80" s="21"/>
      <c r="S80" s="9" t="str">
        <f t="shared" si="10"/>
        <v/>
      </c>
    </row>
    <row r="81" spans="15:19" x14ac:dyDescent="0.2">
      <c r="O81" s="1" t="str">
        <f t="shared" si="7"/>
        <v/>
      </c>
      <c r="P81" s="1" t="str">
        <f t="shared" si="8"/>
        <v/>
      </c>
      <c r="Q81" s="1" t="str">
        <f t="shared" si="9"/>
        <v/>
      </c>
      <c r="R81" s="21"/>
      <c r="S81" s="9" t="str">
        <f t="shared" si="10"/>
        <v/>
      </c>
    </row>
    <row r="82" spans="15:19" x14ac:dyDescent="0.2">
      <c r="O82" s="1" t="str">
        <f t="shared" si="7"/>
        <v/>
      </c>
      <c r="P82" s="1" t="str">
        <f t="shared" si="8"/>
        <v/>
      </c>
      <c r="Q82" s="1" t="str">
        <f t="shared" si="9"/>
        <v/>
      </c>
      <c r="R82" s="21"/>
      <c r="S82" s="9" t="str">
        <f t="shared" si="10"/>
        <v/>
      </c>
    </row>
    <row r="83" spans="15:19" x14ac:dyDescent="0.2">
      <c r="O83" s="1" t="str">
        <f t="shared" si="7"/>
        <v/>
      </c>
      <c r="P83" s="1" t="str">
        <f t="shared" si="8"/>
        <v/>
      </c>
      <c r="Q83" s="1" t="str">
        <f t="shared" si="9"/>
        <v/>
      </c>
      <c r="R83" s="21"/>
      <c r="S83" s="9" t="str">
        <f t="shared" si="10"/>
        <v/>
      </c>
    </row>
    <row r="84" spans="15:19" x14ac:dyDescent="0.2">
      <c r="O84" s="1" t="str">
        <f t="shared" si="7"/>
        <v/>
      </c>
      <c r="P84" s="1" t="str">
        <f t="shared" si="8"/>
        <v/>
      </c>
      <c r="Q84" s="1" t="str">
        <f t="shared" si="9"/>
        <v/>
      </c>
      <c r="R84" s="21"/>
      <c r="S84" s="9" t="str">
        <f t="shared" si="10"/>
        <v/>
      </c>
    </row>
    <row r="85" spans="15:19" x14ac:dyDescent="0.2">
      <c r="O85" s="1" t="str">
        <f t="shared" si="7"/>
        <v/>
      </c>
      <c r="P85" s="1" t="str">
        <f t="shared" si="8"/>
        <v/>
      </c>
      <c r="Q85" s="1" t="str">
        <f t="shared" si="9"/>
        <v/>
      </c>
      <c r="R85" s="21"/>
      <c r="S85" s="9" t="str">
        <f t="shared" si="10"/>
        <v/>
      </c>
    </row>
    <row r="86" spans="15:19" x14ac:dyDescent="0.2">
      <c r="O86" s="1" t="str">
        <f t="shared" si="7"/>
        <v/>
      </c>
      <c r="P86" s="1" t="str">
        <f t="shared" si="8"/>
        <v/>
      </c>
      <c r="Q86" s="1" t="str">
        <f t="shared" si="9"/>
        <v/>
      </c>
      <c r="R86" s="21"/>
      <c r="S86" s="9" t="str">
        <f t="shared" si="10"/>
        <v/>
      </c>
    </row>
    <row r="87" spans="15:19" x14ac:dyDescent="0.2">
      <c r="O87" s="1" t="str">
        <f t="shared" si="7"/>
        <v/>
      </c>
      <c r="P87" s="1" t="str">
        <f t="shared" si="8"/>
        <v/>
      </c>
      <c r="Q87" s="1" t="str">
        <f t="shared" si="9"/>
        <v/>
      </c>
      <c r="R87" s="21"/>
      <c r="S87" s="9" t="str">
        <f t="shared" si="10"/>
        <v/>
      </c>
    </row>
    <row r="88" spans="15:19" x14ac:dyDescent="0.2">
      <c r="O88" s="1" t="str">
        <f t="shared" si="7"/>
        <v/>
      </c>
      <c r="P88" s="1" t="str">
        <f t="shared" si="8"/>
        <v/>
      </c>
      <c r="Q88" s="1" t="str">
        <f t="shared" si="9"/>
        <v/>
      </c>
      <c r="R88" s="21"/>
      <c r="S88" s="9" t="str">
        <f t="shared" si="10"/>
        <v/>
      </c>
    </row>
    <row r="89" spans="15:19" x14ac:dyDescent="0.2">
      <c r="O89" s="1" t="str">
        <f t="shared" si="7"/>
        <v/>
      </c>
      <c r="P89" s="1" t="str">
        <f t="shared" si="8"/>
        <v/>
      </c>
      <c r="Q89" s="1" t="str">
        <f t="shared" si="9"/>
        <v/>
      </c>
      <c r="R89" s="21"/>
      <c r="S89" s="9" t="str">
        <f t="shared" si="10"/>
        <v/>
      </c>
    </row>
    <row r="90" spans="15:19" x14ac:dyDescent="0.2">
      <c r="O90" s="1" t="str">
        <f t="shared" si="7"/>
        <v/>
      </c>
      <c r="P90" s="1" t="str">
        <f t="shared" si="8"/>
        <v/>
      </c>
      <c r="Q90" s="1" t="str">
        <f t="shared" si="9"/>
        <v/>
      </c>
      <c r="R90" s="21"/>
      <c r="S90" s="9" t="str">
        <f t="shared" si="10"/>
        <v/>
      </c>
    </row>
    <row r="91" spans="15:19" x14ac:dyDescent="0.2">
      <c r="O91" s="1" t="str">
        <f t="shared" si="7"/>
        <v/>
      </c>
      <c r="P91" s="1" t="str">
        <f t="shared" si="8"/>
        <v/>
      </c>
      <c r="Q91" s="1" t="str">
        <f t="shared" si="9"/>
        <v/>
      </c>
      <c r="R91" s="21"/>
      <c r="S91" s="9" t="str">
        <f t="shared" si="10"/>
        <v/>
      </c>
    </row>
    <row r="92" spans="15:19" x14ac:dyDescent="0.2">
      <c r="O92" s="1" t="str">
        <f t="shared" si="7"/>
        <v/>
      </c>
      <c r="P92" s="1" t="str">
        <f t="shared" si="8"/>
        <v/>
      </c>
      <c r="Q92" s="1" t="str">
        <f t="shared" si="9"/>
        <v/>
      </c>
      <c r="R92" s="21"/>
      <c r="S92" s="9" t="str">
        <f t="shared" si="10"/>
        <v/>
      </c>
    </row>
    <row r="93" spans="15:19" x14ac:dyDescent="0.2">
      <c r="O93" s="1" t="str">
        <f t="shared" si="7"/>
        <v/>
      </c>
      <c r="P93" s="1" t="str">
        <f t="shared" si="8"/>
        <v/>
      </c>
      <c r="Q93" s="1" t="str">
        <f t="shared" si="9"/>
        <v/>
      </c>
      <c r="R93" s="21"/>
      <c r="S93" s="9" t="str">
        <f t="shared" si="10"/>
        <v/>
      </c>
    </row>
    <row r="94" spans="15:19" x14ac:dyDescent="0.2">
      <c r="O94" s="1" t="str">
        <f t="shared" si="7"/>
        <v/>
      </c>
      <c r="P94" s="1" t="str">
        <f t="shared" si="8"/>
        <v/>
      </c>
      <c r="Q94" s="1" t="str">
        <f t="shared" si="9"/>
        <v/>
      </c>
      <c r="R94" s="21"/>
      <c r="S94" s="9" t="str">
        <f t="shared" si="10"/>
        <v/>
      </c>
    </row>
    <row r="95" spans="15:19" x14ac:dyDescent="0.2">
      <c r="O95" s="1" t="str">
        <f t="shared" si="7"/>
        <v/>
      </c>
      <c r="P95" s="1" t="str">
        <f t="shared" si="8"/>
        <v/>
      </c>
      <c r="Q95" s="1" t="str">
        <f t="shared" si="9"/>
        <v/>
      </c>
      <c r="R95" s="21"/>
      <c r="S95" s="9" t="str">
        <f t="shared" si="10"/>
        <v/>
      </c>
    </row>
    <row r="96" spans="15:19" x14ac:dyDescent="0.2">
      <c r="O96" s="1" t="str">
        <f t="shared" si="7"/>
        <v/>
      </c>
      <c r="P96" s="1" t="str">
        <f t="shared" si="8"/>
        <v/>
      </c>
      <c r="Q96" s="1" t="str">
        <f t="shared" si="9"/>
        <v/>
      </c>
      <c r="R96" s="21"/>
      <c r="S96" s="9" t="str">
        <f t="shared" si="10"/>
        <v/>
      </c>
    </row>
    <row r="97" spans="8:19" x14ac:dyDescent="0.2">
      <c r="O97" s="1" t="str">
        <f t="shared" si="7"/>
        <v/>
      </c>
      <c r="P97" s="1" t="str">
        <f t="shared" si="8"/>
        <v/>
      </c>
      <c r="Q97" s="1" t="str">
        <f t="shared" si="9"/>
        <v/>
      </c>
      <c r="R97" s="21"/>
      <c r="S97" s="9" t="str">
        <f t="shared" si="10"/>
        <v/>
      </c>
    </row>
    <row r="98" spans="8:19" x14ac:dyDescent="0.2">
      <c r="O98" s="1" t="str">
        <f t="shared" si="7"/>
        <v/>
      </c>
      <c r="P98" s="1" t="str">
        <f t="shared" si="8"/>
        <v/>
      </c>
      <c r="Q98" s="1" t="str">
        <f t="shared" si="9"/>
        <v/>
      </c>
      <c r="R98" s="21"/>
      <c r="S98" s="9" t="str">
        <f t="shared" si="10"/>
        <v/>
      </c>
    </row>
    <row r="99" spans="8:19" x14ac:dyDescent="0.2">
      <c r="O99" s="1" t="str">
        <f t="shared" si="7"/>
        <v/>
      </c>
      <c r="P99" s="1" t="str">
        <f t="shared" si="8"/>
        <v/>
      </c>
      <c r="Q99" s="1" t="str">
        <f t="shared" si="9"/>
        <v/>
      </c>
      <c r="R99" s="21"/>
      <c r="S99" s="9" t="str">
        <f t="shared" si="10"/>
        <v/>
      </c>
    </row>
    <row r="100" spans="8:19" x14ac:dyDescent="0.2">
      <c r="O100" s="1" t="str">
        <f t="shared" si="7"/>
        <v/>
      </c>
      <c r="P100" s="1" t="str">
        <f t="shared" si="8"/>
        <v/>
      </c>
      <c r="Q100" s="1" t="str">
        <f t="shared" si="9"/>
        <v/>
      </c>
      <c r="R100" s="21"/>
      <c r="S100" s="9" t="str">
        <f t="shared" si="10"/>
        <v/>
      </c>
    </row>
    <row r="101" spans="8:19" x14ac:dyDescent="0.2">
      <c r="O101" s="1" t="str">
        <f t="shared" ref="O101:O132" si="11">IF(H101="","",H101&amp;" "&amp;I101)</f>
        <v/>
      </c>
      <c r="P101" s="1" t="str">
        <f t="shared" ref="P101:P132" si="12">IF(O101="","",J101)</f>
        <v/>
      </c>
      <c r="Q101" s="1" t="str">
        <f t="shared" ref="Q101:Q132" si="13">IF(O101="","",K101)</f>
        <v/>
      </c>
      <c r="R101" s="21"/>
      <c r="S101" s="9" t="str">
        <f t="shared" si="10"/>
        <v/>
      </c>
    </row>
    <row r="102" spans="8:19" x14ac:dyDescent="0.2">
      <c r="O102" s="1" t="str">
        <f t="shared" si="11"/>
        <v/>
      </c>
      <c r="P102" s="1" t="str">
        <f t="shared" si="12"/>
        <v/>
      </c>
      <c r="Q102" s="1" t="str">
        <f t="shared" si="13"/>
        <v/>
      </c>
      <c r="R102" s="21"/>
      <c r="S102" s="9" t="str">
        <f t="shared" si="10"/>
        <v/>
      </c>
    </row>
    <row r="103" spans="8:19" x14ac:dyDescent="0.2">
      <c r="O103" s="1" t="str">
        <f t="shared" si="11"/>
        <v/>
      </c>
      <c r="P103" s="1" t="str">
        <f t="shared" si="12"/>
        <v/>
      </c>
      <c r="Q103" s="1" t="str">
        <f t="shared" si="13"/>
        <v/>
      </c>
      <c r="R103" s="21"/>
      <c r="S103" s="9" t="str">
        <f t="shared" si="10"/>
        <v/>
      </c>
    </row>
    <row r="104" spans="8:19" x14ac:dyDescent="0.2">
      <c r="O104" s="1" t="str">
        <f t="shared" si="11"/>
        <v/>
      </c>
      <c r="P104" s="1" t="str">
        <f t="shared" si="12"/>
        <v/>
      </c>
      <c r="Q104" s="1" t="str">
        <f t="shared" si="13"/>
        <v/>
      </c>
      <c r="R104" s="21"/>
      <c r="S104" s="9" t="str">
        <f t="shared" si="10"/>
        <v/>
      </c>
    </row>
    <row r="105" spans="8:19" x14ac:dyDescent="0.2">
      <c r="O105" s="1" t="str">
        <f t="shared" si="11"/>
        <v/>
      </c>
      <c r="P105" s="1" t="str">
        <f t="shared" si="12"/>
        <v/>
      </c>
      <c r="Q105" s="1" t="str">
        <f t="shared" si="13"/>
        <v/>
      </c>
      <c r="R105" s="21"/>
      <c r="S105" s="9" t="str">
        <f t="shared" si="10"/>
        <v/>
      </c>
    </row>
    <row r="106" spans="8:19" x14ac:dyDescent="0.2">
      <c r="O106" s="1" t="str">
        <f t="shared" si="11"/>
        <v/>
      </c>
      <c r="P106" s="1" t="str">
        <f t="shared" si="12"/>
        <v/>
      </c>
      <c r="Q106" s="1" t="str">
        <f t="shared" si="13"/>
        <v/>
      </c>
      <c r="R106" s="21"/>
      <c r="S106" s="9" t="str">
        <f t="shared" si="10"/>
        <v/>
      </c>
    </row>
    <row r="107" spans="8:19" x14ac:dyDescent="0.2">
      <c r="O107" s="1" t="str">
        <f t="shared" si="11"/>
        <v/>
      </c>
      <c r="P107" s="1" t="str">
        <f t="shared" si="12"/>
        <v/>
      </c>
      <c r="Q107" s="1" t="str">
        <f t="shared" si="13"/>
        <v/>
      </c>
      <c r="R107" s="21"/>
      <c r="S107" s="9" t="str">
        <f t="shared" si="10"/>
        <v/>
      </c>
    </row>
    <row r="108" spans="8:19" x14ac:dyDescent="0.2">
      <c r="O108" s="1" t="str">
        <f t="shared" si="11"/>
        <v/>
      </c>
      <c r="P108" s="1" t="str">
        <f t="shared" si="12"/>
        <v/>
      </c>
      <c r="Q108" s="1" t="str">
        <f t="shared" si="13"/>
        <v/>
      </c>
      <c r="R108" s="21"/>
      <c r="S108" s="9" t="str">
        <f t="shared" si="10"/>
        <v/>
      </c>
    </row>
    <row r="109" spans="8:19" x14ac:dyDescent="0.2">
      <c r="O109" s="1" t="str">
        <f t="shared" si="11"/>
        <v/>
      </c>
      <c r="P109" s="1" t="str">
        <f t="shared" si="12"/>
        <v/>
      </c>
      <c r="Q109" s="1" t="str">
        <f t="shared" si="13"/>
        <v/>
      </c>
      <c r="R109" s="21"/>
      <c r="S109" s="9" t="str">
        <f t="shared" si="10"/>
        <v/>
      </c>
    </row>
    <row r="110" spans="8:19" x14ac:dyDescent="0.2">
      <c r="O110" s="1" t="str">
        <f t="shared" si="11"/>
        <v/>
      </c>
      <c r="P110" s="1" t="str">
        <f t="shared" si="12"/>
        <v/>
      </c>
      <c r="Q110" s="1" t="str">
        <f t="shared" si="13"/>
        <v/>
      </c>
      <c r="R110" s="21"/>
      <c r="S110" s="9" t="str">
        <f t="shared" si="10"/>
        <v/>
      </c>
    </row>
    <row r="111" spans="8:19" x14ac:dyDescent="0.2">
      <c r="H111" s="37"/>
      <c r="I111" s="38"/>
      <c r="J111" s="39"/>
      <c r="K111" s="40"/>
      <c r="L111" s="41"/>
      <c r="O111" s="1" t="str">
        <f t="shared" si="11"/>
        <v/>
      </c>
      <c r="P111" s="1" t="str">
        <f t="shared" si="12"/>
        <v/>
      </c>
      <c r="Q111" s="1" t="str">
        <f t="shared" si="13"/>
        <v/>
      </c>
      <c r="R111" s="21"/>
      <c r="S111" s="9" t="str">
        <f t="shared" si="10"/>
        <v/>
      </c>
    </row>
    <row r="112" spans="8:19" x14ac:dyDescent="0.2">
      <c r="O112" s="1" t="str">
        <f t="shared" si="11"/>
        <v/>
      </c>
      <c r="P112" s="1" t="str">
        <f t="shared" si="12"/>
        <v/>
      </c>
      <c r="Q112" s="1" t="str">
        <f t="shared" si="13"/>
        <v/>
      </c>
      <c r="R112" s="21"/>
      <c r="S112" s="9" t="str">
        <f t="shared" si="10"/>
        <v/>
      </c>
    </row>
    <row r="113" spans="15:19" x14ac:dyDescent="0.2">
      <c r="O113" s="1" t="str">
        <f t="shared" si="11"/>
        <v/>
      </c>
      <c r="P113" s="1" t="str">
        <f t="shared" si="12"/>
        <v/>
      </c>
      <c r="Q113" s="1" t="str">
        <f t="shared" si="13"/>
        <v/>
      </c>
      <c r="R113" s="21"/>
      <c r="S113" s="9" t="str">
        <f t="shared" si="10"/>
        <v/>
      </c>
    </row>
    <row r="114" spans="15:19" x14ac:dyDescent="0.2">
      <c r="O114" s="1" t="str">
        <f t="shared" si="11"/>
        <v/>
      </c>
      <c r="P114" s="1" t="str">
        <f t="shared" si="12"/>
        <v/>
      </c>
      <c r="Q114" s="1" t="str">
        <f t="shared" si="13"/>
        <v/>
      </c>
      <c r="R114" s="21"/>
      <c r="S114" s="9" t="str">
        <f t="shared" si="10"/>
        <v/>
      </c>
    </row>
    <row r="115" spans="15:19" x14ac:dyDescent="0.2">
      <c r="O115" s="1" t="str">
        <f t="shared" si="11"/>
        <v/>
      </c>
      <c r="P115" s="1" t="str">
        <f t="shared" si="12"/>
        <v/>
      </c>
      <c r="Q115" s="1" t="str">
        <f t="shared" si="13"/>
        <v/>
      </c>
      <c r="R115" s="21"/>
      <c r="S115" s="9" t="str">
        <f t="shared" si="10"/>
        <v/>
      </c>
    </row>
    <row r="116" spans="15:19" x14ac:dyDescent="0.2">
      <c r="O116" s="1" t="str">
        <f t="shared" si="11"/>
        <v/>
      </c>
      <c r="P116" s="1" t="str">
        <f t="shared" si="12"/>
        <v/>
      </c>
      <c r="Q116" s="1" t="str">
        <f t="shared" si="13"/>
        <v/>
      </c>
      <c r="R116" s="21"/>
      <c r="S116" s="9" t="str">
        <f t="shared" si="10"/>
        <v/>
      </c>
    </row>
    <row r="117" spans="15:19" x14ac:dyDescent="0.2">
      <c r="O117" s="1" t="str">
        <f t="shared" si="11"/>
        <v/>
      </c>
      <c r="P117" s="1" t="str">
        <f t="shared" si="12"/>
        <v/>
      </c>
      <c r="Q117" s="1" t="str">
        <f t="shared" si="13"/>
        <v/>
      </c>
      <c r="R117" s="21"/>
      <c r="S117" s="9" t="str">
        <f t="shared" si="10"/>
        <v/>
      </c>
    </row>
    <row r="118" spans="15:19" x14ac:dyDescent="0.2">
      <c r="O118" s="1" t="str">
        <f t="shared" si="11"/>
        <v/>
      </c>
      <c r="P118" s="1" t="str">
        <f t="shared" si="12"/>
        <v/>
      </c>
      <c r="Q118" s="1" t="str">
        <f t="shared" si="13"/>
        <v/>
      </c>
      <c r="R118" s="21"/>
      <c r="S118" s="9" t="str">
        <f t="shared" si="10"/>
        <v/>
      </c>
    </row>
    <row r="119" spans="15:19" x14ac:dyDescent="0.2">
      <c r="O119" s="1" t="str">
        <f t="shared" si="11"/>
        <v/>
      </c>
      <c r="P119" s="1" t="str">
        <f t="shared" si="12"/>
        <v/>
      </c>
      <c r="Q119" s="1" t="str">
        <f t="shared" si="13"/>
        <v/>
      </c>
      <c r="R119" s="21"/>
      <c r="S119" s="9" t="str">
        <f t="shared" si="10"/>
        <v/>
      </c>
    </row>
    <row r="120" spans="15:19" x14ac:dyDescent="0.2">
      <c r="O120" s="1" t="str">
        <f t="shared" si="11"/>
        <v/>
      </c>
      <c r="P120" s="1" t="str">
        <f t="shared" si="12"/>
        <v/>
      </c>
      <c r="Q120" s="1" t="str">
        <f t="shared" si="13"/>
        <v/>
      </c>
      <c r="R120" s="21"/>
      <c r="S120" s="9" t="str">
        <f t="shared" si="10"/>
        <v/>
      </c>
    </row>
    <row r="121" spans="15:19" x14ac:dyDescent="0.2">
      <c r="O121" s="1" t="str">
        <f t="shared" si="11"/>
        <v/>
      </c>
      <c r="P121" s="1" t="str">
        <f t="shared" si="12"/>
        <v/>
      </c>
      <c r="Q121" s="1" t="str">
        <f t="shared" si="13"/>
        <v/>
      </c>
      <c r="R121" s="21"/>
      <c r="S121" s="9" t="str">
        <f t="shared" si="10"/>
        <v/>
      </c>
    </row>
    <row r="122" spans="15:19" x14ac:dyDescent="0.2">
      <c r="O122" s="1" t="str">
        <f t="shared" si="11"/>
        <v/>
      </c>
      <c r="P122" s="1" t="str">
        <f t="shared" si="12"/>
        <v/>
      </c>
      <c r="Q122" s="1" t="str">
        <f t="shared" si="13"/>
        <v/>
      </c>
      <c r="R122" s="21"/>
      <c r="S122" s="9" t="str">
        <f t="shared" si="10"/>
        <v/>
      </c>
    </row>
    <row r="123" spans="15:19" x14ac:dyDescent="0.2">
      <c r="O123" s="1" t="str">
        <f t="shared" si="11"/>
        <v/>
      </c>
      <c r="P123" s="1" t="str">
        <f t="shared" si="12"/>
        <v/>
      </c>
      <c r="Q123" s="1" t="str">
        <f t="shared" si="13"/>
        <v/>
      </c>
      <c r="R123" s="21"/>
      <c r="S123" s="9" t="str">
        <f t="shared" si="10"/>
        <v/>
      </c>
    </row>
    <row r="124" spans="15:19" x14ac:dyDescent="0.2">
      <c r="O124" s="1" t="str">
        <f t="shared" si="11"/>
        <v/>
      </c>
      <c r="P124" s="1" t="str">
        <f t="shared" si="12"/>
        <v/>
      </c>
      <c r="Q124" s="1" t="str">
        <f t="shared" si="13"/>
        <v/>
      </c>
      <c r="R124" s="21"/>
      <c r="S124" s="9" t="str">
        <f t="shared" si="10"/>
        <v/>
      </c>
    </row>
    <row r="125" spans="15:19" x14ac:dyDescent="0.2">
      <c r="O125" s="1" t="str">
        <f t="shared" si="11"/>
        <v/>
      </c>
      <c r="P125" s="1" t="str">
        <f t="shared" si="12"/>
        <v/>
      </c>
      <c r="Q125" s="1" t="str">
        <f t="shared" si="13"/>
        <v/>
      </c>
      <c r="R125" s="21"/>
      <c r="S125" s="9" t="str">
        <f t="shared" si="10"/>
        <v/>
      </c>
    </row>
    <row r="126" spans="15:19" x14ac:dyDescent="0.2">
      <c r="O126" s="1" t="str">
        <f t="shared" si="11"/>
        <v/>
      </c>
      <c r="P126" s="1" t="str">
        <f t="shared" si="12"/>
        <v/>
      </c>
      <c r="Q126" s="1" t="str">
        <f t="shared" si="13"/>
        <v/>
      </c>
      <c r="R126" s="21"/>
      <c r="S126" s="9" t="str">
        <f t="shared" si="10"/>
        <v/>
      </c>
    </row>
    <row r="127" spans="15:19" x14ac:dyDescent="0.2">
      <c r="O127" s="1" t="str">
        <f t="shared" si="11"/>
        <v/>
      </c>
      <c r="P127" s="1" t="str">
        <f t="shared" si="12"/>
        <v/>
      </c>
      <c r="Q127" s="1" t="str">
        <f t="shared" si="13"/>
        <v/>
      </c>
      <c r="R127" s="21"/>
      <c r="S127" s="9" t="str">
        <f t="shared" si="10"/>
        <v/>
      </c>
    </row>
    <row r="128" spans="15:19" x14ac:dyDescent="0.2">
      <c r="O128" s="1" t="str">
        <f t="shared" si="11"/>
        <v/>
      </c>
      <c r="P128" s="1" t="str">
        <f t="shared" si="12"/>
        <v/>
      </c>
      <c r="Q128" s="1" t="str">
        <f t="shared" si="13"/>
        <v/>
      </c>
      <c r="R128" s="21"/>
      <c r="S128" s="9" t="str">
        <f t="shared" si="10"/>
        <v/>
      </c>
    </row>
    <row r="129" spans="15:19" x14ac:dyDescent="0.2">
      <c r="O129" s="1" t="str">
        <f t="shared" si="11"/>
        <v/>
      </c>
      <c r="P129" s="1" t="str">
        <f t="shared" si="12"/>
        <v/>
      </c>
      <c r="Q129" s="1" t="str">
        <f t="shared" si="13"/>
        <v/>
      </c>
      <c r="R129" s="21"/>
      <c r="S129" s="9" t="str">
        <f t="shared" si="10"/>
        <v/>
      </c>
    </row>
    <row r="130" spans="15:19" x14ac:dyDescent="0.2">
      <c r="O130" s="1" t="str">
        <f t="shared" si="11"/>
        <v/>
      </c>
      <c r="P130" s="1" t="str">
        <f t="shared" si="12"/>
        <v/>
      </c>
      <c r="Q130" s="1" t="str">
        <f t="shared" si="13"/>
        <v/>
      </c>
      <c r="R130" s="21"/>
      <c r="S130" s="9" t="str">
        <f t="shared" si="10"/>
        <v/>
      </c>
    </row>
    <row r="131" spans="15:19" x14ac:dyDescent="0.2">
      <c r="O131" s="1" t="str">
        <f t="shared" si="11"/>
        <v/>
      </c>
      <c r="P131" s="1" t="str">
        <f t="shared" si="12"/>
        <v/>
      </c>
      <c r="Q131" s="1" t="str">
        <f t="shared" si="13"/>
        <v/>
      </c>
      <c r="R131" s="21"/>
      <c r="S131" s="9" t="str">
        <f t="shared" si="10"/>
        <v/>
      </c>
    </row>
    <row r="132" spans="15:19" x14ac:dyDescent="0.2">
      <c r="O132" s="1" t="str">
        <f t="shared" si="11"/>
        <v/>
      </c>
      <c r="P132" s="1" t="str">
        <f t="shared" si="12"/>
        <v/>
      </c>
      <c r="Q132" s="1" t="str">
        <f t="shared" si="13"/>
        <v/>
      </c>
      <c r="R132" s="21"/>
      <c r="S132" s="9" t="str">
        <f t="shared" si="10"/>
        <v/>
      </c>
    </row>
    <row r="133" spans="15:19" x14ac:dyDescent="0.2">
      <c r="O133" s="1" t="str">
        <f t="shared" ref="O133:O164" si="14">IF(H133="","",H133&amp;" "&amp;I133)</f>
        <v/>
      </c>
      <c r="P133" s="1" t="str">
        <f t="shared" ref="P133:P164" si="15">IF(O133="","",J133)</f>
        <v/>
      </c>
      <c r="Q133" s="1" t="str">
        <f t="shared" ref="Q133:Q164" si="16">IF(O133="","",K133)</f>
        <v/>
      </c>
      <c r="R133" s="21"/>
      <c r="S133" s="9" t="str">
        <f t="shared" si="10"/>
        <v/>
      </c>
    </row>
    <row r="134" spans="15:19" x14ac:dyDescent="0.2">
      <c r="O134" s="1" t="str">
        <f t="shared" si="14"/>
        <v/>
      </c>
      <c r="P134" s="1" t="str">
        <f t="shared" si="15"/>
        <v/>
      </c>
      <c r="Q134" s="1" t="str">
        <f t="shared" si="16"/>
        <v/>
      </c>
      <c r="R134" s="21"/>
      <c r="S134" s="9" t="str">
        <f t="shared" ref="S134:S197" si="17">IF(O134="","",L134)</f>
        <v/>
      </c>
    </row>
    <row r="135" spans="15:19" x14ac:dyDescent="0.2">
      <c r="O135" s="1" t="str">
        <f t="shared" si="14"/>
        <v/>
      </c>
      <c r="P135" s="1" t="str">
        <f t="shared" si="15"/>
        <v/>
      </c>
      <c r="Q135" s="1" t="str">
        <f t="shared" si="16"/>
        <v/>
      </c>
      <c r="R135" s="21"/>
      <c r="S135" s="9" t="str">
        <f t="shared" si="17"/>
        <v/>
      </c>
    </row>
    <row r="136" spans="15:19" x14ac:dyDescent="0.2">
      <c r="O136" s="1" t="str">
        <f t="shared" si="14"/>
        <v/>
      </c>
      <c r="P136" s="1" t="str">
        <f t="shared" si="15"/>
        <v/>
      </c>
      <c r="Q136" s="1" t="str">
        <f t="shared" si="16"/>
        <v/>
      </c>
      <c r="R136" s="21"/>
      <c r="S136" s="9" t="str">
        <f t="shared" si="17"/>
        <v/>
      </c>
    </row>
    <row r="137" spans="15:19" x14ac:dyDescent="0.2">
      <c r="O137" s="1" t="str">
        <f t="shared" si="14"/>
        <v/>
      </c>
      <c r="P137" s="1" t="str">
        <f t="shared" si="15"/>
        <v/>
      </c>
      <c r="Q137" s="1" t="str">
        <f t="shared" si="16"/>
        <v/>
      </c>
      <c r="R137" s="21"/>
      <c r="S137" s="9" t="str">
        <f t="shared" si="17"/>
        <v/>
      </c>
    </row>
    <row r="138" spans="15:19" x14ac:dyDescent="0.2">
      <c r="O138" s="1" t="str">
        <f t="shared" si="14"/>
        <v/>
      </c>
      <c r="P138" s="1" t="str">
        <f t="shared" si="15"/>
        <v/>
      </c>
      <c r="Q138" s="1" t="str">
        <f t="shared" si="16"/>
        <v/>
      </c>
      <c r="R138" s="21"/>
      <c r="S138" s="9" t="str">
        <f t="shared" si="17"/>
        <v/>
      </c>
    </row>
    <row r="139" spans="15:19" x14ac:dyDescent="0.2">
      <c r="O139" s="1" t="str">
        <f t="shared" si="14"/>
        <v/>
      </c>
      <c r="P139" s="1" t="str">
        <f t="shared" si="15"/>
        <v/>
      </c>
      <c r="Q139" s="1" t="str">
        <f t="shared" si="16"/>
        <v/>
      </c>
      <c r="R139" s="21"/>
      <c r="S139" s="9" t="str">
        <f t="shared" si="17"/>
        <v/>
      </c>
    </row>
    <row r="140" spans="15:19" x14ac:dyDescent="0.2">
      <c r="O140" s="1" t="str">
        <f t="shared" si="14"/>
        <v/>
      </c>
      <c r="P140" s="1" t="str">
        <f t="shared" si="15"/>
        <v/>
      </c>
      <c r="Q140" s="1" t="str">
        <f t="shared" si="16"/>
        <v/>
      </c>
      <c r="R140" s="21"/>
      <c r="S140" s="9" t="str">
        <f t="shared" si="17"/>
        <v/>
      </c>
    </row>
    <row r="141" spans="15:19" x14ac:dyDescent="0.2">
      <c r="O141" s="1" t="str">
        <f t="shared" si="14"/>
        <v/>
      </c>
      <c r="P141" s="1" t="str">
        <f t="shared" si="15"/>
        <v/>
      </c>
      <c r="Q141" s="1" t="str">
        <f t="shared" si="16"/>
        <v/>
      </c>
      <c r="R141" s="21"/>
      <c r="S141" s="9" t="str">
        <f t="shared" si="17"/>
        <v/>
      </c>
    </row>
    <row r="142" spans="15:19" x14ac:dyDescent="0.2">
      <c r="O142" s="1" t="str">
        <f t="shared" si="14"/>
        <v/>
      </c>
      <c r="P142" s="1" t="str">
        <f t="shared" si="15"/>
        <v/>
      </c>
      <c r="Q142" s="1" t="str">
        <f t="shared" si="16"/>
        <v/>
      </c>
      <c r="R142" s="21"/>
      <c r="S142" s="9" t="str">
        <f t="shared" si="17"/>
        <v/>
      </c>
    </row>
    <row r="143" spans="15:19" x14ac:dyDescent="0.2">
      <c r="O143" s="1" t="str">
        <f t="shared" si="14"/>
        <v/>
      </c>
      <c r="P143" s="1" t="str">
        <f t="shared" si="15"/>
        <v/>
      </c>
      <c r="Q143" s="1" t="str">
        <f t="shared" si="16"/>
        <v/>
      </c>
      <c r="R143" s="21"/>
      <c r="S143" s="9" t="str">
        <f t="shared" si="17"/>
        <v/>
      </c>
    </row>
    <row r="144" spans="15:19" x14ac:dyDescent="0.2">
      <c r="O144" s="1" t="str">
        <f t="shared" si="14"/>
        <v/>
      </c>
      <c r="P144" s="1" t="str">
        <f t="shared" si="15"/>
        <v/>
      </c>
      <c r="Q144" s="1" t="str">
        <f t="shared" si="16"/>
        <v/>
      </c>
      <c r="R144" s="21"/>
      <c r="S144" s="9" t="str">
        <f t="shared" si="17"/>
        <v/>
      </c>
    </row>
    <row r="145" spans="15:19" x14ac:dyDescent="0.2">
      <c r="O145" s="1" t="str">
        <f t="shared" si="14"/>
        <v/>
      </c>
      <c r="P145" s="1" t="str">
        <f t="shared" si="15"/>
        <v/>
      </c>
      <c r="Q145" s="1" t="str">
        <f t="shared" si="16"/>
        <v/>
      </c>
      <c r="R145" s="21"/>
      <c r="S145" s="9" t="str">
        <f t="shared" si="17"/>
        <v/>
      </c>
    </row>
    <row r="146" spans="15:19" x14ac:dyDescent="0.2">
      <c r="O146" s="1" t="str">
        <f t="shared" si="14"/>
        <v/>
      </c>
      <c r="P146" s="1" t="str">
        <f t="shared" si="15"/>
        <v/>
      </c>
      <c r="Q146" s="1" t="str">
        <f t="shared" si="16"/>
        <v/>
      </c>
      <c r="R146" s="21"/>
      <c r="S146" s="9" t="str">
        <f t="shared" si="17"/>
        <v/>
      </c>
    </row>
    <row r="147" spans="15:19" x14ac:dyDescent="0.2">
      <c r="O147" s="1" t="str">
        <f t="shared" si="14"/>
        <v/>
      </c>
      <c r="P147" s="1" t="str">
        <f t="shared" si="15"/>
        <v/>
      </c>
      <c r="Q147" s="1" t="str">
        <f t="shared" si="16"/>
        <v/>
      </c>
      <c r="R147" s="21"/>
      <c r="S147" s="9" t="str">
        <f t="shared" si="17"/>
        <v/>
      </c>
    </row>
    <row r="148" spans="15:19" x14ac:dyDescent="0.2">
      <c r="O148" s="1" t="str">
        <f t="shared" si="14"/>
        <v/>
      </c>
      <c r="P148" s="1" t="str">
        <f t="shared" si="15"/>
        <v/>
      </c>
      <c r="Q148" s="1" t="str">
        <f t="shared" si="16"/>
        <v/>
      </c>
      <c r="R148" s="21"/>
      <c r="S148" s="9" t="str">
        <f t="shared" si="17"/>
        <v/>
      </c>
    </row>
    <row r="149" spans="15:19" x14ac:dyDescent="0.2">
      <c r="O149" s="1" t="str">
        <f t="shared" si="14"/>
        <v/>
      </c>
      <c r="P149" s="1" t="str">
        <f t="shared" si="15"/>
        <v/>
      </c>
      <c r="Q149" s="1" t="str">
        <f t="shared" si="16"/>
        <v/>
      </c>
      <c r="R149" s="21"/>
      <c r="S149" s="9" t="str">
        <f t="shared" si="17"/>
        <v/>
      </c>
    </row>
    <row r="150" spans="15:19" x14ac:dyDescent="0.2">
      <c r="O150" s="1" t="str">
        <f t="shared" si="14"/>
        <v/>
      </c>
      <c r="P150" s="1" t="str">
        <f t="shared" si="15"/>
        <v/>
      </c>
      <c r="Q150" s="1" t="str">
        <f t="shared" si="16"/>
        <v/>
      </c>
      <c r="R150" s="21"/>
      <c r="S150" s="9" t="str">
        <f t="shared" si="17"/>
        <v/>
      </c>
    </row>
    <row r="151" spans="15:19" x14ac:dyDescent="0.2">
      <c r="O151" s="1" t="str">
        <f t="shared" si="14"/>
        <v/>
      </c>
      <c r="P151" s="1" t="str">
        <f t="shared" si="15"/>
        <v/>
      </c>
      <c r="Q151" s="1" t="str">
        <f t="shared" si="16"/>
        <v/>
      </c>
      <c r="R151" s="21"/>
      <c r="S151" s="9" t="str">
        <f t="shared" si="17"/>
        <v/>
      </c>
    </row>
    <row r="152" spans="15:19" x14ac:dyDescent="0.2">
      <c r="O152" s="1" t="str">
        <f t="shared" si="14"/>
        <v/>
      </c>
      <c r="P152" s="1" t="str">
        <f t="shared" si="15"/>
        <v/>
      </c>
      <c r="Q152" s="1" t="str">
        <f t="shared" si="16"/>
        <v/>
      </c>
      <c r="R152" s="21"/>
      <c r="S152" s="9" t="str">
        <f t="shared" si="17"/>
        <v/>
      </c>
    </row>
    <row r="153" spans="15:19" x14ac:dyDescent="0.2">
      <c r="O153" s="1" t="str">
        <f t="shared" si="14"/>
        <v/>
      </c>
      <c r="P153" s="1" t="str">
        <f t="shared" si="15"/>
        <v/>
      </c>
      <c r="Q153" s="1" t="str">
        <f t="shared" si="16"/>
        <v/>
      </c>
      <c r="R153" s="21"/>
      <c r="S153" s="9" t="str">
        <f t="shared" si="17"/>
        <v/>
      </c>
    </row>
    <row r="154" spans="15:19" x14ac:dyDescent="0.2">
      <c r="O154" s="1" t="str">
        <f t="shared" si="14"/>
        <v/>
      </c>
      <c r="P154" s="1" t="str">
        <f t="shared" si="15"/>
        <v/>
      </c>
      <c r="Q154" s="1" t="str">
        <f t="shared" si="16"/>
        <v/>
      </c>
      <c r="R154" s="21"/>
      <c r="S154" s="9" t="str">
        <f t="shared" si="17"/>
        <v/>
      </c>
    </row>
    <row r="155" spans="15:19" x14ac:dyDescent="0.2">
      <c r="O155" s="1" t="str">
        <f t="shared" si="14"/>
        <v/>
      </c>
      <c r="P155" s="1" t="str">
        <f t="shared" si="15"/>
        <v/>
      </c>
      <c r="Q155" s="1" t="str">
        <f t="shared" si="16"/>
        <v/>
      </c>
      <c r="R155" s="21"/>
      <c r="S155" s="9" t="str">
        <f t="shared" si="17"/>
        <v/>
      </c>
    </row>
    <row r="156" spans="15:19" x14ac:dyDescent="0.2">
      <c r="O156" s="1" t="str">
        <f t="shared" si="14"/>
        <v/>
      </c>
      <c r="P156" s="1" t="str">
        <f t="shared" si="15"/>
        <v/>
      </c>
      <c r="Q156" s="1" t="str">
        <f t="shared" si="16"/>
        <v/>
      </c>
      <c r="R156" s="21"/>
      <c r="S156" s="9" t="str">
        <f t="shared" si="17"/>
        <v/>
      </c>
    </row>
    <row r="157" spans="15:19" x14ac:dyDescent="0.2">
      <c r="O157" s="1" t="str">
        <f t="shared" si="14"/>
        <v/>
      </c>
      <c r="P157" s="1" t="str">
        <f t="shared" si="15"/>
        <v/>
      </c>
      <c r="Q157" s="1" t="str">
        <f t="shared" si="16"/>
        <v/>
      </c>
      <c r="R157" s="21"/>
      <c r="S157" s="9" t="str">
        <f t="shared" si="17"/>
        <v/>
      </c>
    </row>
    <row r="158" spans="15:19" x14ac:dyDescent="0.2">
      <c r="O158" s="1" t="str">
        <f t="shared" si="14"/>
        <v/>
      </c>
      <c r="P158" s="1" t="str">
        <f t="shared" si="15"/>
        <v/>
      </c>
      <c r="Q158" s="1" t="str">
        <f t="shared" si="16"/>
        <v/>
      </c>
      <c r="R158" s="21"/>
      <c r="S158" s="9" t="str">
        <f t="shared" si="17"/>
        <v/>
      </c>
    </row>
    <row r="159" spans="15:19" x14ac:dyDescent="0.2">
      <c r="O159" s="1" t="str">
        <f t="shared" si="14"/>
        <v/>
      </c>
      <c r="P159" s="1" t="str">
        <f t="shared" si="15"/>
        <v/>
      </c>
      <c r="Q159" s="1" t="str">
        <f t="shared" si="16"/>
        <v/>
      </c>
      <c r="R159" s="21"/>
      <c r="S159" s="9" t="str">
        <f t="shared" si="17"/>
        <v/>
      </c>
    </row>
    <row r="160" spans="15:19" x14ac:dyDescent="0.2">
      <c r="O160" s="1" t="str">
        <f t="shared" si="14"/>
        <v/>
      </c>
      <c r="P160" s="1" t="str">
        <f t="shared" si="15"/>
        <v/>
      </c>
      <c r="Q160" s="1" t="str">
        <f t="shared" si="16"/>
        <v/>
      </c>
      <c r="R160" s="21"/>
      <c r="S160" s="9" t="str">
        <f t="shared" si="17"/>
        <v/>
      </c>
    </row>
    <row r="161" spans="15:19" x14ac:dyDescent="0.2">
      <c r="O161" s="1" t="str">
        <f t="shared" si="14"/>
        <v/>
      </c>
      <c r="P161" s="1" t="str">
        <f t="shared" si="15"/>
        <v/>
      </c>
      <c r="Q161" s="1" t="str">
        <f t="shared" si="16"/>
        <v/>
      </c>
      <c r="R161" s="21"/>
      <c r="S161" s="9" t="str">
        <f t="shared" si="17"/>
        <v/>
      </c>
    </row>
    <row r="162" spans="15:19" x14ac:dyDescent="0.2">
      <c r="O162" s="1" t="str">
        <f t="shared" si="14"/>
        <v/>
      </c>
      <c r="P162" s="1" t="str">
        <f t="shared" si="15"/>
        <v/>
      </c>
      <c r="Q162" s="1" t="str">
        <f t="shared" si="16"/>
        <v/>
      </c>
      <c r="R162" s="21"/>
      <c r="S162" s="9" t="str">
        <f t="shared" si="17"/>
        <v/>
      </c>
    </row>
    <row r="163" spans="15:19" x14ac:dyDescent="0.2">
      <c r="O163" s="1" t="str">
        <f t="shared" si="14"/>
        <v/>
      </c>
      <c r="P163" s="1" t="str">
        <f t="shared" si="15"/>
        <v/>
      </c>
      <c r="Q163" s="1" t="str">
        <f t="shared" si="16"/>
        <v/>
      </c>
      <c r="R163" s="21"/>
      <c r="S163" s="9" t="str">
        <f t="shared" si="17"/>
        <v/>
      </c>
    </row>
    <row r="164" spans="15:19" x14ac:dyDescent="0.2">
      <c r="O164" s="1" t="str">
        <f t="shared" si="14"/>
        <v/>
      </c>
      <c r="P164" s="1" t="str">
        <f t="shared" si="15"/>
        <v/>
      </c>
      <c r="Q164" s="1" t="str">
        <f t="shared" si="16"/>
        <v/>
      </c>
      <c r="R164" s="21"/>
      <c r="S164" s="9" t="str">
        <f t="shared" si="17"/>
        <v/>
      </c>
    </row>
    <row r="165" spans="15:19" x14ac:dyDescent="0.2">
      <c r="O165" s="1" t="str">
        <f t="shared" ref="O165:O200" si="18">IF(H165="","",H165&amp;" "&amp;I165)</f>
        <v/>
      </c>
      <c r="P165" s="1" t="str">
        <f t="shared" ref="P165:P196" si="19">IF(O165="","",J165)</f>
        <v/>
      </c>
      <c r="Q165" s="1" t="str">
        <f t="shared" ref="Q165:Q200" si="20">IF(O165="","",K165)</f>
        <v/>
      </c>
      <c r="R165" s="21"/>
      <c r="S165" s="9" t="str">
        <f t="shared" si="17"/>
        <v/>
      </c>
    </row>
    <row r="166" spans="15:19" x14ac:dyDescent="0.2">
      <c r="O166" s="1" t="str">
        <f t="shared" si="18"/>
        <v/>
      </c>
      <c r="P166" s="1" t="str">
        <f t="shared" si="19"/>
        <v/>
      </c>
      <c r="Q166" s="1" t="str">
        <f t="shared" si="20"/>
        <v/>
      </c>
      <c r="R166" s="21"/>
      <c r="S166" s="9" t="str">
        <f t="shared" si="17"/>
        <v/>
      </c>
    </row>
    <row r="167" spans="15:19" x14ac:dyDescent="0.2">
      <c r="O167" s="1" t="str">
        <f t="shared" si="18"/>
        <v/>
      </c>
      <c r="P167" s="1" t="str">
        <f t="shared" si="19"/>
        <v/>
      </c>
      <c r="Q167" s="1" t="str">
        <f t="shared" si="20"/>
        <v/>
      </c>
      <c r="R167" s="21"/>
      <c r="S167" s="9" t="str">
        <f t="shared" si="17"/>
        <v/>
      </c>
    </row>
    <row r="168" spans="15:19" x14ac:dyDescent="0.2">
      <c r="O168" s="1" t="str">
        <f t="shared" si="18"/>
        <v/>
      </c>
      <c r="P168" s="1" t="str">
        <f t="shared" si="19"/>
        <v/>
      </c>
      <c r="Q168" s="1" t="str">
        <f t="shared" si="20"/>
        <v/>
      </c>
      <c r="R168" s="21"/>
      <c r="S168" s="9" t="str">
        <f t="shared" si="17"/>
        <v/>
      </c>
    </row>
    <row r="169" spans="15:19" x14ac:dyDescent="0.2">
      <c r="O169" s="1" t="str">
        <f t="shared" si="18"/>
        <v/>
      </c>
      <c r="P169" s="1" t="str">
        <f t="shared" si="19"/>
        <v/>
      </c>
      <c r="Q169" s="1" t="str">
        <f t="shared" si="20"/>
        <v/>
      </c>
      <c r="R169" s="21"/>
      <c r="S169" s="9" t="str">
        <f t="shared" si="17"/>
        <v/>
      </c>
    </row>
    <row r="170" spans="15:19" x14ac:dyDescent="0.2">
      <c r="O170" s="1" t="str">
        <f t="shared" si="18"/>
        <v/>
      </c>
      <c r="P170" s="1" t="str">
        <f t="shared" si="19"/>
        <v/>
      </c>
      <c r="Q170" s="1" t="str">
        <f t="shared" si="20"/>
        <v/>
      </c>
      <c r="R170" s="21"/>
      <c r="S170" s="9" t="str">
        <f t="shared" si="17"/>
        <v/>
      </c>
    </row>
    <row r="171" spans="15:19" x14ac:dyDescent="0.2">
      <c r="O171" s="1" t="str">
        <f t="shared" si="18"/>
        <v/>
      </c>
      <c r="P171" s="1" t="str">
        <f t="shared" si="19"/>
        <v/>
      </c>
      <c r="Q171" s="1" t="str">
        <f t="shared" si="20"/>
        <v/>
      </c>
      <c r="R171" s="21"/>
      <c r="S171" s="9" t="str">
        <f t="shared" si="17"/>
        <v/>
      </c>
    </row>
    <row r="172" spans="15:19" x14ac:dyDescent="0.2">
      <c r="O172" s="1" t="str">
        <f t="shared" si="18"/>
        <v/>
      </c>
      <c r="P172" s="1" t="str">
        <f t="shared" si="19"/>
        <v/>
      </c>
      <c r="Q172" s="1" t="str">
        <f t="shared" si="20"/>
        <v/>
      </c>
      <c r="R172" s="21"/>
      <c r="S172" s="9" t="str">
        <f t="shared" si="17"/>
        <v/>
      </c>
    </row>
    <row r="173" spans="15:19" x14ac:dyDescent="0.2">
      <c r="O173" s="1" t="str">
        <f t="shared" si="18"/>
        <v/>
      </c>
      <c r="P173" s="1" t="str">
        <f t="shared" si="19"/>
        <v/>
      </c>
      <c r="Q173" s="1" t="str">
        <f t="shared" si="20"/>
        <v/>
      </c>
      <c r="R173" s="21"/>
      <c r="S173" s="9" t="str">
        <f t="shared" si="17"/>
        <v/>
      </c>
    </row>
    <row r="174" spans="15:19" x14ac:dyDescent="0.2">
      <c r="O174" s="1" t="str">
        <f t="shared" si="18"/>
        <v/>
      </c>
      <c r="P174" s="1" t="str">
        <f t="shared" si="19"/>
        <v/>
      </c>
      <c r="Q174" s="1" t="str">
        <f t="shared" si="20"/>
        <v/>
      </c>
      <c r="R174" s="21"/>
      <c r="S174" s="9" t="str">
        <f t="shared" si="17"/>
        <v/>
      </c>
    </row>
    <row r="175" spans="15:19" x14ac:dyDescent="0.2">
      <c r="O175" s="1" t="str">
        <f t="shared" si="18"/>
        <v/>
      </c>
      <c r="P175" s="1" t="str">
        <f t="shared" si="19"/>
        <v/>
      </c>
      <c r="Q175" s="1" t="str">
        <f t="shared" si="20"/>
        <v/>
      </c>
      <c r="R175" s="21"/>
      <c r="S175" s="9" t="str">
        <f t="shared" si="17"/>
        <v/>
      </c>
    </row>
    <row r="176" spans="15:19" x14ac:dyDescent="0.2">
      <c r="O176" s="1" t="str">
        <f t="shared" si="18"/>
        <v/>
      </c>
      <c r="P176" s="1" t="str">
        <f t="shared" si="19"/>
        <v/>
      </c>
      <c r="Q176" s="1" t="str">
        <f t="shared" si="20"/>
        <v/>
      </c>
      <c r="R176" s="21"/>
      <c r="S176" s="9" t="str">
        <f t="shared" si="17"/>
        <v/>
      </c>
    </row>
    <row r="177" spans="15:19" x14ac:dyDescent="0.2">
      <c r="O177" s="1" t="str">
        <f t="shared" si="18"/>
        <v/>
      </c>
      <c r="P177" s="1" t="str">
        <f t="shared" si="19"/>
        <v/>
      </c>
      <c r="Q177" s="1" t="str">
        <f t="shared" si="20"/>
        <v/>
      </c>
      <c r="R177" s="21"/>
      <c r="S177" s="9" t="str">
        <f t="shared" si="17"/>
        <v/>
      </c>
    </row>
    <row r="178" spans="15:19" x14ac:dyDescent="0.2">
      <c r="O178" s="1" t="str">
        <f t="shared" si="18"/>
        <v/>
      </c>
      <c r="P178" s="1" t="str">
        <f t="shared" si="19"/>
        <v/>
      </c>
      <c r="Q178" s="1" t="str">
        <f t="shared" si="20"/>
        <v/>
      </c>
      <c r="R178" s="21"/>
      <c r="S178" s="9" t="str">
        <f t="shared" si="17"/>
        <v/>
      </c>
    </row>
    <row r="179" spans="15:19" x14ac:dyDescent="0.2">
      <c r="O179" s="1" t="str">
        <f t="shared" si="18"/>
        <v/>
      </c>
      <c r="P179" s="1" t="str">
        <f t="shared" si="19"/>
        <v/>
      </c>
      <c r="Q179" s="1" t="str">
        <f t="shared" si="20"/>
        <v/>
      </c>
      <c r="R179" s="21"/>
      <c r="S179" s="9" t="str">
        <f t="shared" si="17"/>
        <v/>
      </c>
    </row>
    <row r="180" spans="15:19" x14ac:dyDescent="0.2">
      <c r="O180" s="1" t="str">
        <f t="shared" si="18"/>
        <v/>
      </c>
      <c r="P180" s="1" t="str">
        <f t="shared" si="19"/>
        <v/>
      </c>
      <c r="Q180" s="1" t="str">
        <f t="shared" si="20"/>
        <v/>
      </c>
      <c r="R180" s="21"/>
      <c r="S180" s="9" t="str">
        <f t="shared" si="17"/>
        <v/>
      </c>
    </row>
    <row r="181" spans="15:19" x14ac:dyDescent="0.2">
      <c r="O181" s="1" t="str">
        <f t="shared" si="18"/>
        <v/>
      </c>
      <c r="P181" s="1" t="str">
        <f t="shared" si="19"/>
        <v/>
      </c>
      <c r="Q181" s="1" t="str">
        <f t="shared" si="20"/>
        <v/>
      </c>
      <c r="R181" s="21"/>
      <c r="S181" s="9" t="str">
        <f t="shared" si="17"/>
        <v/>
      </c>
    </row>
    <row r="182" spans="15:19" x14ac:dyDescent="0.2">
      <c r="O182" s="1" t="str">
        <f t="shared" si="18"/>
        <v/>
      </c>
      <c r="P182" s="1" t="str">
        <f t="shared" si="19"/>
        <v/>
      </c>
      <c r="Q182" s="1" t="str">
        <f t="shared" si="20"/>
        <v/>
      </c>
      <c r="R182" s="21"/>
      <c r="S182" s="9" t="str">
        <f t="shared" si="17"/>
        <v/>
      </c>
    </row>
    <row r="183" spans="15:19" x14ac:dyDescent="0.2">
      <c r="O183" s="1" t="str">
        <f t="shared" si="18"/>
        <v/>
      </c>
      <c r="P183" s="1" t="str">
        <f t="shared" si="19"/>
        <v/>
      </c>
      <c r="Q183" s="1" t="str">
        <f t="shared" si="20"/>
        <v/>
      </c>
      <c r="R183" s="21"/>
      <c r="S183" s="9" t="str">
        <f t="shared" si="17"/>
        <v/>
      </c>
    </row>
    <row r="184" spans="15:19" x14ac:dyDescent="0.2">
      <c r="O184" s="1" t="str">
        <f t="shared" si="18"/>
        <v/>
      </c>
      <c r="P184" s="1" t="str">
        <f t="shared" si="19"/>
        <v/>
      </c>
      <c r="Q184" s="1" t="str">
        <f t="shared" si="20"/>
        <v/>
      </c>
      <c r="R184" s="21"/>
      <c r="S184" s="9" t="str">
        <f t="shared" si="17"/>
        <v/>
      </c>
    </row>
    <row r="185" spans="15:19" x14ac:dyDescent="0.2">
      <c r="O185" s="1" t="str">
        <f t="shared" si="18"/>
        <v/>
      </c>
      <c r="P185" s="1" t="str">
        <f t="shared" si="19"/>
        <v/>
      </c>
      <c r="Q185" s="1" t="str">
        <f t="shared" si="20"/>
        <v/>
      </c>
      <c r="R185" s="21"/>
      <c r="S185" s="9" t="str">
        <f t="shared" si="17"/>
        <v/>
      </c>
    </row>
    <row r="186" spans="15:19" x14ac:dyDescent="0.2">
      <c r="O186" s="1" t="str">
        <f t="shared" si="18"/>
        <v/>
      </c>
      <c r="P186" s="1" t="str">
        <f t="shared" si="19"/>
        <v/>
      </c>
      <c r="Q186" s="1" t="str">
        <f t="shared" si="20"/>
        <v/>
      </c>
      <c r="R186" s="21"/>
      <c r="S186" s="9" t="str">
        <f t="shared" si="17"/>
        <v/>
      </c>
    </row>
    <row r="187" spans="15:19" x14ac:dyDescent="0.2">
      <c r="O187" s="1" t="str">
        <f t="shared" si="18"/>
        <v/>
      </c>
      <c r="P187" s="1" t="str">
        <f t="shared" si="19"/>
        <v/>
      </c>
      <c r="Q187" s="1" t="str">
        <f t="shared" si="20"/>
        <v/>
      </c>
      <c r="R187" s="21"/>
      <c r="S187" s="9" t="str">
        <f t="shared" si="17"/>
        <v/>
      </c>
    </row>
    <row r="188" spans="15:19" x14ac:dyDescent="0.2">
      <c r="O188" s="1" t="str">
        <f t="shared" si="18"/>
        <v/>
      </c>
      <c r="P188" s="1" t="str">
        <f t="shared" si="19"/>
        <v/>
      </c>
      <c r="Q188" s="1" t="str">
        <f t="shared" si="20"/>
        <v/>
      </c>
      <c r="R188" s="21"/>
      <c r="S188" s="9" t="str">
        <f t="shared" si="17"/>
        <v/>
      </c>
    </row>
    <row r="189" spans="15:19" x14ac:dyDescent="0.2">
      <c r="O189" s="1" t="str">
        <f t="shared" si="18"/>
        <v/>
      </c>
      <c r="P189" s="1" t="str">
        <f t="shared" si="19"/>
        <v/>
      </c>
      <c r="Q189" s="1" t="str">
        <f t="shared" si="20"/>
        <v/>
      </c>
      <c r="R189" s="21"/>
      <c r="S189" s="9" t="str">
        <f t="shared" si="17"/>
        <v/>
      </c>
    </row>
    <row r="190" spans="15:19" x14ac:dyDescent="0.2">
      <c r="O190" s="1" t="str">
        <f t="shared" si="18"/>
        <v/>
      </c>
      <c r="P190" s="1" t="str">
        <f t="shared" si="19"/>
        <v/>
      </c>
      <c r="Q190" s="1" t="str">
        <f t="shared" si="20"/>
        <v/>
      </c>
      <c r="R190" s="21"/>
      <c r="S190" s="9" t="str">
        <f t="shared" si="17"/>
        <v/>
      </c>
    </row>
    <row r="191" spans="15:19" x14ac:dyDescent="0.2">
      <c r="O191" s="1" t="str">
        <f t="shared" si="18"/>
        <v/>
      </c>
      <c r="P191" s="1" t="str">
        <f t="shared" si="19"/>
        <v/>
      </c>
      <c r="Q191" s="1" t="str">
        <f t="shared" si="20"/>
        <v/>
      </c>
      <c r="R191" s="21"/>
      <c r="S191" s="9" t="str">
        <f t="shared" si="17"/>
        <v/>
      </c>
    </row>
    <row r="192" spans="15:19" x14ac:dyDescent="0.2">
      <c r="O192" s="1" t="str">
        <f t="shared" si="18"/>
        <v/>
      </c>
      <c r="P192" s="1" t="str">
        <f t="shared" si="19"/>
        <v/>
      </c>
      <c r="Q192" s="1" t="str">
        <f t="shared" si="20"/>
        <v/>
      </c>
      <c r="R192" s="21"/>
      <c r="S192" s="9" t="str">
        <f t="shared" si="17"/>
        <v/>
      </c>
    </row>
    <row r="193" spans="15:19" x14ac:dyDescent="0.2">
      <c r="O193" s="1" t="str">
        <f t="shared" si="18"/>
        <v/>
      </c>
      <c r="P193" s="1" t="str">
        <f t="shared" si="19"/>
        <v/>
      </c>
      <c r="Q193" s="1" t="str">
        <f t="shared" si="20"/>
        <v/>
      </c>
      <c r="R193" s="21"/>
      <c r="S193" s="9" t="str">
        <f t="shared" si="17"/>
        <v/>
      </c>
    </row>
    <row r="194" spans="15:19" x14ac:dyDescent="0.2">
      <c r="O194" s="1" t="str">
        <f t="shared" si="18"/>
        <v/>
      </c>
      <c r="P194" s="1" t="str">
        <f t="shared" si="19"/>
        <v/>
      </c>
      <c r="Q194" s="1" t="str">
        <f t="shared" si="20"/>
        <v/>
      </c>
      <c r="R194" s="21"/>
      <c r="S194" s="9" t="str">
        <f t="shared" si="17"/>
        <v/>
      </c>
    </row>
    <row r="195" spans="15:19" x14ac:dyDescent="0.2">
      <c r="O195" s="1" t="str">
        <f t="shared" si="18"/>
        <v/>
      </c>
      <c r="P195" s="1" t="str">
        <f t="shared" si="19"/>
        <v/>
      </c>
      <c r="Q195" s="1" t="str">
        <f t="shared" si="20"/>
        <v/>
      </c>
      <c r="R195" s="21"/>
      <c r="S195" s="9" t="str">
        <f t="shared" si="17"/>
        <v/>
      </c>
    </row>
    <row r="196" spans="15:19" x14ac:dyDescent="0.2">
      <c r="O196" s="1" t="str">
        <f t="shared" si="18"/>
        <v/>
      </c>
      <c r="P196" s="1" t="str">
        <f t="shared" si="19"/>
        <v/>
      </c>
      <c r="Q196" s="1" t="str">
        <f t="shared" si="20"/>
        <v/>
      </c>
      <c r="R196" s="21"/>
      <c r="S196" s="9" t="str">
        <f t="shared" si="17"/>
        <v/>
      </c>
    </row>
    <row r="197" spans="15:19" x14ac:dyDescent="0.2">
      <c r="O197" s="1" t="str">
        <f t="shared" si="18"/>
        <v/>
      </c>
      <c r="P197" s="1" t="str">
        <f t="shared" ref="P197:P200" si="21">IF(O197="","",J197)</f>
        <v/>
      </c>
      <c r="Q197" s="1" t="str">
        <f t="shared" si="20"/>
        <v/>
      </c>
      <c r="R197" s="21"/>
      <c r="S197" s="9" t="str">
        <f t="shared" si="17"/>
        <v/>
      </c>
    </row>
    <row r="198" spans="15:19" x14ac:dyDescent="0.2">
      <c r="O198" s="1" t="str">
        <f t="shared" si="18"/>
        <v/>
      </c>
      <c r="P198" s="1" t="str">
        <f t="shared" si="21"/>
        <v/>
      </c>
      <c r="Q198" s="1" t="str">
        <f t="shared" si="20"/>
        <v/>
      </c>
      <c r="R198" s="21"/>
      <c r="S198" s="9" t="str">
        <f t="shared" ref="S198:S200" si="22">IF(O198="","",L198)</f>
        <v/>
      </c>
    </row>
    <row r="199" spans="15:19" x14ac:dyDescent="0.2">
      <c r="O199" s="1" t="str">
        <f t="shared" si="18"/>
        <v/>
      </c>
      <c r="P199" s="1" t="str">
        <f t="shared" si="21"/>
        <v/>
      </c>
      <c r="Q199" s="1" t="str">
        <f t="shared" si="20"/>
        <v/>
      </c>
      <c r="R199" s="21"/>
      <c r="S199" s="9" t="str">
        <f t="shared" si="22"/>
        <v/>
      </c>
    </row>
    <row r="200" spans="15:19" x14ac:dyDescent="0.2">
      <c r="O200" s="1" t="str">
        <f t="shared" si="18"/>
        <v/>
      </c>
      <c r="P200" s="1" t="str">
        <f t="shared" si="21"/>
        <v/>
      </c>
      <c r="Q200" s="1" t="str">
        <f t="shared" si="20"/>
        <v/>
      </c>
      <c r="R200" s="21"/>
      <c r="S200" s="9" t="str">
        <f t="shared" si="22"/>
        <v/>
      </c>
    </row>
  </sheetData>
  <phoneticPr fontId="19"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11E634F9-D3F9-4B31-849A-34D16A555D79}">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C2B5BC36-D8BD-4786-A47C-FDCD534C62F9}">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Dashboard</vt:lpstr>
      <vt:lpstr>Sheet1</vt:lpstr>
      <vt:lpstr>Raw Data</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mostafa</dc:creator>
  <cp:lastModifiedBy>Ridwan Nugroho</cp:lastModifiedBy>
  <cp:lastPrinted>2020-10-05T15:36:58Z</cp:lastPrinted>
  <dcterms:created xsi:type="dcterms:W3CDTF">2015-06-05T18:17:20Z</dcterms:created>
  <dcterms:modified xsi:type="dcterms:W3CDTF">2023-04-01T14:55:31Z</dcterms:modified>
</cp:coreProperties>
</file>