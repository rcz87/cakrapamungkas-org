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9.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fahbi\Documents\produk digital mas bram\Ultimate\Tools\"/>
    </mc:Choice>
  </mc:AlternateContent>
  <xr:revisionPtr revIDLastSave="0" documentId="13_ncr:1_{12BF6342-5984-444A-B788-C3D29B341AD0}" xr6:coauthVersionLast="47" xr6:coauthVersionMax="47" xr10:uidLastSave="{00000000-0000-0000-0000-000000000000}"/>
  <bookViews>
    <workbookView xWindow="-120" yWindow="-120" windowWidth="28035" windowHeight="16440" firstSheet="4" activeTab="8" xr2:uid="{00000000-000D-0000-FFFF-FFFF00000000}"/>
  </bookViews>
  <sheets>
    <sheet name="How to Use This Template" sheetId="1" r:id="rId1"/>
    <sheet name="Master Marketing Budget" sheetId="2" r:id="rId2"/>
    <sheet name="Product Marketing Budget" sheetId="3" r:id="rId3"/>
    <sheet name="Content Budget" sheetId="4" r:id="rId4"/>
    <sheet name="Paid Advertising Budget" sheetId="5" r:id="rId5"/>
    <sheet name="Public Relations Budget" sheetId="6" r:id="rId6"/>
    <sheet name="Branding &amp; Creative Budget" sheetId="7" r:id="rId7"/>
    <sheet name="Website Redesign Budget" sheetId="8" r:id="rId8"/>
    <sheet name="Event Budget"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j5ndKGzuvUZV7VxtWVmyPiB0pakw=="/>
    </ext>
  </extLst>
</workbook>
</file>

<file path=xl/calcChain.xml><?xml version="1.0" encoding="utf-8"?>
<calcChain xmlns="http://schemas.openxmlformats.org/spreadsheetml/2006/main">
  <c r="F39" i="9" l="1"/>
  <c r="E39" i="9"/>
  <c r="G39" i="9" s="1"/>
  <c r="F38" i="9"/>
  <c r="G38" i="9" s="1"/>
  <c r="E38" i="9"/>
  <c r="G37" i="9"/>
  <c r="F37" i="9"/>
  <c r="E37" i="9"/>
  <c r="F36" i="9"/>
  <c r="E36" i="9"/>
  <c r="G36" i="9" s="1"/>
  <c r="G35" i="9"/>
  <c r="F35" i="9"/>
  <c r="F40" i="9" s="1"/>
  <c r="E35" i="9"/>
  <c r="F32" i="9"/>
  <c r="E32" i="9"/>
  <c r="G31" i="9"/>
  <c r="G30" i="9"/>
  <c r="G29" i="9"/>
  <c r="G28" i="9"/>
  <c r="G27" i="9"/>
  <c r="G25" i="9"/>
  <c r="G24" i="9"/>
  <c r="G23" i="9"/>
  <c r="G21" i="9"/>
  <c r="G20" i="9"/>
  <c r="G19" i="9"/>
  <c r="G18" i="9"/>
  <c r="G16" i="9"/>
  <c r="G15" i="9"/>
  <c r="G14" i="9"/>
  <c r="G12" i="9"/>
  <c r="G11" i="9"/>
  <c r="G10" i="9"/>
  <c r="G9" i="9"/>
  <c r="G32" i="9" s="1"/>
  <c r="G8" i="9"/>
  <c r="F36" i="8"/>
  <c r="E36" i="8"/>
  <c r="G36" i="8" s="1"/>
  <c r="G35" i="8"/>
  <c r="F35" i="8"/>
  <c r="E35" i="8"/>
  <c r="F34" i="8"/>
  <c r="G34" i="8" s="1"/>
  <c r="E34" i="8"/>
  <c r="F33" i="8"/>
  <c r="F37" i="8" s="1"/>
  <c r="E33" i="8"/>
  <c r="G33" i="8" s="1"/>
  <c r="F32" i="8"/>
  <c r="E32" i="8"/>
  <c r="G32" i="8" s="1"/>
  <c r="F29" i="8"/>
  <c r="E29" i="8"/>
  <c r="G28" i="8"/>
  <c r="G27" i="8"/>
  <c r="G25" i="8"/>
  <c r="G23" i="8"/>
  <c r="G22" i="8"/>
  <c r="G21" i="8"/>
  <c r="G20" i="8"/>
  <c r="G19" i="8"/>
  <c r="G18" i="8"/>
  <c r="G17" i="8"/>
  <c r="G16" i="8"/>
  <c r="G14" i="8"/>
  <c r="G13" i="8"/>
  <c r="G12" i="8"/>
  <c r="G11" i="8"/>
  <c r="G9" i="8"/>
  <c r="G8" i="8"/>
  <c r="AK36" i="7"/>
  <c r="AJ36" i="7"/>
  <c r="AI36" i="7"/>
  <c r="AH36" i="7"/>
  <c r="AG36" i="7"/>
  <c r="AF36" i="7"/>
  <c r="AB36" i="7"/>
  <c r="AA36" i="7"/>
  <c r="Z36" i="7"/>
  <c r="Y36" i="7"/>
  <c r="X36" i="7"/>
  <c r="W36" i="7"/>
  <c r="S36" i="7"/>
  <c r="R36" i="7"/>
  <c r="Q36" i="7"/>
  <c r="P36" i="7"/>
  <c r="O36" i="7"/>
  <c r="N36" i="7"/>
  <c r="J36" i="7"/>
  <c r="I36" i="7"/>
  <c r="H36" i="7"/>
  <c r="G36" i="7"/>
  <c r="F36" i="7"/>
  <c r="E36" i="7"/>
  <c r="AM35" i="7"/>
  <c r="AL35" i="7"/>
  <c r="AN35" i="7" s="1"/>
  <c r="AD35" i="7"/>
  <c r="AE35" i="7" s="1"/>
  <c r="AC35" i="7"/>
  <c r="T35" i="7"/>
  <c r="V35" i="7" s="1"/>
  <c r="L35" i="7"/>
  <c r="K35" i="7"/>
  <c r="AO35" i="7" s="1"/>
  <c r="AP34" i="7"/>
  <c r="AM34" i="7"/>
  <c r="AL34" i="7"/>
  <c r="AN34" i="7" s="1"/>
  <c r="AD34" i="7"/>
  <c r="AC34" i="7"/>
  <c r="AE34" i="7" s="1"/>
  <c r="V34" i="7"/>
  <c r="T34" i="7"/>
  <c r="L34" i="7"/>
  <c r="K34" i="7"/>
  <c r="AO34" i="7" s="1"/>
  <c r="AQ34" i="7" s="1"/>
  <c r="AN33" i="7"/>
  <c r="AM33" i="7"/>
  <c r="AL33" i="7"/>
  <c r="AE33" i="7"/>
  <c r="AD33" i="7"/>
  <c r="AC33" i="7"/>
  <c r="U33" i="7"/>
  <c r="AP33" i="7" s="1"/>
  <c r="T33" i="7"/>
  <c r="L33" i="7"/>
  <c r="K33" i="7"/>
  <c r="M33" i="7" s="1"/>
  <c r="AN32" i="7"/>
  <c r="AM32" i="7"/>
  <c r="AL32" i="7"/>
  <c r="AD32" i="7"/>
  <c r="AC32" i="7"/>
  <c r="AE32" i="7" s="1"/>
  <c r="U32" i="7"/>
  <c r="T32" i="7"/>
  <c r="M32" i="7"/>
  <c r="L32" i="7"/>
  <c r="AP32" i="7" s="1"/>
  <c r="K32" i="7"/>
  <c r="AM31" i="7"/>
  <c r="AL31" i="7"/>
  <c r="AD31" i="7"/>
  <c r="AC31" i="7"/>
  <c r="AE31" i="7" s="1"/>
  <c r="U31" i="7"/>
  <c r="T31" i="7"/>
  <c r="V31" i="7" s="1"/>
  <c r="M31" i="7"/>
  <c r="L31" i="7"/>
  <c r="AP31" i="7" s="1"/>
  <c r="K31" i="7"/>
  <c r="AO31" i="7" s="1"/>
  <c r="AM29" i="7"/>
  <c r="AL29" i="7"/>
  <c r="AN29" i="7" s="1"/>
  <c r="AE29" i="7"/>
  <c r="AD29" i="7"/>
  <c r="AC29" i="7"/>
  <c r="V29" i="7"/>
  <c r="U29" i="7"/>
  <c r="T29" i="7"/>
  <c r="L29" i="7"/>
  <c r="AP29" i="7" s="1"/>
  <c r="K29" i="7"/>
  <c r="AM28" i="7"/>
  <c r="AL28" i="7"/>
  <c r="AN28" i="7" s="1"/>
  <c r="AD28" i="7"/>
  <c r="AE28" i="7" s="1"/>
  <c r="AC28" i="7"/>
  <c r="U28" i="7"/>
  <c r="T28" i="7"/>
  <c r="V28" i="7" s="1"/>
  <c r="L28" i="7"/>
  <c r="AP28" i="7" s="1"/>
  <c r="K28" i="7"/>
  <c r="AN27" i="7"/>
  <c r="AM27" i="7"/>
  <c r="AL27" i="7"/>
  <c r="AD27" i="7"/>
  <c r="AC27" i="7"/>
  <c r="AE27" i="7" s="1"/>
  <c r="U27" i="7"/>
  <c r="T27" i="7"/>
  <c r="V27" i="7" s="1"/>
  <c r="L27" i="7"/>
  <c r="AP27" i="7" s="1"/>
  <c r="K27" i="7"/>
  <c r="AP26" i="7"/>
  <c r="AM26" i="7"/>
  <c r="AL26" i="7"/>
  <c r="AN26" i="7" s="1"/>
  <c r="AD26" i="7"/>
  <c r="AC26" i="7"/>
  <c r="AE26" i="7" s="1"/>
  <c r="V26" i="7"/>
  <c r="U26" i="7"/>
  <c r="T26" i="7"/>
  <c r="M26" i="7"/>
  <c r="L26" i="7"/>
  <c r="K26" i="7"/>
  <c r="AP25" i="7"/>
  <c r="F42" i="7" s="1"/>
  <c r="AO25" i="7"/>
  <c r="AM25" i="7"/>
  <c r="AL25" i="7"/>
  <c r="AN25" i="7" s="1"/>
  <c r="AD25" i="7"/>
  <c r="AC25" i="7"/>
  <c r="AE25" i="7" s="1"/>
  <c r="U25" i="7"/>
  <c r="V25" i="7" s="1"/>
  <c r="T25" i="7"/>
  <c r="L25" i="7"/>
  <c r="K25" i="7"/>
  <c r="M25" i="7" s="1"/>
  <c r="AN23" i="7"/>
  <c r="AM23" i="7"/>
  <c r="AL23" i="7"/>
  <c r="AE23" i="7"/>
  <c r="AD23" i="7"/>
  <c r="AC23" i="7"/>
  <c r="U23" i="7"/>
  <c r="AP23" i="7" s="1"/>
  <c r="T23" i="7"/>
  <c r="L23" i="7"/>
  <c r="K23" i="7"/>
  <c r="M23" i="7" s="1"/>
  <c r="AM22" i="7"/>
  <c r="AN22" i="7" s="1"/>
  <c r="AL22" i="7"/>
  <c r="AD22" i="7"/>
  <c r="AC22" i="7"/>
  <c r="AE22" i="7" s="1"/>
  <c r="U22" i="7"/>
  <c r="T22" i="7"/>
  <c r="M22" i="7"/>
  <c r="L22" i="7"/>
  <c r="K22" i="7"/>
  <c r="AM21" i="7"/>
  <c r="AL21" i="7"/>
  <c r="AD21" i="7"/>
  <c r="AC21" i="7"/>
  <c r="AE21" i="7" s="1"/>
  <c r="U21" i="7"/>
  <c r="T21" i="7"/>
  <c r="V21" i="7" s="1"/>
  <c r="L21" i="7"/>
  <c r="K21" i="7"/>
  <c r="AO21" i="7" s="1"/>
  <c r="AM20" i="7"/>
  <c r="AL20" i="7"/>
  <c r="AN20" i="7" s="1"/>
  <c r="AE20" i="7"/>
  <c r="AD20" i="7"/>
  <c r="AC20" i="7"/>
  <c r="V20" i="7"/>
  <c r="U20" i="7"/>
  <c r="T20" i="7"/>
  <c r="L20" i="7"/>
  <c r="AP20" i="7" s="1"/>
  <c r="K20" i="7"/>
  <c r="AM18" i="7"/>
  <c r="AL18" i="7"/>
  <c r="AN18" i="7" s="1"/>
  <c r="AE18" i="7"/>
  <c r="AD18" i="7"/>
  <c r="AC18" i="7"/>
  <c r="U18" i="7"/>
  <c r="T18" i="7"/>
  <c r="V18" i="7" s="1"/>
  <c r="L18" i="7"/>
  <c r="AP18" i="7" s="1"/>
  <c r="K18" i="7"/>
  <c r="AN17" i="7"/>
  <c r="AM17" i="7"/>
  <c r="AL17" i="7"/>
  <c r="AD17" i="7"/>
  <c r="AC17" i="7"/>
  <c r="AE17" i="7" s="1"/>
  <c r="U17" i="7"/>
  <c r="T17" i="7"/>
  <c r="V17" i="7" s="1"/>
  <c r="L17" i="7"/>
  <c r="K17" i="7"/>
  <c r="AP16" i="7"/>
  <c r="AM16" i="7"/>
  <c r="AL16" i="7"/>
  <c r="AN16" i="7" s="1"/>
  <c r="AD16" i="7"/>
  <c r="AC16" i="7"/>
  <c r="AE16" i="7" s="1"/>
  <c r="V16" i="7"/>
  <c r="U16" i="7"/>
  <c r="T16" i="7"/>
  <c r="M16" i="7"/>
  <c r="L16" i="7"/>
  <c r="K16" i="7"/>
  <c r="AO16" i="7" s="1"/>
  <c r="AP14" i="7"/>
  <c r="AO14" i="7"/>
  <c r="AM14" i="7"/>
  <c r="AL14" i="7"/>
  <c r="AN14" i="7" s="1"/>
  <c r="AD14" i="7"/>
  <c r="AC14" i="7"/>
  <c r="AE14" i="7" s="1"/>
  <c r="U14" i="7"/>
  <c r="V14" i="7" s="1"/>
  <c r="T14" i="7"/>
  <c r="L14" i="7"/>
  <c r="K14" i="7"/>
  <c r="M14" i="7" s="1"/>
  <c r="AN13" i="7"/>
  <c r="AM13" i="7"/>
  <c r="AL13" i="7"/>
  <c r="AE13" i="7"/>
  <c r="AD13" i="7"/>
  <c r="AC13" i="7"/>
  <c r="U13" i="7"/>
  <c r="AP13" i="7" s="1"/>
  <c r="T13" i="7"/>
  <c r="L13" i="7"/>
  <c r="K13" i="7"/>
  <c r="M13" i="7" s="1"/>
  <c r="AM12" i="7"/>
  <c r="AN12" i="7" s="1"/>
  <c r="AL12" i="7"/>
  <c r="AD12" i="7"/>
  <c r="AC12" i="7"/>
  <c r="AE12" i="7" s="1"/>
  <c r="U12" i="7"/>
  <c r="T12" i="7"/>
  <c r="M12" i="7"/>
  <c r="L12" i="7"/>
  <c r="K12" i="7"/>
  <c r="AM11" i="7"/>
  <c r="AL11" i="7"/>
  <c r="AD11" i="7"/>
  <c r="AC11" i="7"/>
  <c r="AE11" i="7" s="1"/>
  <c r="U11" i="7"/>
  <c r="T11" i="7"/>
  <c r="V11" i="7" s="1"/>
  <c r="L11" i="7"/>
  <c r="K11" i="7"/>
  <c r="AO11" i="7" s="1"/>
  <c r="AM10" i="7"/>
  <c r="AL10" i="7"/>
  <c r="AN10" i="7" s="1"/>
  <c r="AE10" i="7"/>
  <c r="AD10" i="7"/>
  <c r="AC10" i="7"/>
  <c r="V10" i="7"/>
  <c r="U10" i="7"/>
  <c r="T10" i="7"/>
  <c r="L10" i="7"/>
  <c r="AP10" i="7" s="1"/>
  <c r="K10" i="7"/>
  <c r="AM9" i="7"/>
  <c r="AL9" i="7"/>
  <c r="AN9" i="7" s="1"/>
  <c r="AD9" i="7"/>
  <c r="AE9" i="7" s="1"/>
  <c r="AC9" i="7"/>
  <c r="U9" i="7"/>
  <c r="T9" i="7"/>
  <c r="L9" i="7"/>
  <c r="K9" i="7"/>
  <c r="AK30" i="6"/>
  <c r="AJ30" i="6"/>
  <c r="AI30" i="6"/>
  <c r="AH30" i="6"/>
  <c r="AG30" i="6"/>
  <c r="AF30" i="6"/>
  <c r="AD30" i="6"/>
  <c r="AB30" i="6"/>
  <c r="AA30" i="6"/>
  <c r="Z30" i="6"/>
  <c r="Y30" i="6"/>
  <c r="X30" i="6"/>
  <c r="W30" i="6"/>
  <c r="S30" i="6"/>
  <c r="R30" i="6"/>
  <c r="Q30" i="6"/>
  <c r="P30" i="6"/>
  <c r="O30" i="6"/>
  <c r="N30" i="6"/>
  <c r="J30" i="6"/>
  <c r="I30" i="6"/>
  <c r="H30" i="6"/>
  <c r="G30" i="6"/>
  <c r="F30" i="6"/>
  <c r="E30" i="6"/>
  <c r="AM29" i="6"/>
  <c r="AL29" i="6"/>
  <c r="AN29" i="6" s="1"/>
  <c r="AE29" i="6"/>
  <c r="AD29" i="6"/>
  <c r="AC29" i="6"/>
  <c r="U29" i="6"/>
  <c r="T29" i="6"/>
  <c r="V29" i="6" s="1"/>
  <c r="L29" i="6"/>
  <c r="K29" i="6"/>
  <c r="AQ28" i="6"/>
  <c r="AN28" i="6"/>
  <c r="AM28" i="6"/>
  <c r="AL28" i="6"/>
  <c r="AD28" i="6"/>
  <c r="AP28" i="6" s="1"/>
  <c r="AC28" i="6"/>
  <c r="AE28" i="6" s="1"/>
  <c r="U28" i="6"/>
  <c r="T28" i="6"/>
  <c r="V28" i="6" s="1"/>
  <c r="L28" i="6"/>
  <c r="K28" i="6"/>
  <c r="AO28" i="6" s="1"/>
  <c r="AP27" i="6"/>
  <c r="AM27" i="6"/>
  <c r="AL27" i="6"/>
  <c r="AN27" i="6" s="1"/>
  <c r="AD27" i="6"/>
  <c r="AC27" i="6"/>
  <c r="AE27" i="6" s="1"/>
  <c r="V27" i="6"/>
  <c r="U27" i="6"/>
  <c r="T27" i="6"/>
  <c r="M27" i="6"/>
  <c r="L27" i="6"/>
  <c r="K27" i="6"/>
  <c r="AO25" i="6"/>
  <c r="AM25" i="6"/>
  <c r="AL25" i="6"/>
  <c r="AN25" i="6" s="1"/>
  <c r="AD25" i="6"/>
  <c r="AC25" i="6"/>
  <c r="AE25" i="6" s="1"/>
  <c r="U25" i="6"/>
  <c r="V25" i="6" s="1"/>
  <c r="T25" i="6"/>
  <c r="L25" i="6"/>
  <c r="K25" i="6"/>
  <c r="M25" i="6" s="1"/>
  <c r="AN24" i="6"/>
  <c r="AM24" i="6"/>
  <c r="AL24" i="6"/>
  <c r="AE24" i="6"/>
  <c r="AD24" i="6"/>
  <c r="AC24" i="6"/>
  <c r="U24" i="6"/>
  <c r="AP24" i="6" s="1"/>
  <c r="T24" i="6"/>
  <c r="L24" i="6"/>
  <c r="K24" i="6"/>
  <c r="M24" i="6" s="1"/>
  <c r="AM23" i="6"/>
  <c r="AN23" i="6" s="1"/>
  <c r="AL23" i="6"/>
  <c r="AD23" i="6"/>
  <c r="AC23" i="6"/>
  <c r="AE23" i="6" s="1"/>
  <c r="U23" i="6"/>
  <c r="T23" i="6"/>
  <c r="M23" i="6"/>
  <c r="L23" i="6"/>
  <c r="K23" i="6"/>
  <c r="AM21" i="6"/>
  <c r="AL21" i="6"/>
  <c r="AN21" i="6" s="1"/>
  <c r="AD21" i="6"/>
  <c r="AC21" i="6"/>
  <c r="AE21" i="6" s="1"/>
  <c r="U21" i="6"/>
  <c r="T21" i="6"/>
  <c r="V21" i="6" s="1"/>
  <c r="L21" i="6"/>
  <c r="AP21" i="6" s="1"/>
  <c r="K21" i="6"/>
  <c r="AM20" i="6"/>
  <c r="AL20" i="6"/>
  <c r="AN20" i="6" s="1"/>
  <c r="AE20" i="6"/>
  <c r="AD20" i="6"/>
  <c r="AC20" i="6"/>
  <c r="V20" i="6"/>
  <c r="U20" i="6"/>
  <c r="T20" i="6"/>
  <c r="L20" i="6"/>
  <c r="AP20" i="6" s="1"/>
  <c r="K20" i="6"/>
  <c r="AM19" i="6"/>
  <c r="AL19" i="6"/>
  <c r="AN19" i="6" s="1"/>
  <c r="AE19" i="6"/>
  <c r="AD19" i="6"/>
  <c r="AC19" i="6"/>
  <c r="U19" i="6"/>
  <c r="T19" i="6"/>
  <c r="V19" i="6" s="1"/>
  <c r="L19" i="6"/>
  <c r="AP19" i="6" s="1"/>
  <c r="K19" i="6"/>
  <c r="AN18" i="6"/>
  <c r="AM18" i="6"/>
  <c r="AL18" i="6"/>
  <c r="AD18" i="6"/>
  <c r="AP18" i="6" s="1"/>
  <c r="AC18" i="6"/>
  <c r="AE18" i="6" s="1"/>
  <c r="U18" i="6"/>
  <c r="T18" i="6"/>
  <c r="V18" i="6" s="1"/>
  <c r="L18" i="6"/>
  <c r="K18" i="6"/>
  <c r="AP16" i="6"/>
  <c r="AM16" i="6"/>
  <c r="AL16" i="6"/>
  <c r="AN16" i="6" s="1"/>
  <c r="AD16" i="6"/>
  <c r="AC16" i="6"/>
  <c r="V16" i="6"/>
  <c r="U16" i="6"/>
  <c r="T16" i="6"/>
  <c r="M16" i="6"/>
  <c r="L16" i="6"/>
  <c r="K16" i="6"/>
  <c r="AP15" i="6"/>
  <c r="AO15" i="6"/>
  <c r="AM15" i="6"/>
  <c r="AL15" i="6"/>
  <c r="AN15" i="6" s="1"/>
  <c r="AD15" i="6"/>
  <c r="AC15" i="6"/>
  <c r="AE15" i="6" s="1"/>
  <c r="U15" i="6"/>
  <c r="V15" i="6" s="1"/>
  <c r="T15" i="6"/>
  <c r="L15" i="6"/>
  <c r="K15" i="6"/>
  <c r="M15" i="6" s="1"/>
  <c r="AN14" i="6"/>
  <c r="AM14" i="6"/>
  <c r="AL14" i="6"/>
  <c r="AE14" i="6"/>
  <c r="AD14" i="6"/>
  <c r="AC14" i="6"/>
  <c r="U14" i="6"/>
  <c r="AP14" i="6" s="1"/>
  <c r="T14" i="6"/>
  <c r="V14" i="6" s="1"/>
  <c r="L14" i="6"/>
  <c r="K14" i="6"/>
  <c r="M14" i="6" s="1"/>
  <c r="AM13" i="6"/>
  <c r="AN13" i="6" s="1"/>
  <c r="AL13" i="6"/>
  <c r="AD13" i="6"/>
  <c r="AC13" i="6"/>
  <c r="AE13" i="6" s="1"/>
  <c r="U13" i="6"/>
  <c r="T13" i="6"/>
  <c r="M13" i="6"/>
  <c r="L13" i="6"/>
  <c r="K13" i="6"/>
  <c r="AM11" i="6"/>
  <c r="AL11" i="6"/>
  <c r="AD11" i="6"/>
  <c r="AC11" i="6"/>
  <c r="AE11" i="6" s="1"/>
  <c r="U11" i="6"/>
  <c r="T11" i="6"/>
  <c r="V11" i="6" s="1"/>
  <c r="L11" i="6"/>
  <c r="K11" i="6"/>
  <c r="AO11" i="6" s="1"/>
  <c r="AM10" i="6"/>
  <c r="AL10" i="6"/>
  <c r="AN10" i="6" s="1"/>
  <c r="AE10" i="6"/>
  <c r="AD10" i="6"/>
  <c r="AC10" i="6"/>
  <c r="V10" i="6"/>
  <c r="U10" i="6"/>
  <c r="T10" i="6"/>
  <c r="L10" i="6"/>
  <c r="AP10" i="6" s="1"/>
  <c r="K10" i="6"/>
  <c r="AM9" i="6"/>
  <c r="AL9" i="6"/>
  <c r="AN9" i="6" s="1"/>
  <c r="AD9" i="6"/>
  <c r="AE9" i="6" s="1"/>
  <c r="AC9" i="6"/>
  <c r="U9" i="6"/>
  <c r="T9" i="6"/>
  <c r="T30" i="6" s="1"/>
  <c r="L9" i="6"/>
  <c r="K9" i="6"/>
  <c r="AK27" i="5"/>
  <c r="AJ27" i="5"/>
  <c r="AI27" i="5"/>
  <c r="AH27" i="5"/>
  <c r="AG27" i="5"/>
  <c r="AF27" i="5"/>
  <c r="AB27" i="5"/>
  <c r="AA27" i="5"/>
  <c r="Z27" i="5"/>
  <c r="Y27" i="5"/>
  <c r="X27" i="5"/>
  <c r="W27" i="5"/>
  <c r="S27" i="5"/>
  <c r="R27" i="5"/>
  <c r="Q27" i="5"/>
  <c r="P27" i="5"/>
  <c r="O27" i="5"/>
  <c r="N27" i="5"/>
  <c r="J27" i="5"/>
  <c r="I27" i="5"/>
  <c r="H27" i="5"/>
  <c r="G27" i="5"/>
  <c r="F27" i="5"/>
  <c r="E27" i="5"/>
  <c r="AN26" i="5"/>
  <c r="AM26" i="5"/>
  <c r="AL26" i="5"/>
  <c r="AD26" i="5"/>
  <c r="AP26" i="5" s="1"/>
  <c r="AC26" i="5"/>
  <c r="V26" i="5"/>
  <c r="U26" i="5"/>
  <c r="T26" i="5"/>
  <c r="L26" i="5"/>
  <c r="K26" i="5"/>
  <c r="AO26" i="5" s="1"/>
  <c r="AQ26" i="5" s="1"/>
  <c r="AP25" i="5"/>
  <c r="AM25" i="5"/>
  <c r="AL25" i="5"/>
  <c r="AN25" i="5" s="1"/>
  <c r="AD25" i="5"/>
  <c r="AC25" i="5"/>
  <c r="V25" i="5"/>
  <c r="U25" i="5"/>
  <c r="T25" i="5"/>
  <c r="L25" i="5"/>
  <c r="M25" i="5" s="1"/>
  <c r="K25" i="5"/>
  <c r="AO24" i="5"/>
  <c r="AN24" i="5"/>
  <c r="AM24" i="5"/>
  <c r="AL24" i="5"/>
  <c r="AE24" i="5"/>
  <c r="AD24" i="5"/>
  <c r="AC24" i="5"/>
  <c r="U24" i="5"/>
  <c r="AP24" i="5" s="1"/>
  <c r="F34" i="5" s="1"/>
  <c r="T24" i="5"/>
  <c r="L24" i="5"/>
  <c r="K24" i="5"/>
  <c r="M24" i="5" s="1"/>
  <c r="AN22" i="5"/>
  <c r="AM22" i="5"/>
  <c r="AL22" i="5"/>
  <c r="AD22" i="5"/>
  <c r="AE22" i="5" s="1"/>
  <c r="AC22" i="5"/>
  <c r="U22" i="5"/>
  <c r="T22" i="5"/>
  <c r="V22" i="5" s="1"/>
  <c r="M22" i="5"/>
  <c r="L22" i="5"/>
  <c r="K22" i="5"/>
  <c r="AM21" i="5"/>
  <c r="AN21" i="5" s="1"/>
  <c r="AL21" i="5"/>
  <c r="AD21" i="5"/>
  <c r="AC21" i="5"/>
  <c r="AE21" i="5" s="1"/>
  <c r="U21" i="5"/>
  <c r="T21" i="5"/>
  <c r="V21" i="5" s="1"/>
  <c r="M21" i="5"/>
  <c r="L21" i="5"/>
  <c r="K21" i="5"/>
  <c r="AM20" i="5"/>
  <c r="AL20" i="5"/>
  <c r="AN20" i="5" s="1"/>
  <c r="AE20" i="5"/>
  <c r="AD20" i="5"/>
  <c r="AC20" i="5"/>
  <c r="U20" i="5"/>
  <c r="T20" i="5"/>
  <c r="V20" i="5" s="1"/>
  <c r="M20" i="5"/>
  <c r="L20" i="5"/>
  <c r="AP20" i="5" s="1"/>
  <c r="K20" i="5"/>
  <c r="AO20" i="5" s="1"/>
  <c r="AQ20" i="5" s="1"/>
  <c r="AM19" i="5"/>
  <c r="AL19" i="5"/>
  <c r="AN19" i="5" s="1"/>
  <c r="AE19" i="5"/>
  <c r="AD19" i="5"/>
  <c r="AC19" i="5"/>
  <c r="V19" i="5"/>
  <c r="U19" i="5"/>
  <c r="T19" i="5"/>
  <c r="L19" i="5"/>
  <c r="AP19" i="5" s="1"/>
  <c r="K19" i="5"/>
  <c r="AM18" i="5"/>
  <c r="AL18" i="5"/>
  <c r="AN18" i="5" s="1"/>
  <c r="AD18" i="5"/>
  <c r="AE18" i="5" s="1"/>
  <c r="AC18" i="5"/>
  <c r="U18" i="5"/>
  <c r="T18" i="5"/>
  <c r="V18" i="5" s="1"/>
  <c r="L18" i="5"/>
  <c r="AP18" i="5" s="1"/>
  <c r="K18" i="5"/>
  <c r="AM16" i="5"/>
  <c r="AN16" i="5" s="1"/>
  <c r="AL16" i="5"/>
  <c r="AD16" i="5"/>
  <c r="AP16" i="5" s="1"/>
  <c r="AC16" i="5"/>
  <c r="AE16" i="5" s="1"/>
  <c r="V16" i="5"/>
  <c r="U16" i="5"/>
  <c r="T16" i="5"/>
  <c r="L16" i="5"/>
  <c r="K16" i="5"/>
  <c r="AP15" i="5"/>
  <c r="F32" i="5" s="1"/>
  <c r="AM15" i="5"/>
  <c r="AL15" i="5"/>
  <c r="AN15" i="5" s="1"/>
  <c r="AD15" i="5"/>
  <c r="AC15" i="5"/>
  <c r="V15" i="5"/>
  <c r="U15" i="5"/>
  <c r="T15" i="5"/>
  <c r="L15" i="5"/>
  <c r="M15" i="5" s="1"/>
  <c r="K15" i="5"/>
  <c r="AO13" i="5"/>
  <c r="AN13" i="5"/>
  <c r="AM13" i="5"/>
  <c r="AL13" i="5"/>
  <c r="AD13" i="5"/>
  <c r="AC13" i="5"/>
  <c r="AE13" i="5" s="1"/>
  <c r="U13" i="5"/>
  <c r="AP13" i="5" s="1"/>
  <c r="T13" i="5"/>
  <c r="L13" i="5"/>
  <c r="K13" i="5"/>
  <c r="M13" i="5" s="1"/>
  <c r="AN12" i="5"/>
  <c r="AM12" i="5"/>
  <c r="AL12" i="5"/>
  <c r="AD12" i="5"/>
  <c r="AC12" i="5"/>
  <c r="AE12" i="5" s="1"/>
  <c r="U12" i="5"/>
  <c r="U27" i="5" s="1"/>
  <c r="T12" i="5"/>
  <c r="AO12" i="5" s="1"/>
  <c r="M12" i="5"/>
  <c r="L12" i="5"/>
  <c r="K12" i="5"/>
  <c r="AM10" i="5"/>
  <c r="AN10" i="5" s="1"/>
  <c r="AL10" i="5"/>
  <c r="AD10" i="5"/>
  <c r="AC10" i="5"/>
  <c r="AE10" i="5" s="1"/>
  <c r="U10" i="5"/>
  <c r="T10" i="5"/>
  <c r="V10" i="5" s="1"/>
  <c r="M10" i="5"/>
  <c r="L10" i="5"/>
  <c r="K10" i="5"/>
  <c r="AO10" i="5" s="1"/>
  <c r="AM9" i="5"/>
  <c r="AL9" i="5"/>
  <c r="AE9" i="5"/>
  <c r="AD9" i="5"/>
  <c r="AC9" i="5"/>
  <c r="U9" i="5"/>
  <c r="T9" i="5"/>
  <c r="V9" i="5" s="1"/>
  <c r="M9" i="5"/>
  <c r="L9" i="5"/>
  <c r="AP9" i="5" s="1"/>
  <c r="K9" i="5"/>
  <c r="K27" i="5" s="1"/>
  <c r="AK27" i="4"/>
  <c r="AJ27" i="4"/>
  <c r="AI27" i="4"/>
  <c r="AH27" i="4"/>
  <c r="AG27" i="4"/>
  <c r="AF27" i="4"/>
  <c r="AB27" i="4"/>
  <c r="AA27" i="4"/>
  <c r="Z27" i="4"/>
  <c r="Y27" i="4"/>
  <c r="X27" i="4"/>
  <c r="W27" i="4"/>
  <c r="S27" i="4"/>
  <c r="R27" i="4"/>
  <c r="Q27" i="4"/>
  <c r="P27" i="4"/>
  <c r="O27" i="4"/>
  <c r="N27" i="4"/>
  <c r="J27" i="4"/>
  <c r="I27" i="4"/>
  <c r="H27" i="4"/>
  <c r="G27" i="4"/>
  <c r="F27" i="4"/>
  <c r="E27" i="4"/>
  <c r="AM26" i="4"/>
  <c r="AN26" i="4" s="1"/>
  <c r="AL26" i="4"/>
  <c r="AD26" i="4"/>
  <c r="AP26" i="4" s="1"/>
  <c r="AC26" i="4"/>
  <c r="AE26" i="4" s="1"/>
  <c r="V26" i="4"/>
  <c r="U26" i="4"/>
  <c r="T26" i="4"/>
  <c r="L26" i="4"/>
  <c r="K26" i="4"/>
  <c r="AP25" i="4"/>
  <c r="AM25" i="4"/>
  <c r="AL25" i="4"/>
  <c r="AN25" i="4" s="1"/>
  <c r="AD25" i="4"/>
  <c r="AC25" i="4"/>
  <c r="V25" i="4"/>
  <c r="U25" i="4"/>
  <c r="T25" i="4"/>
  <c r="L25" i="4"/>
  <c r="M25" i="4" s="1"/>
  <c r="K25" i="4"/>
  <c r="AO24" i="4"/>
  <c r="AN24" i="4"/>
  <c r="AM24" i="4"/>
  <c r="AL24" i="4"/>
  <c r="AD24" i="4"/>
  <c r="AC24" i="4"/>
  <c r="AE24" i="4" s="1"/>
  <c r="V24" i="4"/>
  <c r="U24" i="4"/>
  <c r="AP24" i="4" s="1"/>
  <c r="F33" i="4" s="1"/>
  <c r="T24" i="4"/>
  <c r="L24" i="4"/>
  <c r="K24" i="4"/>
  <c r="M24" i="4" s="1"/>
  <c r="AO22" i="4"/>
  <c r="AQ22" i="4" s="1"/>
  <c r="AN22" i="4"/>
  <c r="AM22" i="4"/>
  <c r="AL22" i="4"/>
  <c r="AD22" i="4"/>
  <c r="AE22" i="4" s="1"/>
  <c r="AC22" i="4"/>
  <c r="U22" i="4"/>
  <c r="T22" i="4"/>
  <c r="V22" i="4" s="1"/>
  <c r="M22" i="4"/>
  <c r="L22" i="4"/>
  <c r="AP22" i="4" s="1"/>
  <c r="K22" i="4"/>
  <c r="AN21" i="4"/>
  <c r="AM21" i="4"/>
  <c r="AL21" i="4"/>
  <c r="AD21" i="4"/>
  <c r="AC21" i="4"/>
  <c r="AE21" i="4" s="1"/>
  <c r="U21" i="4"/>
  <c r="T21" i="4"/>
  <c r="V21" i="4" s="1"/>
  <c r="M21" i="4"/>
  <c r="L21" i="4"/>
  <c r="AP21" i="4" s="1"/>
  <c r="K21" i="4"/>
  <c r="AO21" i="4" s="1"/>
  <c r="AM20" i="4"/>
  <c r="AL20" i="4"/>
  <c r="AE20" i="4"/>
  <c r="AD20" i="4"/>
  <c r="AC20" i="4"/>
  <c r="U20" i="4"/>
  <c r="T20" i="4"/>
  <c r="V20" i="4" s="1"/>
  <c r="M20" i="4"/>
  <c r="L20" i="4"/>
  <c r="AP20" i="4" s="1"/>
  <c r="K20" i="4"/>
  <c r="AO20" i="4" s="1"/>
  <c r="AM19" i="4"/>
  <c r="AL19" i="4"/>
  <c r="AN19" i="4" s="1"/>
  <c r="AE19" i="4"/>
  <c r="AD19" i="4"/>
  <c r="AC19" i="4"/>
  <c r="U19" i="4"/>
  <c r="V19" i="4" s="1"/>
  <c r="T19" i="4"/>
  <c r="L19" i="4"/>
  <c r="AP19" i="4" s="1"/>
  <c r="K19" i="4"/>
  <c r="AM17" i="4"/>
  <c r="AL17" i="4"/>
  <c r="AN17" i="4" s="1"/>
  <c r="AD17" i="4"/>
  <c r="AE17" i="4" s="1"/>
  <c r="AC17" i="4"/>
  <c r="U17" i="4"/>
  <c r="T17" i="4"/>
  <c r="V17" i="4" s="1"/>
  <c r="L17" i="4"/>
  <c r="K17" i="4"/>
  <c r="AM16" i="4"/>
  <c r="AN16" i="4" s="1"/>
  <c r="AL16" i="4"/>
  <c r="AD16" i="4"/>
  <c r="AP16" i="4" s="1"/>
  <c r="AC16" i="4"/>
  <c r="V16" i="4"/>
  <c r="U16" i="4"/>
  <c r="T16" i="4"/>
  <c r="L16" i="4"/>
  <c r="K16" i="4"/>
  <c r="AO16" i="4" s="1"/>
  <c r="AQ16" i="4" s="1"/>
  <c r="AP15" i="4"/>
  <c r="AM15" i="4"/>
  <c r="AL15" i="4"/>
  <c r="AN15" i="4" s="1"/>
  <c r="AD15" i="4"/>
  <c r="AC15" i="4"/>
  <c r="V15" i="4"/>
  <c r="U15" i="4"/>
  <c r="T15" i="4"/>
  <c r="L15" i="4"/>
  <c r="M15" i="4" s="1"/>
  <c r="K15" i="4"/>
  <c r="AO13" i="4"/>
  <c r="AN13" i="4"/>
  <c r="AM13" i="4"/>
  <c r="AL13" i="4"/>
  <c r="AD13" i="4"/>
  <c r="AC13" i="4"/>
  <c r="AE13" i="4" s="1"/>
  <c r="U13" i="4"/>
  <c r="V13" i="4" s="1"/>
  <c r="T13" i="4"/>
  <c r="L13" i="4"/>
  <c r="K13" i="4"/>
  <c r="M13" i="4" s="1"/>
  <c r="AO12" i="4"/>
  <c r="AN12" i="4"/>
  <c r="AM12" i="4"/>
  <c r="AL12" i="4"/>
  <c r="AD12" i="4"/>
  <c r="AC12" i="4"/>
  <c r="AE12" i="4" s="1"/>
  <c r="U12" i="4"/>
  <c r="U27" i="4" s="1"/>
  <c r="T12" i="4"/>
  <c r="V12" i="4" s="1"/>
  <c r="M12" i="4"/>
  <c r="L12" i="4"/>
  <c r="AP12" i="4" s="1"/>
  <c r="K12" i="4"/>
  <c r="AM11" i="4"/>
  <c r="AN11" i="4" s="1"/>
  <c r="AL11" i="4"/>
  <c r="AD11" i="4"/>
  <c r="AC11" i="4"/>
  <c r="AE11" i="4" s="1"/>
  <c r="U11" i="4"/>
  <c r="T11" i="4"/>
  <c r="V11" i="4" s="1"/>
  <c r="M11" i="4"/>
  <c r="L11" i="4"/>
  <c r="K11" i="4"/>
  <c r="AM10" i="4"/>
  <c r="AL10" i="4"/>
  <c r="AN10" i="4" s="1"/>
  <c r="AE10" i="4"/>
  <c r="AD10" i="4"/>
  <c r="AC10" i="4"/>
  <c r="U10" i="4"/>
  <c r="T10" i="4"/>
  <c r="V10" i="4" s="1"/>
  <c r="M10" i="4"/>
  <c r="L10" i="4"/>
  <c r="AP10" i="4" s="1"/>
  <c r="K10" i="4"/>
  <c r="AO10" i="4" s="1"/>
  <c r="AQ10" i="4" s="1"/>
  <c r="AM9" i="4"/>
  <c r="AM27" i="4" s="1"/>
  <c r="AL9" i="4"/>
  <c r="AE9" i="4"/>
  <c r="AD9" i="4"/>
  <c r="AC9" i="4"/>
  <c r="U9" i="4"/>
  <c r="V9" i="4" s="1"/>
  <c r="T9" i="4"/>
  <c r="L9" i="4"/>
  <c r="AP9" i="4" s="1"/>
  <c r="K9" i="4"/>
  <c r="AK24" i="3"/>
  <c r="AJ24" i="3"/>
  <c r="AI24" i="3"/>
  <c r="AH24" i="3"/>
  <c r="AG24" i="3"/>
  <c r="AF24" i="3"/>
  <c r="AB24" i="3"/>
  <c r="AA24" i="3"/>
  <c r="Z24" i="3"/>
  <c r="Y24" i="3"/>
  <c r="X24" i="3"/>
  <c r="W24" i="3"/>
  <c r="S24" i="3"/>
  <c r="R24" i="3"/>
  <c r="Q24" i="3"/>
  <c r="P24" i="3"/>
  <c r="O24" i="3"/>
  <c r="N24" i="3"/>
  <c r="J24" i="3"/>
  <c r="I24" i="3"/>
  <c r="H24" i="3"/>
  <c r="G24" i="3"/>
  <c r="F24" i="3"/>
  <c r="E24" i="3"/>
  <c r="AP23" i="3"/>
  <c r="AO23" i="3"/>
  <c r="AQ23" i="3" s="1"/>
  <c r="AM23" i="3"/>
  <c r="AL23" i="3"/>
  <c r="AN23" i="3" s="1"/>
  <c r="AD23" i="3"/>
  <c r="AC23" i="3"/>
  <c r="AE23" i="3" s="1"/>
  <c r="U23" i="3"/>
  <c r="V23" i="3" s="1"/>
  <c r="T23" i="3"/>
  <c r="M23" i="3"/>
  <c r="L23" i="3"/>
  <c r="K23" i="3"/>
  <c r="AM22" i="3"/>
  <c r="AL22" i="3"/>
  <c r="AN22" i="3" s="1"/>
  <c r="AE22" i="3"/>
  <c r="AD22" i="3"/>
  <c r="AC22" i="3"/>
  <c r="U22" i="3"/>
  <c r="T22" i="3"/>
  <c r="V22" i="3" s="1"/>
  <c r="L22" i="3"/>
  <c r="AP22" i="3" s="1"/>
  <c r="K22" i="3"/>
  <c r="AO22" i="3" s="1"/>
  <c r="AM21" i="3"/>
  <c r="AL21" i="3"/>
  <c r="AN21" i="3" s="1"/>
  <c r="AD21" i="3"/>
  <c r="AP21" i="3" s="1"/>
  <c r="F30" i="3" s="1"/>
  <c r="AC21" i="3"/>
  <c r="V21" i="3"/>
  <c r="U21" i="3"/>
  <c r="T21" i="3"/>
  <c r="L21" i="3"/>
  <c r="K21" i="3"/>
  <c r="AO21" i="3" s="1"/>
  <c r="AM19" i="3"/>
  <c r="AL19" i="3"/>
  <c r="AN19" i="3" s="1"/>
  <c r="AD19" i="3"/>
  <c r="AC19" i="3"/>
  <c r="AO19" i="3" s="1"/>
  <c r="U19" i="3"/>
  <c r="AP19" i="3" s="1"/>
  <c r="T19" i="3"/>
  <c r="L19" i="3"/>
  <c r="K19" i="3"/>
  <c r="M19" i="3" s="1"/>
  <c r="AP18" i="3"/>
  <c r="AN18" i="3"/>
  <c r="AM18" i="3"/>
  <c r="AL18" i="3"/>
  <c r="AD18" i="3"/>
  <c r="AC18" i="3"/>
  <c r="AE18" i="3" s="1"/>
  <c r="V18" i="3"/>
  <c r="U18" i="3"/>
  <c r="T18" i="3"/>
  <c r="AO18" i="3" s="1"/>
  <c r="AQ18" i="3" s="1"/>
  <c r="K18" i="3"/>
  <c r="M18" i="3" s="1"/>
  <c r="AN17" i="3"/>
  <c r="AM17" i="3"/>
  <c r="AL17" i="3"/>
  <c r="AD17" i="3"/>
  <c r="AC17" i="3"/>
  <c r="AE17" i="3" s="1"/>
  <c r="U17" i="3"/>
  <c r="T17" i="3"/>
  <c r="V17" i="3" s="1"/>
  <c r="L17" i="3"/>
  <c r="M17" i="3" s="1"/>
  <c r="K17" i="3"/>
  <c r="AM16" i="3"/>
  <c r="AN16" i="3" s="1"/>
  <c r="AL16" i="3"/>
  <c r="AE16" i="3"/>
  <c r="AD16" i="3"/>
  <c r="AC16" i="3"/>
  <c r="U16" i="3"/>
  <c r="T16" i="3"/>
  <c r="V16" i="3" s="1"/>
  <c r="M16" i="3"/>
  <c r="L16" i="3"/>
  <c r="AP16" i="3" s="1"/>
  <c r="K16" i="3"/>
  <c r="AO16" i="3" s="1"/>
  <c r="AM14" i="3"/>
  <c r="AL14" i="3"/>
  <c r="AN14" i="3" s="1"/>
  <c r="AD14" i="3"/>
  <c r="AE14" i="3" s="1"/>
  <c r="AC14" i="3"/>
  <c r="U14" i="3"/>
  <c r="T14" i="3"/>
  <c r="V14" i="3" s="1"/>
  <c r="L14" i="3"/>
  <c r="AP14" i="3" s="1"/>
  <c r="K14" i="3"/>
  <c r="AO14" i="3" s="1"/>
  <c r="AQ14" i="3" s="1"/>
  <c r="AM13" i="3"/>
  <c r="AL13" i="3"/>
  <c r="AN13" i="3" s="1"/>
  <c r="AE13" i="3"/>
  <c r="AD13" i="3"/>
  <c r="AC13" i="3"/>
  <c r="U13" i="3"/>
  <c r="T13" i="3"/>
  <c r="V13" i="3" s="1"/>
  <c r="L13" i="3"/>
  <c r="AP13" i="3" s="1"/>
  <c r="F28" i="3" s="1"/>
  <c r="K13" i="3"/>
  <c r="AO13" i="3" s="1"/>
  <c r="AM11" i="3"/>
  <c r="AL11" i="3"/>
  <c r="AN11" i="3" s="1"/>
  <c r="AD11" i="3"/>
  <c r="AP11" i="3" s="1"/>
  <c r="AC11" i="3"/>
  <c r="V11" i="3"/>
  <c r="U11" i="3"/>
  <c r="T11" i="3"/>
  <c r="L11" i="3"/>
  <c r="K11" i="3"/>
  <c r="AO11" i="3" s="1"/>
  <c r="AM10" i="3"/>
  <c r="AL10" i="3"/>
  <c r="AN10" i="3" s="1"/>
  <c r="AD10" i="3"/>
  <c r="AC10" i="3"/>
  <c r="AO10" i="3" s="1"/>
  <c r="U10" i="3"/>
  <c r="AP10" i="3" s="1"/>
  <c r="T10" i="3"/>
  <c r="L10" i="3"/>
  <c r="K10" i="3"/>
  <c r="M10" i="3" s="1"/>
  <c r="AP9" i="3"/>
  <c r="AN9" i="3"/>
  <c r="AM9" i="3"/>
  <c r="AL9" i="3"/>
  <c r="AD9" i="3"/>
  <c r="AC9" i="3"/>
  <c r="V9" i="3"/>
  <c r="U9" i="3"/>
  <c r="T9" i="3"/>
  <c r="AO9" i="3" s="1"/>
  <c r="L9" i="3"/>
  <c r="L24" i="3" s="1"/>
  <c r="K9" i="3"/>
  <c r="M9" i="3" s="1"/>
  <c r="D30" i="2"/>
  <c r="E28" i="2"/>
  <c r="E25" i="2"/>
  <c r="D25" i="2"/>
  <c r="F25" i="2" s="1"/>
  <c r="D22" i="2"/>
  <c r="E20" i="2"/>
  <c r="F20" i="2" s="1"/>
  <c r="D20" i="2"/>
  <c r="AJ15" i="2"/>
  <c r="E30" i="2" s="1"/>
  <c r="AI15" i="2"/>
  <c r="AH15" i="2"/>
  <c r="E29" i="2" s="1"/>
  <c r="AG15" i="2"/>
  <c r="D29" i="2" s="1"/>
  <c r="F29" i="2" s="1"/>
  <c r="AF15" i="2"/>
  <c r="AE15" i="2"/>
  <c r="D28" i="2" s="1"/>
  <c r="F28" i="2" s="1"/>
  <c r="AA15" i="2"/>
  <c r="E27" i="2" s="1"/>
  <c r="Z15" i="2"/>
  <c r="D27" i="2" s="1"/>
  <c r="F27" i="2" s="1"/>
  <c r="Y15" i="2"/>
  <c r="E26" i="2" s="1"/>
  <c r="X15" i="2"/>
  <c r="D26" i="2" s="1"/>
  <c r="W15" i="2"/>
  <c r="V15" i="2"/>
  <c r="R15" i="2"/>
  <c r="E24" i="2" s="1"/>
  <c r="Q15" i="2"/>
  <c r="D24" i="2" s="1"/>
  <c r="P15" i="2"/>
  <c r="E23" i="2" s="1"/>
  <c r="O15" i="2"/>
  <c r="D23" i="2" s="1"/>
  <c r="F23" i="2" s="1"/>
  <c r="N15" i="2"/>
  <c r="E22" i="2" s="1"/>
  <c r="M15" i="2"/>
  <c r="I15" i="2"/>
  <c r="E21" i="2" s="1"/>
  <c r="H15" i="2"/>
  <c r="D21" i="2" s="1"/>
  <c r="F21" i="2" s="1"/>
  <c r="G15" i="2"/>
  <c r="F15" i="2"/>
  <c r="E15" i="2"/>
  <c r="E19" i="2" s="1"/>
  <c r="D15" i="2"/>
  <c r="D19" i="2" s="1"/>
  <c r="AN14" i="2"/>
  <c r="AL14" i="2"/>
  <c r="AM14" i="2" s="1"/>
  <c r="AK14" i="2"/>
  <c r="AC14" i="2"/>
  <c r="AB14" i="2"/>
  <c r="AD14" i="2" s="1"/>
  <c r="T14" i="2"/>
  <c r="U14" i="2" s="1"/>
  <c r="S14" i="2"/>
  <c r="L14" i="2"/>
  <c r="K14" i="2"/>
  <c r="J14" i="2"/>
  <c r="AM13" i="2"/>
  <c r="AL13" i="2"/>
  <c r="AK13" i="2"/>
  <c r="AC13" i="2"/>
  <c r="AB13" i="2"/>
  <c r="AD13" i="2" s="1"/>
  <c r="T13" i="2"/>
  <c r="S13" i="2"/>
  <c r="AN13" i="2" s="1"/>
  <c r="K13" i="2"/>
  <c r="L13" i="2" s="1"/>
  <c r="J13" i="2"/>
  <c r="AL12" i="2"/>
  <c r="AM12" i="2" s="1"/>
  <c r="AK12" i="2"/>
  <c r="AD12" i="2"/>
  <c r="AC12" i="2"/>
  <c r="AB12" i="2"/>
  <c r="T12" i="2"/>
  <c r="S12" i="2"/>
  <c r="U12" i="2" s="1"/>
  <c r="L12" i="2"/>
  <c r="K12" i="2"/>
  <c r="AO12" i="2" s="1"/>
  <c r="J12" i="2"/>
  <c r="AN12" i="2" s="1"/>
  <c r="AP12" i="2" s="1"/>
  <c r="AL11" i="2"/>
  <c r="AK11" i="2"/>
  <c r="AM11" i="2" s="1"/>
  <c r="AC11" i="2"/>
  <c r="AD11" i="2" s="1"/>
  <c r="AB11" i="2"/>
  <c r="T11" i="2"/>
  <c r="S11" i="2"/>
  <c r="U11" i="2" s="1"/>
  <c r="K11" i="2"/>
  <c r="L11" i="2" s="1"/>
  <c r="J11" i="2"/>
  <c r="AN11" i="2" s="1"/>
  <c r="AL10" i="2"/>
  <c r="AK10" i="2"/>
  <c r="AM10" i="2" s="1"/>
  <c r="AD10" i="2"/>
  <c r="AC10" i="2"/>
  <c r="AB10" i="2"/>
  <c r="T10" i="2"/>
  <c r="S10" i="2"/>
  <c r="U10" i="2" s="1"/>
  <c r="K10" i="2"/>
  <c r="AO10" i="2" s="1"/>
  <c r="J10" i="2"/>
  <c r="AN10" i="2" s="1"/>
  <c r="AP10" i="2" s="1"/>
  <c r="AL9" i="2"/>
  <c r="AK9" i="2"/>
  <c r="AM9" i="2" s="1"/>
  <c r="AC9" i="2"/>
  <c r="AO9" i="2" s="1"/>
  <c r="AB9" i="2"/>
  <c r="U9" i="2"/>
  <c r="T9" i="2"/>
  <c r="S9" i="2"/>
  <c r="K9" i="2"/>
  <c r="J9" i="2"/>
  <c r="AN9" i="2" s="1"/>
  <c r="AL8" i="2"/>
  <c r="AL15" i="2" s="1"/>
  <c r="AK8" i="2"/>
  <c r="AM8" i="2" s="1"/>
  <c r="AM15" i="2" s="1"/>
  <c r="AC8" i="2"/>
  <c r="AC15" i="2" s="1"/>
  <c r="AB8" i="2"/>
  <c r="AN8" i="2" s="1"/>
  <c r="T8" i="2"/>
  <c r="AO8" i="2" s="1"/>
  <c r="S8" i="2"/>
  <c r="S15" i="2" s="1"/>
  <c r="K8" i="2"/>
  <c r="K15" i="2" s="1"/>
  <c r="J8" i="2"/>
  <c r="L8" i="2" s="1"/>
  <c r="E31" i="2" l="1"/>
  <c r="H24" i="2"/>
  <c r="H27" i="2"/>
  <c r="H19" i="2"/>
  <c r="H30" i="2"/>
  <c r="H22" i="2"/>
  <c r="H29" i="2"/>
  <c r="H25" i="2"/>
  <c r="H28" i="2"/>
  <c r="H20" i="2"/>
  <c r="H23" i="2"/>
  <c r="H26" i="2"/>
  <c r="H21" i="2"/>
  <c r="AO24" i="3"/>
  <c r="AQ24" i="3" s="1"/>
  <c r="E27" i="3"/>
  <c r="AQ9" i="3"/>
  <c r="E30" i="3"/>
  <c r="G30" i="3" s="1"/>
  <c r="AQ21" i="3"/>
  <c r="G29" i="2"/>
  <c r="G21" i="2"/>
  <c r="G26" i="2"/>
  <c r="D31" i="2"/>
  <c r="G24" i="2"/>
  <c r="G27" i="2"/>
  <c r="G19" i="2"/>
  <c r="G30" i="2"/>
  <c r="G22" i="2"/>
  <c r="F19" i="2"/>
  <c r="G25" i="2"/>
  <c r="G28" i="2"/>
  <c r="G20" i="2"/>
  <c r="G23" i="2"/>
  <c r="F24" i="2"/>
  <c r="F22" i="2"/>
  <c r="AQ11" i="3"/>
  <c r="AQ22" i="3"/>
  <c r="AP9" i="2"/>
  <c r="AQ16" i="3"/>
  <c r="AN15" i="2"/>
  <c r="AP8" i="2"/>
  <c r="AQ19" i="3"/>
  <c r="AP14" i="2"/>
  <c r="E28" i="3"/>
  <c r="G28" i="3" s="1"/>
  <c r="AQ13" i="3"/>
  <c r="F26" i="2"/>
  <c r="F30" i="2"/>
  <c r="AQ10" i="3"/>
  <c r="E31" i="5"/>
  <c r="AE36" i="7"/>
  <c r="AO20" i="6"/>
  <c r="AQ20" i="6" s="1"/>
  <c r="M20" i="6"/>
  <c r="AO20" i="7"/>
  <c r="M20" i="7"/>
  <c r="AO14" i="2"/>
  <c r="AC24" i="3"/>
  <c r="AE11" i="3"/>
  <c r="M14" i="3"/>
  <c r="AO17" i="3"/>
  <c r="AE21" i="3"/>
  <c r="K24" i="3"/>
  <c r="T24" i="3"/>
  <c r="AN9" i="4"/>
  <c r="AL27" i="4"/>
  <c r="AQ12" i="4"/>
  <c r="AP10" i="5"/>
  <c r="V13" i="5"/>
  <c r="L27" i="5"/>
  <c r="T27" i="5"/>
  <c r="AC27" i="5"/>
  <c r="AP11" i="6"/>
  <c r="AO29" i="6"/>
  <c r="M29" i="6"/>
  <c r="AP11" i="7"/>
  <c r="E40" i="7"/>
  <c r="AN21" i="7"/>
  <c r="AQ25" i="7"/>
  <c r="AO28" i="7"/>
  <c r="AQ28" i="7" s="1"/>
  <c r="M28" i="7"/>
  <c r="V33" i="7"/>
  <c r="AO33" i="7"/>
  <c r="AQ33" i="7" s="1"/>
  <c r="U36" i="7"/>
  <c r="AC36" i="7"/>
  <c r="AL36" i="7"/>
  <c r="J15" i="2"/>
  <c r="AD8" i="2"/>
  <c r="L10" i="2"/>
  <c r="U13" i="2"/>
  <c r="AO13" i="2"/>
  <c r="AP13" i="2" s="1"/>
  <c r="AD24" i="3"/>
  <c r="AE10" i="3"/>
  <c r="M13" i="3"/>
  <c r="AP17" i="3"/>
  <c r="F29" i="3" s="1"/>
  <c r="AE19" i="3"/>
  <c r="M22" i="3"/>
  <c r="K27" i="4"/>
  <c r="AO9" i="4"/>
  <c r="M9" i="4"/>
  <c r="M27" i="4" s="1"/>
  <c r="AO25" i="5"/>
  <c r="AQ25" i="5" s="1"/>
  <c r="AE25" i="5"/>
  <c r="M11" i="6"/>
  <c r="AP13" i="6"/>
  <c r="F34" i="6" s="1"/>
  <c r="F35" i="6"/>
  <c r="AO21" i="6"/>
  <c r="AQ21" i="6" s="1"/>
  <c r="AP25" i="6"/>
  <c r="AQ25" i="6" s="1"/>
  <c r="AP29" i="6"/>
  <c r="F37" i="6" s="1"/>
  <c r="M11" i="7"/>
  <c r="AP12" i="7"/>
  <c r="AQ21" i="7"/>
  <c r="AO29" i="7"/>
  <c r="AQ29" i="7" s="1"/>
  <c r="M29" i="7"/>
  <c r="AD36" i="7"/>
  <c r="V24" i="3"/>
  <c r="AQ11" i="7"/>
  <c r="V32" i="7"/>
  <c r="AO32" i="7"/>
  <c r="AQ32" i="7" s="1"/>
  <c r="L9" i="2"/>
  <c r="L15" i="2" s="1"/>
  <c r="T15" i="2"/>
  <c r="AB15" i="2"/>
  <c r="AE9" i="3"/>
  <c r="M11" i="3"/>
  <c r="M24" i="3" s="1"/>
  <c r="M21" i="3"/>
  <c r="AO15" i="4"/>
  <c r="AE15" i="4"/>
  <c r="AO17" i="4"/>
  <c r="AQ17" i="4" s="1"/>
  <c r="M17" i="4"/>
  <c r="AO26" i="4"/>
  <c r="AQ26" i="4" s="1"/>
  <c r="L27" i="4"/>
  <c r="T27" i="4"/>
  <c r="AC27" i="4"/>
  <c r="AP12" i="5"/>
  <c r="F31" i="5" s="1"/>
  <c r="AO21" i="5"/>
  <c r="E34" i="5"/>
  <c r="G34" i="5" s="1"/>
  <c r="AQ24" i="5"/>
  <c r="AO27" i="6"/>
  <c r="F40" i="7"/>
  <c r="AP21" i="7"/>
  <c r="F41" i="7" s="1"/>
  <c r="AO26" i="7"/>
  <c r="AQ26" i="7" s="1"/>
  <c r="AN31" i="7"/>
  <c r="E40" i="9"/>
  <c r="G40" i="9" s="1"/>
  <c r="AP24" i="3"/>
  <c r="F27" i="3"/>
  <c r="AO11" i="2"/>
  <c r="AO15" i="2" s="1"/>
  <c r="AK15" i="2"/>
  <c r="AL24" i="3"/>
  <c r="AP17" i="4"/>
  <c r="AO19" i="4"/>
  <c r="M19" i="4"/>
  <c r="AD27" i="5"/>
  <c r="AO16" i="5"/>
  <c r="AQ16" i="5" s="1"/>
  <c r="AP21" i="5"/>
  <c r="F33" i="5" s="1"/>
  <c r="V24" i="5"/>
  <c r="V13" i="6"/>
  <c r="AO13" i="6"/>
  <c r="M21" i="6"/>
  <c r="AP23" i="6"/>
  <c r="V12" i="7"/>
  <c r="AO12" i="7"/>
  <c r="AQ12" i="7" s="1"/>
  <c r="AQ16" i="7"/>
  <c r="M21" i="7"/>
  <c r="AP22" i="7"/>
  <c r="AQ31" i="7"/>
  <c r="E42" i="7"/>
  <c r="G42" i="7" s="1"/>
  <c r="AQ10" i="5"/>
  <c r="AQ11" i="6"/>
  <c r="AD9" i="2"/>
  <c r="AM24" i="3"/>
  <c r="V27" i="4"/>
  <c r="AO11" i="4"/>
  <c r="AQ11" i="4" s="1"/>
  <c r="AP13" i="4"/>
  <c r="AQ13" i="4" s="1"/>
  <c r="F32" i="4"/>
  <c r="AQ20" i="4"/>
  <c r="AN20" i="4"/>
  <c r="AO25" i="4"/>
  <c r="AQ25" i="4" s="1"/>
  <c r="AE25" i="4"/>
  <c r="V12" i="5"/>
  <c r="V27" i="5" s="1"/>
  <c r="AE26" i="5"/>
  <c r="K30" i="6"/>
  <c r="AO9" i="6"/>
  <c r="M9" i="6"/>
  <c r="AM30" i="6"/>
  <c r="AO14" i="6"/>
  <c r="AQ14" i="6" s="1"/>
  <c r="AO18" i="6"/>
  <c r="K36" i="7"/>
  <c r="AO9" i="7"/>
  <c r="M9" i="7"/>
  <c r="AM36" i="7"/>
  <c r="V13" i="7"/>
  <c r="AO13" i="7"/>
  <c r="AQ13" i="7" s="1"/>
  <c r="AO17" i="7"/>
  <c r="AP35" i="7"/>
  <c r="AQ35" i="7" s="1"/>
  <c r="AN24" i="3"/>
  <c r="AP11" i="4"/>
  <c r="AP27" i="4" s="1"/>
  <c r="AE16" i="4"/>
  <c r="AE27" i="4" s="1"/>
  <c r="AQ24" i="4"/>
  <c r="AL27" i="5"/>
  <c r="AN9" i="5"/>
  <c r="AN27" i="5" s="1"/>
  <c r="AO15" i="5"/>
  <c r="AE15" i="5"/>
  <c r="AE27" i="5" s="1"/>
  <c r="AO18" i="5"/>
  <c r="M18" i="5"/>
  <c r="AP22" i="5"/>
  <c r="L30" i="6"/>
  <c r="AO10" i="6"/>
  <c r="AQ10" i="6" s="1"/>
  <c r="M10" i="6"/>
  <c r="V23" i="6"/>
  <c r="AO23" i="6"/>
  <c r="L36" i="7"/>
  <c r="AO10" i="7"/>
  <c r="AQ10" i="7" s="1"/>
  <c r="M10" i="7"/>
  <c r="AP17" i="7"/>
  <c r="V22" i="7"/>
  <c r="AO22" i="7"/>
  <c r="U8" i="2"/>
  <c r="U15" i="2" s="1"/>
  <c r="U24" i="3"/>
  <c r="V10" i="3"/>
  <c r="V19" i="3"/>
  <c r="AD27" i="4"/>
  <c r="F31" i="4"/>
  <c r="AQ21" i="4"/>
  <c r="AM27" i="5"/>
  <c r="AQ13" i="5"/>
  <c r="AO19" i="5"/>
  <c r="AQ19" i="5" s="1"/>
  <c r="M19" i="5"/>
  <c r="AO22" i="5"/>
  <c r="AQ22" i="5" s="1"/>
  <c r="AN11" i="6"/>
  <c r="AN30" i="6" s="1"/>
  <c r="AQ15" i="6"/>
  <c r="AO16" i="6"/>
  <c r="AQ16" i="6" s="1"/>
  <c r="AE16" i="6"/>
  <c r="AE30" i="6" s="1"/>
  <c r="AO19" i="6"/>
  <c r="AQ19" i="6" s="1"/>
  <c r="M19" i="6"/>
  <c r="V24" i="6"/>
  <c r="AO24" i="6"/>
  <c r="AQ24" i="6" s="1"/>
  <c r="U30" i="6"/>
  <c r="AC30" i="6"/>
  <c r="AL30" i="6"/>
  <c r="T36" i="7"/>
  <c r="AN11" i="7"/>
  <c r="AN36" i="7" s="1"/>
  <c r="AQ14" i="7"/>
  <c r="AO18" i="7"/>
  <c r="AQ18" i="7" s="1"/>
  <c r="M18" i="7"/>
  <c r="V23" i="7"/>
  <c r="AO23" i="7"/>
  <c r="AQ23" i="7" s="1"/>
  <c r="AO27" i="7"/>
  <c r="AQ27" i="7" s="1"/>
  <c r="G29" i="8"/>
  <c r="AO9" i="5"/>
  <c r="M16" i="4"/>
  <c r="M26" i="4"/>
  <c r="M16" i="5"/>
  <c r="M27" i="5" s="1"/>
  <c r="M26" i="5"/>
  <c r="M18" i="6"/>
  <c r="M28" i="6"/>
  <c r="M17" i="7"/>
  <c r="M27" i="7"/>
  <c r="M35" i="7"/>
  <c r="E37" i="8"/>
  <c r="G37" i="8" s="1"/>
  <c r="V9" i="6"/>
  <c r="AP9" i="6"/>
  <c r="V9" i="7"/>
  <c r="AP9" i="7"/>
  <c r="M34" i="7"/>
  <c r="AQ23" i="6" l="1"/>
  <c r="E36" i="6"/>
  <c r="AP36" i="7"/>
  <c r="F39" i="7"/>
  <c r="AP27" i="5"/>
  <c r="AQ22" i="7"/>
  <c r="AQ17" i="7"/>
  <c r="E35" i="6"/>
  <c r="G35" i="6" s="1"/>
  <c r="AQ18" i="6"/>
  <c r="E43" i="7"/>
  <c r="F36" i="6"/>
  <c r="F31" i="3"/>
  <c r="AE24" i="3"/>
  <c r="AQ17" i="3"/>
  <c r="AP11" i="2"/>
  <c r="AP15" i="2" s="1"/>
  <c r="AQ29" i="6"/>
  <c r="E33" i="4"/>
  <c r="G33" i="4" s="1"/>
  <c r="F31" i="2"/>
  <c r="H31" i="2"/>
  <c r="AD15" i="2"/>
  <c r="G31" i="5"/>
  <c r="AQ20" i="7"/>
  <c r="E41" i="7"/>
  <c r="G41" i="7" s="1"/>
  <c r="F43" i="7"/>
  <c r="V36" i="7"/>
  <c r="AQ13" i="6"/>
  <c r="E34" i="6"/>
  <c r="G34" i="6" s="1"/>
  <c r="E32" i="4"/>
  <c r="G32" i="4" s="1"/>
  <c r="AQ19" i="4"/>
  <c r="M30" i="6"/>
  <c r="F35" i="5"/>
  <c r="AQ12" i="5"/>
  <c r="E29" i="3"/>
  <c r="G29" i="3" s="1"/>
  <c r="G40" i="7"/>
  <c r="E32" i="5"/>
  <c r="G32" i="5" s="1"/>
  <c r="AQ15" i="5"/>
  <c r="E37" i="6"/>
  <c r="G37" i="6" s="1"/>
  <c r="AQ27" i="6"/>
  <c r="AP30" i="6"/>
  <c r="F33" i="6"/>
  <c r="F38" i="6" s="1"/>
  <c r="M36" i="7"/>
  <c r="E33" i="6"/>
  <c r="AQ9" i="6"/>
  <c r="AO30" i="6"/>
  <c r="F30" i="4"/>
  <c r="F34" i="4" s="1"/>
  <c r="E31" i="4"/>
  <c r="G31" i="4" s="1"/>
  <c r="AQ15" i="4"/>
  <c r="AN27" i="4"/>
  <c r="G31" i="2"/>
  <c r="AO27" i="5"/>
  <c r="AQ9" i="5"/>
  <c r="E30" i="5"/>
  <c r="E31" i="3"/>
  <c r="G31" i="3" s="1"/>
  <c r="G27" i="3"/>
  <c r="AQ9" i="4"/>
  <c r="AQ27" i="4" s="1"/>
  <c r="AO27" i="4"/>
  <c r="E30" i="4"/>
  <c r="AQ21" i="5"/>
  <c r="V30" i="6"/>
  <c r="AQ18" i="5"/>
  <c r="E33" i="5"/>
  <c r="G33" i="5" s="1"/>
  <c r="E39" i="7"/>
  <c r="AQ9" i="7"/>
  <c r="AQ36" i="7" s="1"/>
  <c r="AO36" i="7"/>
  <c r="E44" i="7" l="1"/>
  <c r="G39" i="7"/>
  <c r="F44" i="7"/>
  <c r="AQ30" i="6"/>
  <c r="E35" i="5"/>
  <c r="G35" i="5" s="1"/>
  <c r="G30" i="5"/>
  <c r="E38" i="6"/>
  <c r="G38" i="6" s="1"/>
  <c r="G33" i="6"/>
  <c r="G43" i="7"/>
  <c r="G36" i="6"/>
  <c r="AQ27" i="5"/>
  <c r="E34" i="4"/>
  <c r="G34" i="4" s="1"/>
  <c r="G30" i="4"/>
  <c r="G44" i="7" l="1"/>
</calcChain>
</file>

<file path=xl/sharedStrings.xml><?xml version="1.0" encoding="utf-8"?>
<sst xmlns="http://schemas.openxmlformats.org/spreadsheetml/2006/main" count="616" uniqueCount="210">
  <si>
    <t xml:space="preserve"> </t>
  </si>
  <si>
    <t>Cara Menggunakan Template Ini</t>
  </si>
  <si>
    <t xml:space="preserve">Template ini akan A) membantu Anda merencanakan anggaran program pemasaran Anda
dan B) membiarkan Anda membandingkan anggaran yang diproyeksikan dengan apa yang sebenarnya Anda habiskan.
Cukup isi proyeksi pengeluaran Anda untuk jangka waktu dan kategori yang sesuai (mis. Iklan Berbayar, Konten, Acara, dll.) dan totalnya akan dihitung secara otomatis. Anda kemudian dapat memperbarui pengeluaran aktual untuk melihat seberapa baik Anda berpegang pada anggaran Anda dan dengan mudah mengidentifikasi berapa banyak yang tersisa untuk dibelanjakan setiap kuartal.
Total yang diproyeksikan dan aktual Anda akan secara otomatis terisi ke area yang ditentukan, serta grafik.
Di sini Anda akan menemukan template untuk membantu Anda dengan:
</t>
  </si>
  <si>
    <t>8 Marketing Budget Templates</t>
  </si>
  <si>
    <t>untuk Mengelola Pengeluaran Anda</t>
  </si>
  <si>
    <t>1. MASTER Marketing Budget</t>
  </si>
  <si>
    <t>2. Product Marketing Budget</t>
  </si>
  <si>
    <t>3. Content Budget</t>
  </si>
  <si>
    <t>4. Paid Advertising Budget</t>
  </si>
  <si>
    <t>5. Public Relations Budget</t>
  </si>
  <si>
    <t>6. Branding &amp; Creative Budget</t>
  </si>
  <si>
    <t>7. Website Redesign Budget</t>
  </si>
  <si>
    <t>8. Event Budget</t>
  </si>
  <si>
    <t>Happy budgeting!</t>
  </si>
  <si>
    <t>ANGGARAN MARKETING MASTER</t>
  </si>
  <si>
    <t>JAN-YY</t>
  </si>
  <si>
    <t>FEB-YY</t>
  </si>
  <si>
    <t>MAR-YY</t>
  </si>
  <si>
    <t>Q1</t>
  </si>
  <si>
    <t>APR-YY</t>
  </si>
  <si>
    <t>MEI-YY</t>
  </si>
  <si>
    <t>JUNI-YY</t>
  </si>
  <si>
    <t>Q2</t>
  </si>
  <si>
    <t>JULI-YY</t>
  </si>
  <si>
    <t>AGU-YY</t>
  </si>
  <si>
    <t>SEPT-YY</t>
  </si>
  <si>
    <t>Q3</t>
  </si>
  <si>
    <t>OKT-YY</t>
  </si>
  <si>
    <t>NOV-YY</t>
  </si>
  <si>
    <t>DES-YY</t>
  </si>
  <si>
    <t>Q4</t>
  </si>
  <si>
    <t>YYYY TOTAL</t>
  </si>
  <si>
    <t>ANGGARAN</t>
  </si>
  <si>
    <t>AKTUAL</t>
  </si>
  <si>
    <t>ANGGARAN TERSISA</t>
  </si>
  <si>
    <t>Budget Marketing Produk</t>
  </si>
  <si>
    <t>Budget Konten</t>
  </si>
  <si>
    <t>Budget Iklan Berbayar</t>
  </si>
  <si>
    <t>Budget Hubungan Masyarakat</t>
  </si>
  <si>
    <t>Budget Branding dan Kreatif</t>
  </si>
  <si>
    <t>Budget Acara</t>
  </si>
  <si>
    <t>Lainnya</t>
  </si>
  <si>
    <t>TOTAL</t>
  </si>
  <si>
    <t>RINGKASAN PENGELUARAN</t>
  </si>
  <si>
    <t>JUMLAH TERSISA</t>
  </si>
  <si>
    <t>KUMULATIF ANGGARAN</t>
  </si>
  <si>
    <t>PENGELUARAN KUMULATIF</t>
  </si>
  <si>
    <t>ANGGARAN MARKETING PRODUK</t>
  </si>
  <si>
    <t>(INSERT YEAR HERE) TOTAL</t>
  </si>
  <si>
    <t>PRODUCT / MARKET FIT</t>
  </si>
  <si>
    <t>Riset Berbayar</t>
  </si>
  <si>
    <t>Analisis Kompetitif</t>
  </si>
  <si>
    <t>Focus Group Discussions</t>
  </si>
  <si>
    <t>UJI PRODUK</t>
  </si>
  <si>
    <t>Sesi Uji Pengguna</t>
  </si>
  <si>
    <t>Uji Software</t>
  </si>
  <si>
    <t>PELUNCURAN PRODUK</t>
  </si>
  <si>
    <t>Manajemen Produk/Rilis Software</t>
  </si>
  <si>
    <t>Acara Launch Aplikasi</t>
  </si>
  <si>
    <t>Iklan Berbayar</t>
  </si>
  <si>
    <t>Hubungan Masyarakat</t>
  </si>
  <si>
    <t>CONTENT</t>
  </si>
  <si>
    <t>White papers</t>
  </si>
  <si>
    <t>Studi kasus</t>
  </si>
  <si>
    <t>Video demo produk</t>
  </si>
  <si>
    <t>RINGKASAN SEJAK AWAL TAHUN</t>
  </si>
  <si>
    <t>PRODUCT/MARKET FIT</t>
  </si>
  <si>
    <t xml:space="preserve">UJI PRODUK	</t>
  </si>
  <si>
    <t>ANGGARAN KONTEN</t>
  </si>
  <si>
    <t>PERANGKAT LUNAK</t>
  </si>
  <si>
    <t>Desain(e.g. InDesign)</t>
  </si>
  <si>
    <t>Manajemen proyek (e.g. Basecamp)</t>
  </si>
  <si>
    <t>Analitik (e.g. TrackMaven)</t>
  </si>
  <si>
    <t>Otomatisasi pemasaran(e.g. HubSpot)</t>
  </si>
  <si>
    <t>Webinar hosting (e.g. WebEx)</t>
  </si>
  <si>
    <t>ALAT PENERBITAN</t>
  </si>
  <si>
    <t>Platform untuk blogging(e.g. HubSpot)</t>
  </si>
  <si>
    <t>Landing page/sistem CTA (e.g. HubSpot)</t>
  </si>
  <si>
    <t>Platform konten premium(e.g. Vimeo Pro)</t>
  </si>
  <si>
    <t>LAYANAN</t>
  </si>
  <si>
    <t>Penyimpanan/berbagi file (e.g. Box)</t>
  </si>
  <si>
    <t>Biaya berlangganan fotografi(e.g. ThinkStock)</t>
  </si>
  <si>
    <t>Konten Berlisensi/konten tersindikasi(e.g. NewsCred)</t>
  </si>
  <si>
    <t>Kurasi konten(e.g. Curata)</t>
  </si>
  <si>
    <t>PEKERJA LEPAS</t>
  </si>
  <si>
    <t>Penulis</t>
  </si>
  <si>
    <t>Desainer</t>
  </si>
  <si>
    <t>Pengembang</t>
  </si>
  <si>
    <t>YEAR-TO-DATE SUMMARY</t>
  </si>
  <si>
    <t>ANGGARAN IKLAN BERBAYAR</t>
  </si>
  <si>
    <t>PENCARIAN</t>
  </si>
  <si>
    <t>CPC Biaya Per Klik</t>
  </si>
  <si>
    <t>CPM Biaya Per Seribu Impresi</t>
  </si>
  <si>
    <t>DISPLAY &amp; RETARGETING</t>
  </si>
  <si>
    <t>AFILIASI</t>
  </si>
  <si>
    <t>MEDIA SOSIAL</t>
  </si>
  <si>
    <t xml:space="preserve">Iklan Facebook </t>
  </si>
  <si>
    <t>Iklan Twitter</t>
  </si>
  <si>
    <t xml:space="preserve">Iklan LinkedIn </t>
  </si>
  <si>
    <t>Pinterest Promoted Pins</t>
  </si>
  <si>
    <t xml:space="preserve">Iklan Instagram </t>
  </si>
  <si>
    <t>PENCARIAN PROSPEK</t>
  </si>
  <si>
    <t>Platform Penelusuran Konten(e.g. Outbrain)</t>
  </si>
  <si>
    <t>Pengiriman email khusus- fixed cost</t>
  </si>
  <si>
    <t>Pengiriman email khusus- CPL (Biaya per lead)</t>
  </si>
  <si>
    <t>SEARCH</t>
  </si>
  <si>
    <t>AFFILIATE</t>
  </si>
  <si>
    <t>SOCIAL</t>
  </si>
  <si>
    <t>LEAD GENERATION</t>
  </si>
  <si>
    <t>ANGGARAN HUBUNGAN MASYARAKAT</t>
  </si>
  <si>
    <t>BIAYA BERLANGGANAN</t>
  </si>
  <si>
    <t>Layanan Jumpa Perse.g. PRWeb)</t>
  </si>
  <si>
    <t>Layanan penelitian/kontak(e.g. Cision)</t>
  </si>
  <si>
    <t>Perangkat lunnk pemantau reputasi(e.g. Vendasta)</t>
  </si>
  <si>
    <t>KONTEN</t>
  </si>
  <si>
    <t>Rilis Pers</t>
  </si>
  <si>
    <t>Buletin</t>
  </si>
  <si>
    <t>Laporan</t>
  </si>
  <si>
    <t>Posting tamu</t>
  </si>
  <si>
    <t>ACARA / PAMERAN DAGANG</t>
  </si>
  <si>
    <t>Biaya masuk</t>
  </si>
  <si>
    <t>Transportasi</t>
  </si>
  <si>
    <t>Akomodasi</t>
  </si>
  <si>
    <t>Konsumsi</t>
  </si>
  <si>
    <t>RELASI MEDIA/ACARA PENGHARGAAN</t>
  </si>
  <si>
    <t>Makan Malam</t>
  </si>
  <si>
    <t>Hadiah</t>
  </si>
  <si>
    <t>Biaya masuk acara penghargaan</t>
  </si>
  <si>
    <t>BIAYA AGENSI</t>
  </si>
  <si>
    <t>Biaya Retainer</t>
  </si>
  <si>
    <t>Pengeluaran</t>
  </si>
  <si>
    <t>Biaya lain-lain</t>
  </si>
  <si>
    <t>CONTENTKONTEN</t>
  </si>
  <si>
    <t>ACARA/PAMERAN DAGANG</t>
  </si>
  <si>
    <t>RELASI MEDIA / ACARA PENGHARGAAN</t>
  </si>
  <si>
    <t>ANGGARAN BRANDING DAN KREATIF</t>
  </si>
  <si>
    <t>Design/photo editing (e.g. Photoshop, Illustrator, InDesign)</t>
  </si>
  <si>
    <t>Video editing (e.g. Premiere)</t>
  </si>
  <si>
    <t>Animation (e.g. After Effects)</t>
  </si>
  <si>
    <t>Wireframing (e.g. Balsamiq)</t>
  </si>
  <si>
    <t>Prototyping (e.g. InVision)</t>
  </si>
  <si>
    <t>Project management (e.g. Basecamp)</t>
  </si>
  <si>
    <t>HARDWARE</t>
  </si>
  <si>
    <t>Graphics-optimized computer (e.g. MacBook Pro)</t>
  </si>
  <si>
    <t>HD display</t>
  </si>
  <si>
    <t>SD cards/external hard drives</t>
  </si>
  <si>
    <t>SEWA / BELI PERALATAN</t>
  </si>
  <si>
    <t>Camera</t>
  </si>
  <si>
    <t>Tripod</t>
  </si>
  <si>
    <t>Microphone</t>
  </si>
  <si>
    <t>Lighting</t>
  </si>
  <si>
    <t>OUTSOURCING</t>
  </si>
  <si>
    <t>Freelance design work</t>
  </si>
  <si>
    <t>Freelance video work</t>
  </si>
  <si>
    <t>Crowdsourced work (e.g. 99designs)</t>
  </si>
  <si>
    <t>Voiceover work</t>
  </si>
  <si>
    <t>Actors</t>
  </si>
  <si>
    <t>BIAYA LAIN-LAIN</t>
  </si>
  <si>
    <t>Premium fonts/typefaces</t>
  </si>
  <si>
    <t>Printing (e.g. posters, business cards)</t>
  </si>
  <si>
    <t>Travel (e.g. for on-site video shoots)</t>
  </si>
  <si>
    <t>Supplies (e.g. sketchpads, stencils)</t>
  </si>
  <si>
    <t>Swag</t>
  </si>
  <si>
    <t xml:space="preserve">RINGKASAN ANGGARAN SEJAK AWAL TAHUN </t>
  </si>
  <si>
    <t>ANGGARAN DESAIN ULANG WEBSITE</t>
  </si>
  <si>
    <t>BIAYA DASAR</t>
  </si>
  <si>
    <t>Nama Domain</t>
  </si>
  <si>
    <t>Hosting</t>
  </si>
  <si>
    <t>Sistem Manajemen Konten</t>
  </si>
  <si>
    <t>Blog</t>
  </si>
  <si>
    <t>Halaman-Halaman Landing Page</t>
  </si>
  <si>
    <t>Analitik</t>
  </si>
  <si>
    <t>KONTEN DAN DESAIN</t>
  </si>
  <si>
    <t>Wireframe</t>
  </si>
  <si>
    <t>Foto-foto dan aset kustom</t>
  </si>
  <si>
    <t>Desain mobile/responsif*</t>
  </si>
  <si>
    <t>Strategi / Redirect SEO</t>
  </si>
  <si>
    <t>Copy writing</t>
  </si>
  <si>
    <t>Copy editing</t>
  </si>
  <si>
    <t>Kustomisasi tingkat lanjut</t>
  </si>
  <si>
    <t>Style sheets dan template-template</t>
  </si>
  <si>
    <t>UJI COBA</t>
  </si>
  <si>
    <t>UX testing</t>
  </si>
  <si>
    <t>MIGRASI KONTEN YANG ADA</t>
  </si>
  <si>
    <t>Migrasi Blog</t>
  </si>
  <si>
    <t>Migrasi website dan landing page</t>
  </si>
  <si>
    <r>
      <rPr>
        <b/>
        <sz val="20"/>
        <color rgb="FF374659"/>
        <rFont val="Avenir"/>
      </rPr>
      <t xml:space="preserve">BUDGET ACARA: </t>
    </r>
    <r>
      <rPr>
        <b/>
        <i/>
        <sz val="20"/>
        <color rgb="FF374659"/>
        <rFont val="Arial"/>
      </rPr>
      <t>(Masukkan Nama Kegiatan Disini)</t>
    </r>
  </si>
  <si>
    <t>TEMPAT ACARA</t>
  </si>
  <si>
    <t>Room/hall rental</t>
  </si>
  <si>
    <t>Furniture rentals</t>
  </si>
  <si>
    <t>Equipment rentals (speakers, microphones, etc.)</t>
  </si>
  <si>
    <t>Decorations</t>
  </si>
  <si>
    <t>Signage</t>
  </si>
  <si>
    <t>KONSUMSI</t>
  </si>
  <si>
    <t>Food</t>
  </si>
  <si>
    <t>Drinks</t>
  </si>
  <si>
    <t>Other</t>
  </si>
  <si>
    <t>ACARA</t>
  </si>
  <si>
    <t>Presenters</t>
  </si>
  <si>
    <t>Performers</t>
  </si>
  <si>
    <t>Presenter/performer travel</t>
  </si>
  <si>
    <t>Presenter/performer accommodations</t>
  </si>
  <si>
    <t>PROMOSI</t>
  </si>
  <si>
    <t>Paid advertising</t>
  </si>
  <si>
    <t>Web development</t>
  </si>
  <si>
    <t>Special offers/giveaways</t>
  </si>
  <si>
    <t>Name tags/badges</t>
  </si>
  <si>
    <t>Printed agendas/programs</t>
  </si>
  <si>
    <t>Swag (stickers, keychains, etc.)</t>
  </si>
  <si>
    <t>Stationary/pens/pencils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</si>
</sst>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Rp]#,##0"/>
    <numFmt numFmtId="165" formatCode="[$Rp-421]#,##0.00"/>
    <numFmt numFmtId="166" formatCode="&quot;$&quot;#,##0"/>
    <numFmt numFmtId="167" formatCode="&quot;$&quot;#,##0.00;[Red]\-&quot;$&quot;#,##0.00"/>
  </numFmts>
  <fonts count="34">
    <font>
      <sz val="11"/>
      <color theme="1"/>
      <name val="Arial"/>
      <scheme val="minor"/>
    </font>
    <font>
      <sz val="11"/>
      <color rgb="FF2A3D52"/>
      <name val="Avenir"/>
    </font>
    <font>
      <b/>
      <sz val="11"/>
      <color rgb="FF2A3D52"/>
      <name val="Avenir"/>
    </font>
    <font>
      <b/>
      <sz val="18"/>
      <color rgb="FF374659"/>
      <name val="Avenir"/>
    </font>
    <font>
      <b/>
      <sz val="18"/>
      <color rgb="FF2A3D52"/>
      <name val="Avenir"/>
    </font>
    <font>
      <sz val="11"/>
      <name val="Arial"/>
    </font>
    <font>
      <sz val="11"/>
      <color rgb="FF2A3D52"/>
      <name val="Arial"/>
    </font>
    <font>
      <sz val="12"/>
      <color rgb="FF2A3D52"/>
      <name val="Avenir"/>
    </font>
    <font>
      <b/>
      <sz val="18"/>
      <color rgb="FF00A4BD"/>
      <name val="Avenir"/>
    </font>
    <font>
      <b/>
      <sz val="26"/>
      <color rgb="FF425B76"/>
      <name val="Avenir"/>
    </font>
    <font>
      <sz val="16"/>
      <color rgb="FF2A3D52"/>
      <name val="Avenir"/>
    </font>
    <font>
      <b/>
      <sz val="22"/>
      <color theme="0"/>
      <name val="Avenir"/>
    </font>
    <font>
      <u/>
      <sz val="12"/>
      <color rgb="FF36475A"/>
      <name val="Avenir"/>
    </font>
    <font>
      <sz val="12"/>
      <color rgb="FF36475A"/>
      <name val="Avenir"/>
    </font>
    <font>
      <b/>
      <sz val="18"/>
      <color rgb="FFFFFFFF"/>
      <name val="Avenir"/>
    </font>
    <font>
      <sz val="11"/>
      <color theme="1"/>
      <name val="Arial"/>
    </font>
    <font>
      <sz val="11"/>
      <color theme="1"/>
      <name val="Arial"/>
      <scheme val="minor"/>
    </font>
    <font>
      <sz val="11"/>
      <color rgb="FFFF7A59"/>
      <name val="Avenir"/>
    </font>
    <font>
      <b/>
      <sz val="20"/>
      <color rgb="FF374659"/>
      <name val="Avenir"/>
    </font>
    <font>
      <b/>
      <sz val="11"/>
      <color rgb="FFE5F5F8"/>
      <name val="Avenir"/>
    </font>
    <font>
      <sz val="10"/>
      <color rgb="FF2A3D52"/>
      <name val="Avenir"/>
    </font>
    <font>
      <b/>
      <sz val="10"/>
      <color rgb="FF2A3D52"/>
      <name val="Avenir"/>
    </font>
    <font>
      <b/>
      <sz val="8"/>
      <color rgb="FF2A3D52"/>
      <name val="Avenir"/>
    </font>
    <font>
      <b/>
      <sz val="9"/>
      <color rgb="FF2A3D52"/>
      <name val="Avenir"/>
    </font>
    <font>
      <b/>
      <sz val="24"/>
      <color rgb="FF2A3D52"/>
      <name val="Avenir"/>
    </font>
    <font>
      <sz val="20"/>
      <color rgb="FF2A3D52"/>
      <name val="Avenir"/>
    </font>
    <font>
      <sz val="14"/>
      <color rgb="FF2A3D52"/>
      <name val="Avenir"/>
    </font>
    <font>
      <b/>
      <i/>
      <sz val="11"/>
      <color rgb="FF2A3D52"/>
      <name val="Avenir"/>
    </font>
    <font>
      <b/>
      <sz val="11"/>
      <color rgb="FF2A3D52"/>
      <name val="Calibri"/>
    </font>
    <font>
      <sz val="11"/>
      <color rgb="FF2A3D52"/>
      <name val="Calibri"/>
    </font>
    <font>
      <b/>
      <sz val="18"/>
      <color rgb="FFE5F5F8"/>
      <name val="Avenir"/>
    </font>
    <font>
      <sz val="18"/>
      <color rgb="FF374659"/>
      <name val="Avenir"/>
    </font>
    <font>
      <b/>
      <sz val="10"/>
      <color rgb="FF2A3D52"/>
      <name val="Calibri"/>
    </font>
    <font>
      <b/>
      <i/>
      <sz val="20"/>
      <color rgb="FF374659"/>
      <name val="Arial"/>
    </font>
  </fonts>
  <fills count="18">
    <fill>
      <patternFill patternType="none"/>
    </fill>
    <fill>
      <patternFill patternType="gray125"/>
    </fill>
    <fill>
      <patternFill patternType="solid">
        <fgColor rgb="FFF4CCCC"/>
        <bgColor rgb="FFF4CCCC"/>
      </patternFill>
    </fill>
    <fill>
      <patternFill patternType="solid">
        <fgColor rgb="FFFFFFFF"/>
        <bgColor rgb="FFFFFFFF"/>
      </patternFill>
    </fill>
    <fill>
      <patternFill patternType="solid">
        <fgColor rgb="FFFF7A59"/>
        <bgColor rgb="FFFF7A59"/>
      </patternFill>
    </fill>
    <fill>
      <patternFill patternType="solid">
        <fgColor rgb="FF00A4BD"/>
        <bgColor rgb="FF00A4BD"/>
      </patternFill>
    </fill>
    <fill>
      <patternFill patternType="solid">
        <fgColor rgb="FFFFF1EE"/>
        <bgColor rgb="FFFFF1EE"/>
      </patternFill>
    </fill>
    <fill>
      <patternFill patternType="solid">
        <fgColor rgb="FFE5F5F8"/>
        <bgColor rgb="FFE5F5F8"/>
      </patternFill>
    </fill>
    <fill>
      <patternFill patternType="solid">
        <fgColor rgb="FFFFBCAC"/>
        <bgColor rgb="FFFFBCAC"/>
      </patternFill>
    </fill>
    <fill>
      <patternFill patternType="solid">
        <fgColor rgb="FF7FD1DE"/>
        <bgColor rgb="FF7FD1DE"/>
      </patternFill>
    </fill>
    <fill>
      <patternFill patternType="solid">
        <fgColor rgb="FFA9B2E5"/>
        <bgColor rgb="FFA9B2E5"/>
      </patternFill>
    </fill>
    <fill>
      <patternFill patternType="solid">
        <fgColor rgb="FFF68A8F"/>
        <bgColor rgb="FFF68A8F"/>
      </patternFill>
    </fill>
    <fill>
      <patternFill patternType="solid">
        <fgColor rgb="FFF8D49A"/>
        <bgColor rgb="FFF8D49A"/>
      </patternFill>
    </fill>
    <fill>
      <patternFill patternType="solid">
        <fgColor rgb="FF6DD9CC"/>
        <bgColor rgb="FF6DD9CC"/>
      </patternFill>
    </fill>
    <fill>
      <patternFill patternType="solid">
        <fgColor rgb="FF9FA8E1"/>
        <bgColor rgb="FF9FA8E1"/>
      </patternFill>
    </fill>
    <fill>
      <patternFill patternType="solid">
        <fgColor rgb="FFF7CF8D"/>
        <bgColor rgb="FFF7CF8D"/>
      </patternFill>
    </fill>
    <fill>
      <patternFill patternType="solid">
        <fgColor rgb="FF60D6C8"/>
        <bgColor rgb="FF60D6C8"/>
      </patternFill>
    </fill>
    <fill>
      <patternFill patternType="solid">
        <fgColor rgb="FFF9AABE"/>
        <bgColor rgb="FFF9AABE"/>
      </patternFill>
    </fill>
  </fills>
  <borders count="81">
    <border>
      <left/>
      <right/>
      <top/>
      <bottom/>
      <diagonal/>
    </border>
    <border>
      <left style="medium">
        <color rgb="FF999999"/>
      </left>
      <right/>
      <top style="medium">
        <color rgb="FF999999"/>
      </top>
      <bottom/>
      <diagonal/>
    </border>
    <border>
      <left/>
      <right/>
      <top style="medium">
        <color rgb="FF999999"/>
      </top>
      <bottom/>
      <diagonal/>
    </border>
    <border>
      <left/>
      <right style="medium">
        <color rgb="FF999999"/>
      </right>
      <top style="medium">
        <color rgb="FF999999"/>
      </top>
      <bottom/>
      <diagonal/>
    </border>
    <border>
      <left style="medium">
        <color rgb="FF999999"/>
      </left>
      <right/>
      <top style="medium">
        <color rgb="FF999999"/>
      </top>
      <bottom/>
      <diagonal/>
    </border>
    <border>
      <left/>
      <right/>
      <top style="medium">
        <color rgb="FF999999"/>
      </top>
      <bottom/>
      <diagonal/>
    </border>
    <border>
      <left/>
      <right style="medium">
        <color rgb="FF999999"/>
      </right>
      <top style="medium">
        <color rgb="FF999999"/>
      </top>
      <bottom/>
      <diagonal/>
    </border>
    <border>
      <left style="medium">
        <color rgb="FF999999"/>
      </left>
      <right/>
      <top/>
      <bottom/>
      <diagonal/>
    </border>
    <border>
      <left/>
      <right style="medium">
        <color rgb="FF999999"/>
      </right>
      <top/>
      <bottom/>
      <diagonal/>
    </border>
    <border>
      <left style="medium">
        <color rgb="FF999999"/>
      </left>
      <right/>
      <top/>
      <bottom/>
      <diagonal/>
    </border>
    <border>
      <left/>
      <right/>
      <top/>
      <bottom/>
      <diagonal/>
    </border>
    <border>
      <left/>
      <right/>
      <top/>
      <bottom/>
      <diagonal/>
    </border>
    <border>
      <left/>
      <right style="medium">
        <color rgb="FF999999"/>
      </right>
      <top/>
      <bottom/>
      <diagonal/>
    </border>
    <border>
      <left/>
      <right/>
      <top/>
      <bottom/>
      <diagonal/>
    </border>
    <border>
      <left/>
      <right/>
      <top/>
      <bottom/>
      <diagonal/>
    </border>
    <border>
      <left/>
      <right/>
      <top/>
      <bottom/>
      <diagonal/>
    </border>
    <border>
      <left/>
      <right/>
      <top/>
      <bottom/>
      <diagonal/>
    </border>
    <border>
      <left style="medium">
        <color rgb="FF999999"/>
      </left>
      <right/>
      <top/>
      <bottom style="medium">
        <color rgb="FF999999"/>
      </bottom>
      <diagonal/>
    </border>
    <border>
      <left/>
      <right/>
      <top/>
      <bottom style="medium">
        <color rgb="FF999999"/>
      </bottom>
      <diagonal/>
    </border>
    <border>
      <left/>
      <right style="medium">
        <color rgb="FF999999"/>
      </right>
      <top/>
      <bottom style="medium">
        <color rgb="FF999999"/>
      </bottom>
      <diagonal/>
    </border>
    <border>
      <left style="medium">
        <color rgb="FF999999"/>
      </left>
      <right/>
      <top/>
      <bottom style="medium">
        <color rgb="FF999999"/>
      </bottom>
      <diagonal/>
    </border>
    <border>
      <left/>
      <right/>
      <top/>
      <bottom style="medium">
        <color rgb="FF999999"/>
      </bottom>
      <diagonal/>
    </border>
    <border>
      <left/>
      <right style="medium">
        <color rgb="FF999999"/>
      </right>
      <top/>
      <bottom style="medium">
        <color rgb="FF999999"/>
      </bottom>
      <diagonal/>
    </border>
    <border>
      <left style="medium">
        <color rgb="FFA5A5A5"/>
      </left>
      <right/>
      <top style="medium">
        <color rgb="FFA5A5A5"/>
      </top>
      <bottom/>
      <diagonal/>
    </border>
    <border>
      <left/>
      <right/>
      <top style="medium">
        <color rgb="FFA5A5A5"/>
      </top>
      <bottom/>
      <diagonal/>
    </border>
    <border>
      <left/>
      <right style="medium">
        <color rgb="FFA5A5A5"/>
      </right>
      <top style="medium">
        <color rgb="FFA5A5A5"/>
      </top>
      <bottom/>
      <diagonal/>
    </border>
    <border>
      <left style="medium">
        <color rgb="FFA5A5A5"/>
      </left>
      <right/>
      <top/>
      <bottom/>
      <diagonal/>
    </border>
    <border>
      <left/>
      <right style="medium">
        <color rgb="FFA5A5A5"/>
      </right>
      <top/>
      <bottom/>
      <diagonal/>
    </border>
    <border>
      <left/>
      <right/>
      <top/>
      <bottom style="medium">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thin">
        <color rgb="FF000000"/>
      </right>
      <top/>
      <bottom/>
      <diagonal/>
    </border>
    <border>
      <left style="thin">
        <color rgb="FF000000"/>
      </left>
      <right/>
      <top/>
      <bottom/>
      <diagonal/>
    </border>
    <border>
      <left/>
      <right style="medium">
        <color rgb="FF000000"/>
      </right>
      <top/>
      <bottom/>
      <diagonal/>
    </border>
    <border>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medium">
        <color rgb="FFA5A5A5"/>
      </left>
      <right/>
      <top/>
      <bottom style="medium">
        <color rgb="FFA5A5A5"/>
      </bottom>
      <diagonal/>
    </border>
    <border>
      <left/>
      <right/>
      <top/>
      <bottom style="medium">
        <color rgb="FFA5A5A5"/>
      </bottom>
      <diagonal/>
    </border>
    <border>
      <left/>
      <right style="medium">
        <color rgb="FFA5A5A5"/>
      </right>
      <top/>
      <bottom style="medium">
        <color rgb="FFA5A5A5"/>
      </bottom>
      <diagonal/>
    </border>
    <border>
      <left/>
      <right/>
      <top style="thin">
        <color rgb="FF000000"/>
      </top>
      <bottom/>
      <diagonal/>
    </border>
    <border>
      <left/>
      <right/>
      <top style="thin">
        <color rgb="FF000000"/>
      </top>
      <bottom/>
      <diagonal/>
    </border>
    <border>
      <left style="medium">
        <color rgb="FF000000"/>
      </left>
      <right/>
      <top/>
      <bottom/>
      <diagonal/>
    </border>
    <border>
      <left/>
      <right style="medium">
        <color rgb="FF000000"/>
      </right>
      <top/>
      <bottom/>
      <diagonal/>
    </border>
    <border>
      <left/>
      <right/>
      <top style="medium">
        <color rgb="FF000000"/>
      </top>
      <bottom style="medium">
        <color rgb="FF000000"/>
      </bottom>
      <diagonal/>
    </border>
    <border>
      <left/>
      <right/>
      <top style="medium">
        <color rgb="FF000000"/>
      </top>
      <bottom style="medium">
        <color rgb="FF000000"/>
      </bottom>
      <diagonal/>
    </border>
    <border>
      <left style="thin">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medium">
        <color rgb="FF000000"/>
      </left>
      <right/>
      <top style="medium">
        <color rgb="FF000000"/>
      </top>
      <bottom/>
      <diagonal/>
    </border>
    <border>
      <left/>
      <right/>
      <top style="medium">
        <color rgb="FF000000"/>
      </top>
      <bottom/>
      <diagonal/>
    </border>
    <border>
      <left/>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bottom/>
      <diagonal/>
    </border>
    <border>
      <left style="medium">
        <color rgb="FF000000"/>
      </left>
      <right/>
      <top/>
      <bottom/>
      <diagonal/>
    </border>
  </borders>
  <cellStyleXfs count="1">
    <xf numFmtId="0" fontId="0" fillId="0" borderId="0"/>
  </cellStyleXfs>
  <cellXfs count="329">
    <xf numFmtId="0" fontId="0" fillId="0" borderId="0" xfId="0"/>
    <xf numFmtId="0" fontId="1" fillId="0" borderId="0" xfId="0" applyFont="1"/>
    <xf numFmtId="0" fontId="1" fillId="0" borderId="1" xfId="0" applyFont="1" applyBorder="1"/>
    <xf numFmtId="0" fontId="1" fillId="0" borderId="2" xfId="0" applyFont="1" applyBorder="1"/>
    <xf numFmtId="0" fontId="1" fillId="0" borderId="3" xfId="0" applyFont="1" applyBorder="1"/>
    <xf numFmtId="0" fontId="1" fillId="2" borderId="4" xfId="0" applyFont="1" applyFill="1" applyBorder="1"/>
    <xf numFmtId="0" fontId="1" fillId="2" borderId="5" xfId="0" applyFont="1" applyFill="1" applyBorder="1"/>
    <xf numFmtId="0" fontId="1" fillId="2" borderId="6" xfId="0" applyFont="1" applyFill="1" applyBorder="1"/>
    <xf numFmtId="0" fontId="1" fillId="0" borderId="7" xfId="0" applyFont="1" applyBorder="1"/>
    <xf numFmtId="0" fontId="2" fillId="0" borderId="0" xfId="0" applyFont="1" applyAlignment="1">
      <alignment vertical="center"/>
    </xf>
    <xf numFmtId="0" fontId="3" fillId="0" borderId="0" xfId="0" applyFont="1" applyAlignment="1">
      <alignment vertical="center" wrapText="1"/>
    </xf>
    <xf numFmtId="0" fontId="1" fillId="0" borderId="8" xfId="0" applyFont="1" applyBorder="1"/>
    <xf numFmtId="0" fontId="1" fillId="2" borderId="9" xfId="0" applyFont="1" applyFill="1" applyBorder="1"/>
    <xf numFmtId="0" fontId="1" fillId="2" borderId="12" xfId="0" applyFont="1" applyFill="1" applyBorder="1"/>
    <xf numFmtId="0" fontId="6" fillId="2" borderId="14" xfId="0" applyFont="1" applyFill="1" applyBorder="1"/>
    <xf numFmtId="0" fontId="1" fillId="2" borderId="14" xfId="0" applyFont="1" applyFill="1" applyBorder="1" applyAlignment="1">
      <alignment vertical="center" wrapText="1"/>
    </xf>
    <xf numFmtId="0" fontId="8" fillId="0" borderId="0" xfId="0" applyFont="1" applyAlignment="1">
      <alignment horizontal="left" vertical="center" wrapText="1"/>
    </xf>
    <xf numFmtId="0" fontId="10" fillId="0" borderId="0" xfId="0" applyFont="1" applyAlignment="1">
      <alignment horizontal="left" wrapText="1"/>
    </xf>
    <xf numFmtId="0" fontId="1" fillId="3" borderId="0" xfId="0" applyFont="1" applyFill="1"/>
    <xf numFmtId="0" fontId="7" fillId="2" borderId="14" xfId="0" applyFont="1" applyFill="1" applyBorder="1" applyAlignment="1">
      <alignment vertical="center" wrapText="1"/>
    </xf>
    <xf numFmtId="0" fontId="13" fillId="2" borderId="14" xfId="0" applyFont="1" applyFill="1" applyBorder="1" applyAlignment="1">
      <alignment vertical="center" wrapText="1"/>
    </xf>
    <xf numFmtId="0" fontId="13" fillId="2" borderId="14" xfId="0" applyFont="1" applyFill="1" applyBorder="1"/>
    <xf numFmtId="0" fontId="1" fillId="2" borderId="14" xfId="0" applyFont="1" applyFill="1" applyBorder="1"/>
    <xf numFmtId="0" fontId="7" fillId="2" borderId="14" xfId="0" applyFont="1" applyFill="1" applyBorder="1"/>
    <xf numFmtId="0" fontId="1" fillId="0" borderId="17" xfId="0" applyFont="1" applyBorder="1"/>
    <xf numFmtId="0" fontId="1" fillId="0" borderId="18" xfId="0" applyFont="1" applyBorder="1"/>
    <xf numFmtId="0" fontId="1" fillId="0" borderId="19" xfId="0" applyFont="1" applyBorder="1"/>
    <xf numFmtId="0" fontId="1" fillId="2" borderId="20" xfId="0" applyFont="1" applyFill="1" applyBorder="1"/>
    <xf numFmtId="0" fontId="15" fillId="2" borderId="21" xfId="0" applyFont="1" applyFill="1" applyBorder="1"/>
    <xf numFmtId="0" fontId="1" fillId="2" borderId="22" xfId="0" applyFont="1" applyFill="1" applyBorder="1"/>
    <xf numFmtId="0" fontId="1" fillId="0" borderId="0" xfId="0" applyFont="1" applyAlignment="1">
      <alignment horizontal="center"/>
    </xf>
    <xf numFmtId="0" fontId="2" fillId="0" borderId="0" xfId="0" applyFont="1"/>
    <xf numFmtId="0" fontId="1" fillId="0" borderId="23" xfId="0" applyFont="1" applyBorder="1"/>
    <xf numFmtId="0" fontId="2" fillId="0" borderId="24" xfId="0" applyFont="1" applyBorder="1"/>
    <xf numFmtId="0" fontId="1" fillId="0" borderId="24" xfId="0" applyFont="1" applyBorder="1"/>
    <xf numFmtId="0" fontId="1" fillId="0" borderId="25" xfId="0" applyFont="1" applyBorder="1"/>
    <xf numFmtId="0" fontId="1" fillId="0" borderId="26" xfId="0" applyFont="1" applyBorder="1"/>
    <xf numFmtId="0" fontId="16" fillId="0" borderId="0" xfId="0" applyFont="1"/>
    <xf numFmtId="0" fontId="17" fillId="0" borderId="0" xfId="0" applyFont="1"/>
    <xf numFmtId="0" fontId="1" fillId="0" borderId="27" xfId="0" applyFont="1" applyBorder="1"/>
    <xf numFmtId="0" fontId="2" fillId="0" borderId="28" xfId="0" applyFont="1" applyBorder="1"/>
    <xf numFmtId="0" fontId="19" fillId="4" borderId="14" xfId="0" applyFont="1" applyFill="1" applyBorder="1"/>
    <xf numFmtId="0" fontId="20" fillId="0" borderId="0" xfId="0" applyFont="1" applyAlignment="1">
      <alignment vertical="center"/>
    </xf>
    <xf numFmtId="0" fontId="20" fillId="0" borderId="26" xfId="0" applyFont="1" applyBorder="1" applyAlignment="1">
      <alignment vertical="center"/>
    </xf>
    <xf numFmtId="0" fontId="20" fillId="6" borderId="34" xfId="0" applyFont="1" applyFill="1" applyBorder="1" applyAlignment="1">
      <alignment vertical="center"/>
    </xf>
    <xf numFmtId="0" fontId="21" fillId="6" borderId="35" xfId="0" applyFont="1" applyFill="1" applyBorder="1" applyAlignment="1">
      <alignment horizontal="center" vertical="center"/>
    </xf>
    <xf numFmtId="0" fontId="21" fillId="6" borderId="36" xfId="0" applyFont="1" applyFill="1" applyBorder="1" applyAlignment="1">
      <alignment horizontal="center" vertical="center"/>
    </xf>
    <xf numFmtId="0" fontId="21" fillId="6" borderId="37" xfId="0" applyFont="1" applyFill="1" applyBorder="1" applyAlignment="1">
      <alignment horizontal="center" vertical="center"/>
    </xf>
    <xf numFmtId="0" fontId="21" fillId="6" borderId="38" xfId="0" applyFont="1" applyFill="1" applyBorder="1" applyAlignment="1">
      <alignment horizontal="center" vertical="center"/>
    </xf>
    <xf numFmtId="0" fontId="21" fillId="7" borderId="35" xfId="0" applyFont="1" applyFill="1" applyBorder="1" applyAlignment="1">
      <alignment horizontal="center" vertical="center"/>
    </xf>
    <xf numFmtId="0" fontId="21" fillId="7" borderId="34" xfId="0" applyFont="1" applyFill="1" applyBorder="1" applyAlignment="1">
      <alignment horizontal="center" vertical="center"/>
    </xf>
    <xf numFmtId="0" fontId="21" fillId="7" borderId="38" xfId="0" applyFont="1" applyFill="1" applyBorder="1" applyAlignment="1">
      <alignment horizontal="center" vertical="center" wrapText="1"/>
    </xf>
    <xf numFmtId="0" fontId="21" fillId="7" borderId="34" xfId="0" applyFont="1" applyFill="1" applyBorder="1" applyAlignment="1">
      <alignment horizontal="center" vertical="center" wrapText="1"/>
    </xf>
    <xf numFmtId="0" fontId="20" fillId="0" borderId="27" xfId="0" applyFont="1" applyBorder="1"/>
    <xf numFmtId="0" fontId="2" fillId="0" borderId="0" xfId="0" applyFont="1" applyAlignment="1">
      <alignment horizontal="left"/>
    </xf>
    <xf numFmtId="164" fontId="1" fillId="0" borderId="39" xfId="0" applyNumberFormat="1" applyFont="1" applyBorder="1"/>
    <xf numFmtId="164" fontId="1" fillId="0" borderId="40" xfId="0" applyNumberFormat="1" applyFont="1" applyBorder="1"/>
    <xf numFmtId="164" fontId="1" fillId="0" borderId="41" xfId="0" applyNumberFormat="1" applyFont="1" applyBorder="1"/>
    <xf numFmtId="164" fontId="1" fillId="0" borderId="42" xfId="0" applyNumberFormat="1" applyFont="1" applyBorder="1"/>
    <xf numFmtId="164" fontId="1" fillId="0" borderId="0" xfId="0" applyNumberFormat="1" applyFont="1"/>
    <xf numFmtId="0" fontId="2" fillId="0" borderId="43" xfId="0" applyFont="1" applyBorder="1" applyAlignment="1">
      <alignment horizontal="left"/>
    </xf>
    <xf numFmtId="0" fontId="2" fillId="8" borderId="44" xfId="0" applyFont="1" applyFill="1" applyBorder="1"/>
    <xf numFmtId="164" fontId="2" fillId="8" borderId="45" xfId="0" applyNumberFormat="1" applyFont="1" applyFill="1" applyBorder="1"/>
    <xf numFmtId="164" fontId="2" fillId="8" borderId="46" xfId="0" applyNumberFormat="1" applyFont="1" applyFill="1" applyBorder="1"/>
    <xf numFmtId="164" fontId="2" fillId="8" borderId="47" xfId="0" applyNumberFormat="1" applyFont="1" applyFill="1" applyBorder="1"/>
    <xf numFmtId="164" fontId="2" fillId="8" borderId="48" xfId="0" applyNumberFormat="1" applyFont="1" applyFill="1" applyBorder="1"/>
    <xf numFmtId="164" fontId="2" fillId="9" borderId="45" xfId="0" applyNumberFormat="1" applyFont="1" applyFill="1" applyBorder="1"/>
    <xf numFmtId="164" fontId="2" fillId="9" borderId="47" xfId="0" applyNumberFormat="1" applyFont="1" applyFill="1" applyBorder="1"/>
    <xf numFmtId="164" fontId="2" fillId="9" borderId="48" xfId="0" applyNumberFormat="1" applyFont="1" applyFill="1" applyBorder="1"/>
    <xf numFmtId="0" fontId="1" fillId="6" borderId="47" xfId="0" applyFont="1" applyFill="1" applyBorder="1" applyAlignment="1">
      <alignment horizontal="center" vertical="center"/>
    </xf>
    <xf numFmtId="0" fontId="2" fillId="6" borderId="45" xfId="0" applyFont="1" applyFill="1" applyBorder="1" applyAlignment="1">
      <alignment horizontal="center" vertical="center"/>
    </xf>
    <xf numFmtId="0" fontId="2" fillId="6" borderId="47" xfId="0" applyFont="1" applyFill="1" applyBorder="1" applyAlignment="1">
      <alignment horizontal="center" vertical="center"/>
    </xf>
    <xf numFmtId="0" fontId="2" fillId="6" borderId="48" xfId="0" applyFont="1" applyFill="1" applyBorder="1" applyAlignment="1">
      <alignment horizontal="center" vertical="center" wrapText="1"/>
    </xf>
    <xf numFmtId="0" fontId="22" fillId="7" borderId="45" xfId="0" applyFont="1" applyFill="1" applyBorder="1" applyAlignment="1">
      <alignment horizontal="center" vertical="center" wrapText="1"/>
    </xf>
    <xf numFmtId="0" fontId="23" fillId="7" borderId="47" xfId="0" applyFont="1" applyFill="1" applyBorder="1" applyAlignment="1">
      <alignment horizontal="center" vertical="center" wrapText="1"/>
    </xf>
    <xf numFmtId="49" fontId="2" fillId="0" borderId="0" xfId="0" applyNumberFormat="1" applyFont="1" applyAlignment="1">
      <alignment horizontal="left"/>
    </xf>
    <xf numFmtId="165" fontId="1" fillId="0" borderId="39" xfId="0" applyNumberFormat="1" applyFont="1" applyBorder="1"/>
    <xf numFmtId="165" fontId="1" fillId="0" borderId="0" xfId="0" applyNumberFormat="1" applyFont="1"/>
    <xf numFmtId="165" fontId="1" fillId="0" borderId="42" xfId="0" applyNumberFormat="1" applyFont="1" applyBorder="1"/>
    <xf numFmtId="49" fontId="2" fillId="0" borderId="43" xfId="0" applyNumberFormat="1" applyFont="1" applyBorder="1" applyAlignment="1">
      <alignment horizontal="left"/>
    </xf>
    <xf numFmtId="165" fontId="1" fillId="0" borderId="49" xfId="0" applyNumberFormat="1" applyFont="1" applyBorder="1"/>
    <xf numFmtId="165" fontId="1" fillId="0" borderId="28" xfId="0" applyNumberFormat="1" applyFont="1" applyBorder="1"/>
    <xf numFmtId="165" fontId="1" fillId="0" borderId="43" xfId="0" applyNumberFormat="1" applyFont="1" applyBorder="1"/>
    <xf numFmtId="0" fontId="2" fillId="8" borderId="50" xfId="0" applyFont="1" applyFill="1" applyBorder="1"/>
    <xf numFmtId="165" fontId="2" fillId="8" borderId="45" xfId="0" applyNumberFormat="1" applyFont="1" applyFill="1" applyBorder="1"/>
    <xf numFmtId="165" fontId="2" fillId="8" borderId="47" xfId="0" applyNumberFormat="1" applyFont="1" applyFill="1" applyBorder="1"/>
    <xf numFmtId="165" fontId="2" fillId="8" borderId="48" xfId="0" applyNumberFormat="1" applyFont="1" applyFill="1" applyBorder="1"/>
    <xf numFmtId="165" fontId="1" fillId="9" borderId="50" xfId="0" applyNumberFormat="1" applyFont="1" applyFill="1" applyBorder="1"/>
    <xf numFmtId="0" fontId="1" fillId="0" borderId="51" xfId="0" applyFont="1" applyBorder="1"/>
    <xf numFmtId="0" fontId="2" fillId="0" borderId="52" xfId="0" applyFont="1" applyBorder="1"/>
    <xf numFmtId="0" fontId="1" fillId="0" borderId="52" xfId="0" applyFont="1" applyBorder="1"/>
    <xf numFmtId="0" fontId="1" fillId="0" borderId="53" xfId="0" applyFont="1" applyBorder="1"/>
    <xf numFmtId="0" fontId="1" fillId="0" borderId="0" xfId="0" applyFont="1" applyAlignment="1">
      <alignment vertical="center"/>
    </xf>
    <xf numFmtId="0" fontId="1" fillId="0" borderId="23" xfId="0" applyFont="1" applyBorder="1" applyAlignment="1">
      <alignment vertical="center"/>
    </xf>
    <xf numFmtId="0" fontId="2" fillId="0" borderId="24" xfId="0" applyFont="1" applyBorder="1" applyAlignment="1">
      <alignment vertical="center"/>
    </xf>
    <xf numFmtId="0" fontId="1" fillId="0" borderId="24" xfId="0" applyFont="1" applyBorder="1" applyAlignment="1">
      <alignment vertical="center"/>
    </xf>
    <xf numFmtId="0" fontId="1" fillId="0" borderId="25" xfId="0" applyFont="1" applyBorder="1" applyAlignment="1">
      <alignment vertical="center"/>
    </xf>
    <xf numFmtId="0" fontId="1" fillId="0" borderId="26" xfId="0" applyFont="1" applyBorder="1" applyAlignment="1">
      <alignment vertical="center"/>
    </xf>
    <xf numFmtId="0" fontId="24" fillId="0" borderId="0" xfId="0" applyFont="1" applyAlignment="1">
      <alignment horizontal="left" vertical="center"/>
    </xf>
    <xf numFmtId="0" fontId="1" fillId="0" borderId="27" xfId="0" applyFont="1" applyBorder="1" applyAlignment="1">
      <alignment vertical="center"/>
    </xf>
    <xf numFmtId="0" fontId="2" fillId="0" borderId="28" xfId="0" applyFont="1" applyBorder="1" applyAlignment="1">
      <alignment vertical="center"/>
    </xf>
    <xf numFmtId="0" fontId="25" fillId="0" borderId="0" xfId="0" applyFont="1" applyAlignment="1">
      <alignment vertical="center"/>
    </xf>
    <xf numFmtId="0" fontId="25" fillId="0" borderId="26" xfId="0" applyFont="1" applyBorder="1" applyAlignment="1">
      <alignment vertical="center"/>
    </xf>
    <xf numFmtId="0" fontId="2" fillId="4" borderId="14" xfId="0" applyFont="1" applyFill="1" applyBorder="1" applyAlignment="1">
      <alignment vertical="center"/>
    </xf>
    <xf numFmtId="0" fontId="21" fillId="0" borderId="0" xfId="0" applyFont="1" applyAlignment="1">
      <alignment vertical="center"/>
    </xf>
    <xf numFmtId="0" fontId="21" fillId="0" borderId="26" xfId="0" applyFont="1" applyBorder="1" applyAlignment="1">
      <alignment vertical="center"/>
    </xf>
    <xf numFmtId="0" fontId="20" fillId="0" borderId="27" xfId="0" applyFont="1" applyBorder="1" applyAlignment="1">
      <alignment vertical="center"/>
    </xf>
    <xf numFmtId="166" fontId="2" fillId="10" borderId="56" xfId="0" applyNumberFormat="1" applyFont="1" applyFill="1" applyBorder="1" applyAlignment="1">
      <alignment vertical="center"/>
    </xf>
    <xf numFmtId="166" fontId="2" fillId="10" borderId="57" xfId="0" applyNumberFormat="1" applyFont="1" applyFill="1" applyBorder="1" applyAlignment="1">
      <alignment vertical="center"/>
    </xf>
    <xf numFmtId="166" fontId="2" fillId="10" borderId="14" xfId="0" applyNumberFormat="1" applyFont="1" applyFill="1" applyBorder="1" applyAlignment="1">
      <alignment vertical="center"/>
    </xf>
    <xf numFmtId="40" fontId="2" fillId="10" borderId="57" xfId="0" applyNumberFormat="1" applyFont="1" applyFill="1" applyBorder="1" applyAlignment="1">
      <alignment vertical="center"/>
    </xf>
    <xf numFmtId="4" fontId="2" fillId="10" borderId="56" xfId="0" applyNumberFormat="1" applyFont="1" applyFill="1" applyBorder="1" applyAlignment="1">
      <alignment vertical="center"/>
    </xf>
    <xf numFmtId="4" fontId="2" fillId="10" borderId="57" xfId="0" applyNumberFormat="1" applyFont="1" applyFill="1" applyBorder="1" applyAlignment="1">
      <alignment vertical="center"/>
    </xf>
    <xf numFmtId="4" fontId="2" fillId="10" borderId="14" xfId="0" applyNumberFormat="1" applyFont="1" applyFill="1" applyBorder="1" applyAlignment="1">
      <alignment vertical="center"/>
    </xf>
    <xf numFmtId="0" fontId="2" fillId="10" borderId="14" xfId="0" applyFont="1" applyFill="1" applyBorder="1" applyAlignment="1">
      <alignment vertical="center"/>
    </xf>
    <xf numFmtId="0" fontId="26" fillId="0" borderId="0" xfId="0" applyFont="1" applyAlignment="1">
      <alignment vertical="center"/>
    </xf>
    <xf numFmtId="0" fontId="26" fillId="0" borderId="26" xfId="0" applyFont="1" applyBorder="1" applyAlignment="1">
      <alignment vertical="center"/>
    </xf>
    <xf numFmtId="165" fontId="2" fillId="0" borderId="39" xfId="0" applyNumberFormat="1" applyFont="1" applyBorder="1" applyAlignment="1">
      <alignment vertical="center"/>
    </xf>
    <xf numFmtId="165" fontId="2" fillId="0" borderId="42" xfId="0" applyNumberFormat="1" applyFont="1" applyBorder="1" applyAlignment="1">
      <alignment vertical="center"/>
    </xf>
    <xf numFmtId="165" fontId="2" fillId="0" borderId="0" xfId="0" applyNumberFormat="1" applyFont="1" applyAlignment="1">
      <alignment vertical="center"/>
    </xf>
    <xf numFmtId="165" fontId="2" fillId="11" borderId="56" xfId="0" applyNumberFormat="1" applyFont="1" applyFill="1" applyBorder="1" applyAlignment="1">
      <alignment vertical="center"/>
    </xf>
    <xf numFmtId="165" fontId="2" fillId="11" borderId="57" xfId="0" applyNumberFormat="1" applyFont="1" applyFill="1" applyBorder="1" applyAlignment="1">
      <alignment vertical="center"/>
    </xf>
    <xf numFmtId="165" fontId="2" fillId="11" borderId="14" xfId="0" applyNumberFormat="1" applyFont="1" applyFill="1" applyBorder="1" applyAlignment="1">
      <alignment vertical="center"/>
    </xf>
    <xf numFmtId="165" fontId="2" fillId="12" borderId="56" xfId="0" applyNumberFormat="1" applyFont="1" applyFill="1" applyBorder="1" applyAlignment="1">
      <alignment vertical="center"/>
    </xf>
    <xf numFmtId="165" fontId="2" fillId="12" borderId="57" xfId="0" applyNumberFormat="1" applyFont="1" applyFill="1" applyBorder="1" applyAlignment="1">
      <alignment vertical="center"/>
    </xf>
    <xf numFmtId="165" fontId="2" fillId="12" borderId="14" xfId="0" applyNumberFormat="1" applyFont="1" applyFill="1" applyBorder="1" applyAlignment="1">
      <alignment vertical="center"/>
    </xf>
    <xf numFmtId="165" fontId="2" fillId="13" borderId="56" xfId="0" applyNumberFormat="1" applyFont="1" applyFill="1" applyBorder="1" applyAlignment="1">
      <alignment vertical="center"/>
    </xf>
    <xf numFmtId="165" fontId="2" fillId="13" borderId="57" xfId="0" applyNumberFormat="1" applyFont="1" applyFill="1" applyBorder="1" applyAlignment="1">
      <alignment vertical="center"/>
    </xf>
    <xf numFmtId="165" fontId="2" fillId="13" borderId="14" xfId="0" applyNumberFormat="1" applyFont="1" applyFill="1" applyBorder="1" applyAlignment="1">
      <alignment vertical="center"/>
    </xf>
    <xf numFmtId="165" fontId="2" fillId="0" borderId="49" xfId="0" applyNumberFormat="1" applyFont="1" applyBorder="1" applyAlignment="1">
      <alignment vertical="center"/>
    </xf>
    <xf numFmtId="165" fontId="2" fillId="0" borderId="43" xfId="0" applyNumberFormat="1" applyFont="1" applyBorder="1" applyAlignment="1">
      <alignment vertical="center"/>
    </xf>
    <xf numFmtId="165" fontId="2" fillId="0" borderId="28" xfId="0" applyNumberFormat="1" applyFont="1" applyBorder="1" applyAlignment="1">
      <alignment vertical="center"/>
    </xf>
    <xf numFmtId="165" fontId="2" fillId="8" borderId="45" xfId="0" applyNumberFormat="1" applyFont="1" applyFill="1" applyBorder="1" applyAlignment="1">
      <alignment vertical="center"/>
    </xf>
    <xf numFmtId="165" fontId="2" fillId="8" borderId="47" xfId="0" applyNumberFormat="1" applyFont="1" applyFill="1" applyBorder="1" applyAlignment="1">
      <alignment vertical="center"/>
    </xf>
    <xf numFmtId="165" fontId="2" fillId="8" borderId="60" xfId="0" applyNumberFormat="1" applyFont="1" applyFill="1" applyBorder="1" applyAlignment="1">
      <alignment vertical="center"/>
    </xf>
    <xf numFmtId="165" fontId="2" fillId="9" borderId="45" xfId="0" applyNumberFormat="1" applyFont="1" applyFill="1" applyBorder="1"/>
    <xf numFmtId="165" fontId="2" fillId="9" borderId="47" xfId="0" applyNumberFormat="1" applyFont="1" applyFill="1" applyBorder="1"/>
    <xf numFmtId="165" fontId="2" fillId="9" borderId="48" xfId="0" applyNumberFormat="1" applyFont="1" applyFill="1" applyBorder="1"/>
    <xf numFmtId="165" fontId="2" fillId="8" borderId="48" xfId="0" applyNumberFormat="1" applyFont="1" applyFill="1" applyBorder="1" applyAlignment="1">
      <alignment vertical="center"/>
    </xf>
    <xf numFmtId="0" fontId="21" fillId="6" borderId="45" xfId="0" applyFont="1" applyFill="1" applyBorder="1" applyAlignment="1">
      <alignment horizontal="center" vertical="center"/>
    </xf>
    <xf numFmtId="0" fontId="21" fillId="6" borderId="47" xfId="0" applyFont="1" applyFill="1" applyBorder="1" applyAlignment="1">
      <alignment horizontal="center" vertical="center"/>
    </xf>
    <xf numFmtId="0" fontId="21" fillId="6" borderId="47" xfId="0" applyFont="1" applyFill="1" applyBorder="1" applyAlignment="1">
      <alignment horizontal="center" vertical="center" wrapText="1"/>
    </xf>
    <xf numFmtId="165" fontId="1" fillId="0" borderId="39" xfId="0" applyNumberFormat="1" applyFont="1" applyBorder="1" applyAlignment="1">
      <alignment vertical="center"/>
    </xf>
    <xf numFmtId="165" fontId="1" fillId="0" borderId="0" xfId="0" applyNumberFormat="1" applyFont="1" applyAlignment="1">
      <alignment vertical="center"/>
    </xf>
    <xf numFmtId="165" fontId="1" fillId="0" borderId="49" xfId="0" applyNumberFormat="1" applyFont="1" applyBorder="1" applyAlignment="1">
      <alignment vertical="center"/>
    </xf>
    <xf numFmtId="165" fontId="1" fillId="0" borderId="28" xfId="0" applyNumberFormat="1" applyFont="1" applyBorder="1" applyAlignment="1">
      <alignment vertical="center"/>
    </xf>
    <xf numFmtId="165" fontId="2" fillId="8" borderId="62" xfId="0" applyNumberFormat="1" applyFont="1" applyFill="1" applyBorder="1"/>
    <xf numFmtId="165" fontId="2" fillId="8" borderId="50" xfId="0" applyNumberFormat="1" applyFont="1" applyFill="1" applyBorder="1"/>
    <xf numFmtId="0" fontId="1" fillId="0" borderId="51" xfId="0" applyFont="1" applyBorder="1" applyAlignment="1">
      <alignment vertical="center"/>
    </xf>
    <xf numFmtId="0" fontId="2" fillId="0" borderId="52" xfId="0" applyFont="1" applyBorder="1" applyAlignment="1">
      <alignment vertical="center"/>
    </xf>
    <xf numFmtId="0" fontId="1" fillId="0" borderId="52" xfId="0" applyFont="1" applyBorder="1" applyAlignment="1">
      <alignment vertical="center"/>
    </xf>
    <xf numFmtId="0" fontId="1" fillId="0" borderId="53" xfId="0" applyFont="1" applyBorder="1" applyAlignment="1">
      <alignment vertical="center"/>
    </xf>
    <xf numFmtId="0" fontId="28" fillId="0" borderId="0" xfId="0" applyFont="1"/>
    <xf numFmtId="0" fontId="29" fillId="0" borderId="0" xfId="0" applyFont="1"/>
    <xf numFmtId="0" fontId="28" fillId="0" borderId="24" xfId="0" applyFont="1" applyBorder="1"/>
    <xf numFmtId="0" fontId="29" fillId="0" borderId="24" xfId="0" applyFont="1" applyBorder="1"/>
    <xf numFmtId="0" fontId="29" fillId="0" borderId="25" xfId="0" applyFont="1" applyBorder="1"/>
    <xf numFmtId="0" fontId="30" fillId="0" borderId="0" xfId="0" applyFont="1" applyAlignment="1">
      <alignment vertical="center" wrapText="1"/>
    </xf>
    <xf numFmtId="0" fontId="29" fillId="0" borderId="27" xfId="0" applyFont="1" applyBorder="1"/>
    <xf numFmtId="0" fontId="29" fillId="0" borderId="26" xfId="0" applyFont="1" applyBorder="1"/>
    <xf numFmtId="0" fontId="28" fillId="0" borderId="28" xfId="0" applyFont="1" applyBorder="1"/>
    <xf numFmtId="0" fontId="28" fillId="0" borderId="26" xfId="0" applyFont="1" applyBorder="1"/>
    <xf numFmtId="0" fontId="1" fillId="6" borderId="34" xfId="0" applyFont="1" applyFill="1" applyBorder="1" applyAlignment="1">
      <alignment vertical="center"/>
    </xf>
    <xf numFmtId="0" fontId="2" fillId="6" borderId="35" xfId="0" applyFont="1" applyFill="1" applyBorder="1" applyAlignment="1">
      <alignment horizontal="center" vertical="center"/>
    </xf>
    <xf numFmtId="0" fontId="2" fillId="6" borderId="38" xfId="0" applyFont="1" applyFill="1" applyBorder="1" applyAlignment="1">
      <alignment horizontal="center" vertical="center"/>
    </xf>
    <xf numFmtId="0" fontId="2" fillId="7" borderId="35" xfId="0" applyFont="1" applyFill="1" applyBorder="1" applyAlignment="1">
      <alignment horizontal="center" vertical="center"/>
    </xf>
    <xf numFmtId="0" fontId="2" fillId="7" borderId="34" xfId="0" applyFont="1" applyFill="1" applyBorder="1" applyAlignment="1">
      <alignment horizontal="center" vertical="center"/>
    </xf>
    <xf numFmtId="0" fontId="2" fillId="7" borderId="38" xfId="0" applyFont="1" applyFill="1" applyBorder="1" applyAlignment="1">
      <alignment horizontal="center" vertical="center" wrapText="1"/>
    </xf>
    <xf numFmtId="0" fontId="2" fillId="7" borderId="34" xfId="0" applyFont="1" applyFill="1" applyBorder="1" applyAlignment="1">
      <alignment horizontal="center" vertical="center" wrapText="1"/>
    </xf>
    <xf numFmtId="166" fontId="1" fillId="10" borderId="56" xfId="0" applyNumberFormat="1" applyFont="1" applyFill="1" applyBorder="1"/>
    <xf numFmtId="166" fontId="1" fillId="10" borderId="57" xfId="0" applyNumberFormat="1" applyFont="1" applyFill="1" applyBorder="1"/>
    <xf numFmtId="166" fontId="2" fillId="10" borderId="56" xfId="0" applyNumberFormat="1" applyFont="1" applyFill="1" applyBorder="1"/>
    <xf numFmtId="166" fontId="2" fillId="10" borderId="14" xfId="0" applyNumberFormat="1" applyFont="1" applyFill="1" applyBorder="1"/>
    <xf numFmtId="166" fontId="2" fillId="10" borderId="57" xfId="0" applyNumberFormat="1" applyFont="1" applyFill="1" applyBorder="1"/>
    <xf numFmtId="166" fontId="1" fillId="10" borderId="14" xfId="0" applyNumberFormat="1" applyFont="1" applyFill="1" applyBorder="1"/>
    <xf numFmtId="40" fontId="1" fillId="10" borderId="57" xfId="0" applyNumberFormat="1" applyFont="1" applyFill="1" applyBorder="1"/>
    <xf numFmtId="4" fontId="1" fillId="10" borderId="56" xfId="0" applyNumberFormat="1" applyFont="1" applyFill="1" applyBorder="1"/>
    <xf numFmtId="4" fontId="1" fillId="10" borderId="57" xfId="0" applyNumberFormat="1" applyFont="1" applyFill="1" applyBorder="1"/>
    <xf numFmtId="4" fontId="1" fillId="10" borderId="14" xfId="0" applyNumberFormat="1" applyFont="1" applyFill="1" applyBorder="1"/>
    <xf numFmtId="0" fontId="1" fillId="10" borderId="14" xfId="0" applyFont="1" applyFill="1" applyBorder="1"/>
    <xf numFmtId="165" fontId="1" fillId="11" borderId="56" xfId="0" applyNumberFormat="1" applyFont="1" applyFill="1" applyBorder="1"/>
    <xf numFmtId="165" fontId="1" fillId="11" borderId="57" xfId="0" applyNumberFormat="1" applyFont="1" applyFill="1" applyBorder="1"/>
    <xf numFmtId="165" fontId="1" fillId="11" borderId="14" xfId="0" applyNumberFormat="1" applyFont="1" applyFill="1" applyBorder="1"/>
    <xf numFmtId="165" fontId="1" fillId="12" borderId="56" xfId="0" applyNumberFormat="1" applyFont="1" applyFill="1" applyBorder="1"/>
    <xf numFmtId="165" fontId="1" fillId="12" borderId="57" xfId="0" applyNumberFormat="1" applyFont="1" applyFill="1" applyBorder="1"/>
    <xf numFmtId="165" fontId="1" fillId="12" borderId="14" xfId="0" applyNumberFormat="1" applyFont="1" applyFill="1" applyBorder="1"/>
    <xf numFmtId="165" fontId="1" fillId="13" borderId="56" xfId="0" applyNumberFormat="1" applyFont="1" applyFill="1" applyBorder="1"/>
    <xf numFmtId="165" fontId="1" fillId="13" borderId="57" xfId="0" applyNumberFormat="1" applyFont="1" applyFill="1" applyBorder="1"/>
    <xf numFmtId="165" fontId="1" fillId="13" borderId="14" xfId="0" applyNumberFormat="1" applyFont="1" applyFill="1" applyBorder="1"/>
    <xf numFmtId="165" fontId="2" fillId="8" borderId="60" xfId="0" applyNumberFormat="1" applyFont="1" applyFill="1" applyBorder="1"/>
    <xf numFmtId="0" fontId="2" fillId="6" borderId="47" xfId="0" applyFont="1" applyFill="1" applyBorder="1" applyAlignment="1">
      <alignment horizontal="center" vertical="center" wrapText="1"/>
    </xf>
    <xf numFmtId="0" fontId="29" fillId="0" borderId="51" xfId="0" applyFont="1" applyBorder="1"/>
    <xf numFmtId="0" fontId="28" fillId="0" borderId="52" xfId="0" applyFont="1" applyBorder="1"/>
    <xf numFmtId="0" fontId="29" fillId="0" borderId="52" xfId="0" applyFont="1" applyBorder="1"/>
    <xf numFmtId="0" fontId="29" fillId="0" borderId="53" xfId="0" applyFont="1" applyBorder="1"/>
    <xf numFmtId="165" fontId="1" fillId="14" borderId="56" xfId="0" applyNumberFormat="1" applyFont="1" applyFill="1" applyBorder="1"/>
    <xf numFmtId="165" fontId="1" fillId="14" borderId="57" xfId="0" applyNumberFormat="1" applyFont="1" applyFill="1" applyBorder="1"/>
    <xf numFmtId="165" fontId="2" fillId="14" borderId="56" xfId="0" applyNumberFormat="1" applyFont="1" applyFill="1" applyBorder="1"/>
    <xf numFmtId="165" fontId="2" fillId="14" borderId="14" xfId="0" applyNumberFormat="1" applyFont="1" applyFill="1" applyBorder="1"/>
    <xf numFmtId="165" fontId="2" fillId="14" borderId="57" xfId="0" applyNumberFormat="1" applyFont="1" applyFill="1" applyBorder="1"/>
    <xf numFmtId="165" fontId="1" fillId="14" borderId="14" xfId="0" applyNumberFormat="1" applyFont="1" applyFill="1" applyBorder="1"/>
    <xf numFmtId="165" fontId="1" fillId="15" borderId="56" xfId="0" applyNumberFormat="1" applyFont="1" applyFill="1" applyBorder="1"/>
    <xf numFmtId="165" fontId="1" fillId="15" borderId="57" xfId="0" applyNumberFormat="1" applyFont="1" applyFill="1" applyBorder="1"/>
    <xf numFmtId="165" fontId="1" fillId="15" borderId="14" xfId="0" applyNumberFormat="1" applyFont="1" applyFill="1" applyBorder="1"/>
    <xf numFmtId="165" fontId="1" fillId="16" borderId="56" xfId="0" applyNumberFormat="1" applyFont="1" applyFill="1" applyBorder="1"/>
    <xf numFmtId="165" fontId="1" fillId="16" borderId="57" xfId="0" applyNumberFormat="1" applyFont="1" applyFill="1" applyBorder="1"/>
    <xf numFmtId="165" fontId="1" fillId="16" borderId="14" xfId="0" applyNumberFormat="1" applyFont="1" applyFill="1" applyBorder="1"/>
    <xf numFmtId="165" fontId="1" fillId="17" borderId="56" xfId="0" applyNumberFormat="1" applyFont="1" applyFill="1" applyBorder="1"/>
    <xf numFmtId="165" fontId="1" fillId="17" borderId="57" xfId="0" applyNumberFormat="1" applyFont="1" applyFill="1" applyBorder="1"/>
    <xf numFmtId="165" fontId="1" fillId="17" borderId="14" xfId="0" applyNumberFormat="1" applyFont="1" applyFill="1" applyBorder="1"/>
    <xf numFmtId="165" fontId="1" fillId="0" borderId="67" xfId="0" applyNumberFormat="1" applyFont="1" applyBorder="1"/>
    <xf numFmtId="165" fontId="1" fillId="0" borderId="68" xfId="0" applyNumberFormat="1" applyFont="1" applyBorder="1"/>
    <xf numFmtId="0" fontId="31" fillId="0" borderId="0" xfId="0" applyFont="1" applyAlignment="1">
      <alignment horizontal="left" vertical="center" wrapText="1"/>
    </xf>
    <xf numFmtId="0" fontId="32" fillId="0" borderId="0" xfId="0" applyFont="1"/>
    <xf numFmtId="0" fontId="32" fillId="0" borderId="26" xfId="0" applyFont="1" applyBorder="1"/>
    <xf numFmtId="0" fontId="32" fillId="0" borderId="27" xfId="0" applyFont="1" applyBorder="1"/>
    <xf numFmtId="165" fontId="1" fillId="14" borderId="72" xfId="0" applyNumberFormat="1" applyFont="1" applyFill="1" applyBorder="1"/>
    <xf numFmtId="165" fontId="1" fillId="14" borderId="73" xfId="0" applyNumberFormat="1" applyFont="1" applyFill="1" applyBorder="1"/>
    <xf numFmtId="165" fontId="1" fillId="0" borderId="41" xfId="0" applyNumberFormat="1" applyFont="1" applyBorder="1"/>
    <xf numFmtId="165" fontId="1" fillId="0" borderId="40" xfId="0" applyNumberFormat="1" applyFont="1" applyBorder="1"/>
    <xf numFmtId="165" fontId="1" fillId="11" borderId="72" xfId="0" applyNumberFormat="1" applyFont="1" applyFill="1" applyBorder="1"/>
    <xf numFmtId="165" fontId="1" fillId="11" borderId="73" xfId="0" applyNumberFormat="1" applyFont="1" applyFill="1" applyBorder="1"/>
    <xf numFmtId="165" fontId="1" fillId="15" borderId="72" xfId="0" applyNumberFormat="1" applyFont="1" applyFill="1" applyBorder="1"/>
    <xf numFmtId="165" fontId="1" fillId="15" borderId="73" xfId="0" applyNumberFormat="1" applyFont="1" applyFill="1" applyBorder="1"/>
    <xf numFmtId="165" fontId="1" fillId="16" borderId="72" xfId="0" applyNumberFormat="1" applyFont="1" applyFill="1" applyBorder="1"/>
    <xf numFmtId="165" fontId="1" fillId="16" borderId="73" xfId="0" applyNumberFormat="1" applyFont="1" applyFill="1" applyBorder="1"/>
    <xf numFmtId="165" fontId="1" fillId="17" borderId="72" xfId="0" applyNumberFormat="1" applyFont="1" applyFill="1" applyBorder="1"/>
    <xf numFmtId="165" fontId="1" fillId="0" borderId="76" xfId="0" applyNumberFormat="1" applyFont="1" applyBorder="1"/>
    <xf numFmtId="0" fontId="2" fillId="6" borderId="77" xfId="0" applyFont="1" applyFill="1" applyBorder="1" applyAlignment="1">
      <alignment horizontal="center" vertical="center"/>
    </xf>
    <xf numFmtId="0" fontId="2" fillId="6" borderId="78" xfId="0" applyFont="1" applyFill="1" applyBorder="1" applyAlignment="1">
      <alignment horizontal="center" vertical="center"/>
    </xf>
    <xf numFmtId="0" fontId="2" fillId="6" borderId="78" xfId="0" applyFont="1" applyFill="1" applyBorder="1" applyAlignment="1">
      <alignment horizontal="center" vertical="center" wrapText="1"/>
    </xf>
    <xf numFmtId="0" fontId="2" fillId="0" borderId="26" xfId="0" applyFont="1" applyBorder="1"/>
    <xf numFmtId="49" fontId="28" fillId="0" borderId="0" xfId="0" applyNumberFormat="1" applyFont="1"/>
    <xf numFmtId="49" fontId="28" fillId="0" borderId="27" xfId="0" applyNumberFormat="1" applyFont="1" applyBorder="1"/>
    <xf numFmtId="17" fontId="29" fillId="0" borderId="0" xfId="0" applyNumberFormat="1" applyFont="1" applyAlignment="1">
      <alignment horizontal="center"/>
    </xf>
    <xf numFmtId="17" fontId="29" fillId="0" borderId="0" xfId="0" applyNumberFormat="1" applyFont="1" applyAlignment="1">
      <alignment horizontal="center" wrapText="1"/>
    </xf>
    <xf numFmtId="17" fontId="29" fillId="0" borderId="27" xfId="0" applyNumberFormat="1" applyFont="1" applyBorder="1" applyAlignment="1">
      <alignment horizontal="center"/>
    </xf>
    <xf numFmtId="166" fontId="1" fillId="14" borderId="77" xfId="0" applyNumberFormat="1" applyFont="1" applyFill="1" applyBorder="1"/>
    <xf numFmtId="166" fontId="1" fillId="14" borderId="78" xfId="0" applyNumberFormat="1" applyFont="1" applyFill="1" applyBorder="1"/>
    <xf numFmtId="166" fontId="29" fillId="0" borderId="0" xfId="0" applyNumberFormat="1" applyFont="1"/>
    <xf numFmtId="166" fontId="28" fillId="0" borderId="0" xfId="0" applyNumberFormat="1" applyFont="1"/>
    <xf numFmtId="166" fontId="29" fillId="0" borderId="27" xfId="0" applyNumberFormat="1" applyFont="1" applyBorder="1"/>
    <xf numFmtId="40" fontId="29" fillId="0" borderId="0" xfId="0" applyNumberFormat="1" applyFont="1"/>
    <xf numFmtId="40" fontId="29" fillId="0" borderId="27" xfId="0" applyNumberFormat="1" applyFont="1" applyBorder="1"/>
    <xf numFmtId="165" fontId="2" fillId="11" borderId="14" xfId="0" applyNumberFormat="1" applyFont="1" applyFill="1" applyBorder="1" applyAlignment="1">
      <alignment horizontal="left"/>
    </xf>
    <xf numFmtId="165" fontId="2" fillId="15" borderId="14" xfId="0" applyNumberFormat="1" applyFont="1" applyFill="1" applyBorder="1" applyAlignment="1">
      <alignment horizontal="left"/>
    </xf>
    <xf numFmtId="165" fontId="2" fillId="16" borderId="14" xfId="0" applyNumberFormat="1" applyFont="1" applyFill="1" applyBorder="1" applyAlignment="1">
      <alignment horizontal="left"/>
    </xf>
    <xf numFmtId="165" fontId="2" fillId="17" borderId="14" xfId="0" applyNumberFormat="1" applyFont="1" applyFill="1" applyBorder="1" applyAlignment="1">
      <alignment horizontal="left"/>
    </xf>
    <xf numFmtId="167" fontId="28" fillId="0" borderId="0" xfId="0" applyNumberFormat="1" applyFont="1"/>
    <xf numFmtId="167" fontId="28" fillId="0" borderId="27" xfId="0" applyNumberFormat="1" applyFont="1" applyBorder="1"/>
    <xf numFmtId="49" fontId="2" fillId="0" borderId="0" xfId="0" applyNumberFormat="1" applyFont="1"/>
    <xf numFmtId="49" fontId="2" fillId="0" borderId="27" xfId="0" applyNumberFormat="1" applyFont="1" applyBorder="1"/>
    <xf numFmtId="17" fontId="1" fillId="0" borderId="0" xfId="0" applyNumberFormat="1" applyFont="1" applyAlignment="1">
      <alignment horizontal="center"/>
    </xf>
    <xf numFmtId="17" fontId="1" fillId="0" borderId="0" xfId="0" applyNumberFormat="1" applyFont="1" applyAlignment="1">
      <alignment horizontal="center" wrapText="1"/>
    </xf>
    <xf numFmtId="17" fontId="1" fillId="0" borderId="27" xfId="0" applyNumberFormat="1" applyFont="1" applyBorder="1" applyAlignment="1">
      <alignment horizontal="center"/>
    </xf>
    <xf numFmtId="165" fontId="1" fillId="14" borderId="77" xfId="0" applyNumberFormat="1" applyFont="1" applyFill="1" applyBorder="1"/>
    <xf numFmtId="165" fontId="1" fillId="14" borderId="78" xfId="0" applyNumberFormat="1" applyFont="1" applyFill="1" applyBorder="1"/>
    <xf numFmtId="166" fontId="1" fillId="0" borderId="0" xfId="0" applyNumberFormat="1" applyFont="1"/>
    <xf numFmtId="166" fontId="2" fillId="0" borderId="0" xfId="0" applyNumberFormat="1" applyFont="1"/>
    <xf numFmtId="166" fontId="1" fillId="0" borderId="27" xfId="0" applyNumberFormat="1" applyFont="1" applyBorder="1"/>
    <xf numFmtId="40" fontId="1" fillId="0" borderId="0" xfId="0" applyNumberFormat="1" applyFont="1"/>
    <xf numFmtId="40" fontId="1" fillId="0" borderId="27" xfId="0" applyNumberFormat="1" applyFont="1" applyBorder="1"/>
    <xf numFmtId="167" fontId="2" fillId="0" borderId="0" xfId="0" applyNumberFormat="1" applyFont="1"/>
    <xf numFmtId="167" fontId="2" fillId="0" borderId="27" xfId="0" applyNumberFormat="1" applyFont="1" applyBorder="1"/>
    <xf numFmtId="0" fontId="12" fillId="2" borderId="15" xfId="0" applyFont="1" applyFill="1" applyBorder="1"/>
    <xf numFmtId="0" fontId="5" fillId="0" borderId="16" xfId="0" applyFont="1" applyBorder="1"/>
    <xf numFmtId="0" fontId="14" fillId="3" borderId="0" xfId="0" applyFont="1" applyFill="1" applyAlignment="1">
      <alignment horizontal="center" vertical="center" wrapText="1"/>
    </xf>
    <xf numFmtId="0" fontId="0" fillId="0" borderId="0" xfId="0"/>
    <xf numFmtId="0" fontId="3" fillId="0" borderId="0" xfId="0" applyFont="1" applyAlignment="1">
      <alignment horizontal="center" vertical="center" wrapText="1"/>
    </xf>
    <xf numFmtId="0" fontId="4" fillId="2" borderId="10" xfId="0" applyFont="1" applyFill="1" applyBorder="1"/>
    <xf numFmtId="0" fontId="5" fillId="0" borderId="11" xfId="0" applyFont="1" applyBorder="1"/>
    <xf numFmtId="0" fontId="5" fillId="0" borderId="13" xfId="0" applyFont="1" applyBorder="1"/>
    <xf numFmtId="0" fontId="7" fillId="2" borderId="10" xfId="0" applyFont="1" applyFill="1" applyBorder="1" applyAlignment="1">
      <alignment vertical="center" wrapText="1"/>
    </xf>
    <xf numFmtId="0" fontId="9" fillId="0" borderId="0" xfId="0" applyFont="1" applyAlignment="1">
      <alignment vertical="center" wrapText="1"/>
    </xf>
    <xf numFmtId="0" fontId="9" fillId="0" borderId="0" xfId="0" applyFont="1" applyAlignment="1">
      <alignment horizontal="left" vertical="center" wrapText="1"/>
    </xf>
    <xf numFmtId="0" fontId="11" fillId="3" borderId="0" xfId="0" applyFont="1" applyFill="1" applyAlignment="1">
      <alignment horizontal="center" vertical="center" wrapText="1"/>
    </xf>
    <xf numFmtId="0" fontId="18" fillId="0" borderId="0" xfId="0" applyFont="1" applyAlignment="1">
      <alignment horizontal="left" vertical="center" wrapText="1"/>
    </xf>
    <xf numFmtId="49" fontId="19" fillId="4" borderId="29" xfId="0" applyNumberFormat="1" applyFont="1" applyFill="1" applyBorder="1" applyAlignment="1">
      <alignment horizontal="center"/>
    </xf>
    <xf numFmtId="0" fontId="5" fillId="0" borderId="30" xfId="0" applyFont="1" applyBorder="1"/>
    <xf numFmtId="49" fontId="19" fillId="4" borderId="31" xfId="0" applyNumberFormat="1" applyFont="1" applyFill="1" applyBorder="1" applyAlignment="1">
      <alignment horizontal="center"/>
    </xf>
    <xf numFmtId="0" fontId="5" fillId="0" borderId="32" xfId="0" applyFont="1" applyBorder="1"/>
    <xf numFmtId="49" fontId="19" fillId="5" borderId="29" xfId="0" applyNumberFormat="1" applyFont="1" applyFill="1" applyBorder="1" applyAlignment="1">
      <alignment horizontal="center"/>
    </xf>
    <xf numFmtId="0" fontId="5" fillId="0" borderId="33" xfId="0" applyFont="1" applyBorder="1"/>
    <xf numFmtId="49" fontId="19" fillId="4" borderId="29" xfId="0" applyNumberFormat="1" applyFont="1" applyFill="1" applyBorder="1" applyAlignment="1">
      <alignment horizontal="center" vertical="center"/>
    </xf>
    <xf numFmtId="49" fontId="19" fillId="5" borderId="29" xfId="0" applyNumberFormat="1" applyFont="1" applyFill="1" applyBorder="1" applyAlignment="1">
      <alignment horizontal="center" vertical="center"/>
    </xf>
    <xf numFmtId="0" fontId="2" fillId="10" borderId="54" xfId="0" applyFont="1" applyFill="1" applyBorder="1" applyAlignment="1">
      <alignment horizontal="left" vertical="center"/>
    </xf>
    <xf numFmtId="0" fontId="5" fillId="0" borderId="55" xfId="0" applyFont="1" applyBorder="1"/>
    <xf numFmtId="0" fontId="2" fillId="0" borderId="0" xfId="0" applyFont="1" applyAlignment="1">
      <alignment horizontal="left" vertical="center"/>
    </xf>
    <xf numFmtId="0" fontId="27" fillId="0" borderId="0" xfId="0" applyFont="1" applyAlignment="1">
      <alignment horizontal="left" vertical="center"/>
    </xf>
    <xf numFmtId="0" fontId="2" fillId="11" borderId="15" xfId="0" applyFont="1" applyFill="1" applyBorder="1" applyAlignment="1">
      <alignment horizontal="left" vertical="center"/>
    </xf>
    <xf numFmtId="0" fontId="2" fillId="12" borderId="15" xfId="0" applyFont="1" applyFill="1" applyBorder="1" applyAlignment="1">
      <alignment horizontal="left" vertical="center"/>
    </xf>
    <xf numFmtId="0" fontId="2" fillId="13" borderId="15" xfId="0" applyFont="1" applyFill="1" applyBorder="1" applyAlignment="1">
      <alignment horizontal="left" vertical="center"/>
    </xf>
    <xf numFmtId="0" fontId="2" fillId="8" borderId="58" xfId="0" applyFont="1" applyFill="1" applyBorder="1" applyAlignment="1">
      <alignment horizontal="left" vertical="center"/>
    </xf>
    <xf numFmtId="0" fontId="5" fillId="0" borderId="61" xfId="0" applyFont="1" applyBorder="1"/>
    <xf numFmtId="0" fontId="2" fillId="0" borderId="28" xfId="0" applyFont="1" applyBorder="1" applyAlignment="1">
      <alignment horizontal="left" vertical="center"/>
    </xf>
    <xf numFmtId="0" fontId="5" fillId="0" borderId="28" xfId="0" applyFont="1" applyBorder="1"/>
    <xf numFmtId="0" fontId="5" fillId="0" borderId="59" xfId="0" applyFont="1" applyBorder="1"/>
    <xf numFmtId="0" fontId="2" fillId="6" borderId="58" xfId="0" applyFont="1" applyFill="1" applyBorder="1" applyAlignment="1">
      <alignment horizontal="center" vertical="center"/>
    </xf>
    <xf numFmtId="0" fontId="2" fillId="10" borderId="15" xfId="0" applyFont="1" applyFill="1" applyBorder="1" applyAlignment="1">
      <alignment horizontal="left" vertical="center"/>
    </xf>
    <xf numFmtId="0" fontId="2" fillId="10" borderId="54" xfId="0" applyFont="1" applyFill="1" applyBorder="1" applyAlignment="1">
      <alignment horizontal="left"/>
    </xf>
    <xf numFmtId="0" fontId="1" fillId="0" borderId="0" xfId="0" applyFont="1" applyAlignment="1">
      <alignment horizontal="left"/>
    </xf>
    <xf numFmtId="0" fontId="2" fillId="11" borderId="15" xfId="0" applyFont="1" applyFill="1" applyBorder="1" applyAlignment="1">
      <alignment horizontal="left"/>
    </xf>
    <xf numFmtId="0" fontId="2" fillId="12" borderId="15" xfId="0" applyFont="1" applyFill="1" applyBorder="1" applyAlignment="1">
      <alignment horizontal="left"/>
    </xf>
    <xf numFmtId="0" fontId="2" fillId="13" borderId="64" xfId="0" applyFont="1" applyFill="1" applyBorder="1" applyAlignment="1">
      <alignment horizontal="left" vertical="center"/>
    </xf>
    <xf numFmtId="0" fontId="5" fillId="0" borderId="65" xfId="0" applyFont="1" applyBorder="1"/>
    <xf numFmtId="0" fontId="2" fillId="13" borderId="15" xfId="0" applyFont="1" applyFill="1" applyBorder="1" applyAlignment="1">
      <alignment horizontal="left"/>
    </xf>
    <xf numFmtId="0" fontId="1" fillId="0" borderId="63" xfId="0" applyFont="1" applyBorder="1" applyAlignment="1">
      <alignment horizontal="left"/>
    </xf>
    <xf numFmtId="0" fontId="5" fillId="0" borderId="63" xfId="0" applyFont="1" applyBorder="1"/>
    <xf numFmtId="17" fontId="2" fillId="6" borderId="58" xfId="0" applyNumberFormat="1" applyFont="1" applyFill="1" applyBorder="1" applyAlignment="1">
      <alignment horizontal="center" vertical="center"/>
    </xf>
    <xf numFmtId="0" fontId="2" fillId="14" borderId="54" xfId="0" applyFont="1" applyFill="1" applyBorder="1" applyAlignment="1">
      <alignment horizontal="left"/>
    </xf>
    <xf numFmtId="0" fontId="2" fillId="15" borderId="15" xfId="0" applyFont="1" applyFill="1" applyBorder="1" applyAlignment="1">
      <alignment horizontal="left"/>
    </xf>
    <xf numFmtId="0" fontId="2" fillId="16" borderId="15" xfId="0" applyFont="1" applyFill="1" applyBorder="1" applyAlignment="1">
      <alignment horizontal="left"/>
    </xf>
    <xf numFmtId="0" fontId="2" fillId="14" borderId="66" xfId="0" applyFont="1" applyFill="1" applyBorder="1" applyAlignment="1">
      <alignment horizontal="left"/>
    </xf>
    <xf numFmtId="0" fontId="2" fillId="17" borderId="69" xfId="0" applyFont="1" applyFill="1" applyBorder="1" applyAlignment="1">
      <alignment horizontal="left"/>
    </xf>
    <xf numFmtId="0" fontId="5" fillId="0" borderId="70" xfId="0" applyFont="1" applyBorder="1"/>
    <xf numFmtId="0" fontId="2" fillId="17" borderId="15" xfId="0" applyFont="1" applyFill="1" applyBorder="1" applyAlignment="1">
      <alignment horizontal="left"/>
    </xf>
    <xf numFmtId="0" fontId="5" fillId="0" borderId="71" xfId="0" applyFont="1" applyBorder="1"/>
    <xf numFmtId="0" fontId="5" fillId="0" borderId="40" xfId="0" applyFont="1" applyBorder="1"/>
    <xf numFmtId="0" fontId="5" fillId="0" borderId="74" xfId="0" applyFont="1" applyBorder="1"/>
    <xf numFmtId="0" fontId="2" fillId="17" borderId="64" xfId="0" applyFont="1" applyFill="1" applyBorder="1" applyAlignment="1">
      <alignment horizontal="left"/>
    </xf>
    <xf numFmtId="0" fontId="5" fillId="0" borderId="75" xfId="0" applyFont="1" applyBorder="1"/>
    <xf numFmtId="0" fontId="5" fillId="0" borderId="79" xfId="0" applyFont="1" applyBorder="1"/>
    <xf numFmtId="49" fontId="28" fillId="0" borderId="0" xfId="0" applyNumberFormat="1" applyFont="1" applyAlignment="1">
      <alignment horizontal="center"/>
    </xf>
    <xf numFmtId="165" fontId="2" fillId="11" borderId="80" xfId="0" applyNumberFormat="1" applyFont="1" applyFill="1" applyBorder="1" applyAlignment="1">
      <alignment horizontal="left"/>
    </xf>
    <xf numFmtId="165" fontId="2" fillId="15" borderId="80" xfId="0" applyNumberFormat="1" applyFont="1" applyFill="1" applyBorder="1" applyAlignment="1">
      <alignment horizontal="left"/>
    </xf>
    <xf numFmtId="165" fontId="2" fillId="16" borderId="80" xfId="0" applyNumberFormat="1" applyFont="1" applyFill="1" applyBorder="1" applyAlignment="1">
      <alignment horizontal="left"/>
    </xf>
    <xf numFmtId="165" fontId="2" fillId="17" borderId="80" xfId="0" applyNumberFormat="1" applyFont="1" applyFill="1" applyBorder="1" applyAlignment="1">
      <alignment horizontal="left"/>
    </xf>
    <xf numFmtId="0" fontId="28" fillId="0" borderId="0" xfId="0" applyFont="1"/>
    <xf numFmtId="49" fontId="2" fillId="0" borderId="0" xfId="0" applyNumberFormat="1" applyFont="1" applyAlignment="1">
      <alignment horizontal="center"/>
    </xf>
  </cellXfs>
  <cellStyles count="1">
    <cellStyle name="Normal" xfId="0" builtinId="0"/>
  </cellStyles>
  <dxfs count="8">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solid">
          <fgColor rgb="FFB7E1CD"/>
          <bgColor rgb="FFB7E1CD"/>
        </patternFill>
      </fill>
    </dxf>
    <dxf>
      <font>
        <color rgb="FFFF0000"/>
      </font>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Calibri"/>
              </a:defRPr>
            </a:pPr>
            <a:r>
              <a:rPr lang="en-US" b="1" i="0">
                <a:solidFill>
                  <a:srgbClr val="757575"/>
                </a:solidFill>
                <a:latin typeface="Calibri"/>
              </a:rPr>
              <a:t>ANGGARAN MARKETING vs. PENGELUARAN AKTUAL</a:t>
            </a:r>
          </a:p>
        </c:rich>
      </c:tx>
      <c:overlay val="0"/>
    </c:title>
    <c:autoTitleDeleted val="0"/>
    <c:plotArea>
      <c:layout/>
      <c:barChart>
        <c:barDir val="col"/>
        <c:grouping val="clustered"/>
        <c:varyColors val="1"/>
        <c:ser>
          <c:idx val="0"/>
          <c:order val="0"/>
          <c:tx>
            <c:v>BUDGET</c:v>
          </c:tx>
          <c:spPr>
            <a:solidFill>
              <a:srgbClr val="EEC277"/>
            </a:solidFill>
            <a:ln cmpd="sng">
              <a:solidFill>
                <a:srgbClr val="000000"/>
              </a:solidFill>
            </a:ln>
          </c:spPr>
          <c:invertIfNegative val="1"/>
          <c:cat>
            <c:strRef>
              <c:f>'Master Marketing Budget'!$C$19:$C$30</c:f>
              <c:strCache>
                <c:ptCount val="12"/>
                <c:pt idx="0">
                  <c:v>JAN-YY</c:v>
                </c:pt>
                <c:pt idx="1">
                  <c:v>FEB-YY</c:v>
                </c:pt>
                <c:pt idx="2">
                  <c:v>MAR-YY</c:v>
                </c:pt>
                <c:pt idx="3">
                  <c:v>APR-YY</c:v>
                </c:pt>
                <c:pt idx="4">
                  <c:v>MEI-YY</c:v>
                </c:pt>
                <c:pt idx="5">
                  <c:v>JUNI-YY</c:v>
                </c:pt>
                <c:pt idx="6">
                  <c:v>JULI-YY</c:v>
                </c:pt>
                <c:pt idx="7">
                  <c:v>AGU-YY</c:v>
                </c:pt>
                <c:pt idx="8">
                  <c:v>SEPT-YY</c:v>
                </c:pt>
                <c:pt idx="9">
                  <c:v>OKT-YY</c:v>
                </c:pt>
                <c:pt idx="10">
                  <c:v>NOV-YY</c:v>
                </c:pt>
                <c:pt idx="11">
                  <c:v>DES-YY</c:v>
                </c:pt>
              </c:strCache>
            </c:strRef>
          </c:cat>
          <c:val>
            <c:numRef>
              <c:f>'Master Marketing Budget'!$D$19:$D$30</c:f>
              <c:numCache>
                <c:formatCode>[$Rp-421]#,##0.00</c:formatCode>
                <c:ptCount val="12"/>
                <c:pt idx="0">
                  <c:v>700</c:v>
                </c:pt>
                <c:pt idx="1">
                  <c:v>700</c:v>
                </c:pt>
                <c:pt idx="2">
                  <c:v>700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85E-4E18-B400-FD57D422904E}"/>
            </c:ext>
          </c:extLst>
        </c:ser>
        <c:ser>
          <c:idx val="1"/>
          <c:order val="1"/>
          <c:tx>
            <c:v>AKTUAL</c:v>
          </c:tx>
          <c:spPr>
            <a:solidFill>
              <a:srgbClr val="F0565C"/>
            </a:solidFill>
            <a:ln cmpd="sng">
              <a:solidFill>
                <a:srgbClr val="000000"/>
              </a:solidFill>
            </a:ln>
          </c:spPr>
          <c:invertIfNegative val="1"/>
          <c:cat>
            <c:strRef>
              <c:f>'Master Marketing Budget'!$C$19:$C$30</c:f>
              <c:strCache>
                <c:ptCount val="12"/>
                <c:pt idx="0">
                  <c:v>JAN-YY</c:v>
                </c:pt>
                <c:pt idx="1">
                  <c:v>FEB-YY</c:v>
                </c:pt>
                <c:pt idx="2">
                  <c:v>MAR-YY</c:v>
                </c:pt>
                <c:pt idx="3">
                  <c:v>APR-YY</c:v>
                </c:pt>
                <c:pt idx="4">
                  <c:v>MEI-YY</c:v>
                </c:pt>
                <c:pt idx="5">
                  <c:v>JUNI-YY</c:v>
                </c:pt>
                <c:pt idx="6">
                  <c:v>JULI-YY</c:v>
                </c:pt>
                <c:pt idx="7">
                  <c:v>AGU-YY</c:v>
                </c:pt>
                <c:pt idx="8">
                  <c:v>SEPT-YY</c:v>
                </c:pt>
                <c:pt idx="9">
                  <c:v>OKT-YY</c:v>
                </c:pt>
                <c:pt idx="10">
                  <c:v>NOV-YY</c:v>
                </c:pt>
                <c:pt idx="11">
                  <c:v>DES-YY</c:v>
                </c:pt>
              </c:strCache>
            </c:strRef>
          </c:cat>
          <c:val>
            <c:numRef>
              <c:f>'Master Marketing Budget'!$E$19:$E$30</c:f>
              <c:numCache>
                <c:formatCode>[$Rp-421]#,##0.00</c:formatCode>
                <c:ptCount val="12"/>
                <c:pt idx="0">
                  <c:v>1050</c:v>
                </c:pt>
                <c:pt idx="1">
                  <c:v>1050</c:v>
                </c:pt>
                <c:pt idx="2">
                  <c:v>1050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85E-4E18-B400-FD57D422904E}"/>
            </c:ext>
          </c:extLst>
        </c:ser>
        <c:dLbls>
          <c:showLegendKey val="0"/>
          <c:showVal val="0"/>
          <c:showCatName val="0"/>
          <c:showSerName val="0"/>
          <c:showPercent val="0"/>
          <c:showBubbleSize val="0"/>
        </c:dLbls>
        <c:gapWidth val="150"/>
        <c:axId val="1019484277"/>
        <c:axId val="251862974"/>
      </c:barChart>
      <c:catAx>
        <c:axId val="101948427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b="0" i="0">
                <a:solidFill>
                  <a:srgbClr val="000000"/>
                </a:solidFill>
                <a:latin typeface="Calibri"/>
              </a:defRPr>
            </a:pPr>
            <a:endParaRPr lang="en-US"/>
          </a:p>
        </c:txPr>
        <c:crossAx val="251862974"/>
        <c:crosses val="autoZero"/>
        <c:auto val="1"/>
        <c:lblAlgn val="ctr"/>
        <c:lblOffset val="100"/>
        <c:noMultiLvlLbl val="1"/>
      </c:catAx>
      <c:valAx>
        <c:axId val="25186297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Rp-421]#,##0.00" sourceLinked="0"/>
        <c:majorTickMark val="out"/>
        <c:minorTickMark val="none"/>
        <c:tickLblPos val="nextTo"/>
        <c:spPr>
          <a:ln/>
        </c:spPr>
        <c:txPr>
          <a:bodyPr/>
          <a:lstStyle/>
          <a:p>
            <a:pPr lvl="0">
              <a:defRPr b="1" i="0">
                <a:solidFill>
                  <a:srgbClr val="000000"/>
                </a:solidFill>
                <a:latin typeface="Calibri"/>
              </a:defRPr>
            </a:pPr>
            <a:endParaRPr lang="en-US"/>
          </a:p>
        </c:txPr>
        <c:crossAx val="1019484277"/>
        <c:crosses val="autoZero"/>
        <c:crossBetween val="between"/>
      </c:valAx>
    </c:plotArea>
    <c:legend>
      <c:legendPos val="r"/>
      <c:overlay val="0"/>
      <c:txPr>
        <a:bodyPr/>
        <a:lstStyle/>
        <a:p>
          <a:pPr lvl="0">
            <a:defRPr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Calibri"/>
              </a:defRPr>
            </a:pPr>
            <a:r>
              <a:rPr lang="en-US" b="1" i="0">
                <a:solidFill>
                  <a:srgbClr val="757575"/>
                </a:solidFill>
                <a:latin typeface="Calibri"/>
              </a:rPr>
              <a:t>ANGGARAN MARKETING KUMULATIF vs. PENGELUARAN AKTUAL</a:t>
            </a:r>
          </a:p>
        </c:rich>
      </c:tx>
      <c:layout>
        <c:manualLayout>
          <c:xMode val="edge"/>
          <c:yMode val="edge"/>
          <c:x val="0.16172568119706685"/>
          <c:y val="2.2535347417237176E-2"/>
        </c:manualLayout>
      </c:layout>
      <c:overlay val="0"/>
    </c:title>
    <c:autoTitleDeleted val="0"/>
    <c:plotArea>
      <c:layout/>
      <c:lineChart>
        <c:grouping val="standard"/>
        <c:varyColors val="1"/>
        <c:ser>
          <c:idx val="0"/>
          <c:order val="0"/>
          <c:tx>
            <c:v>ANGGARAN KUMULATIF</c:v>
          </c:tx>
          <c:spPr>
            <a:ln cmpd="sng">
              <a:solidFill>
                <a:srgbClr val="F0565C"/>
              </a:solidFill>
            </a:ln>
          </c:spPr>
          <c:marker>
            <c:symbol val="none"/>
          </c:marker>
          <c:cat>
            <c:strRef>
              <c:f>'Master Marketing Budget'!$C$19:$C$30</c:f>
              <c:strCache>
                <c:ptCount val="12"/>
                <c:pt idx="0">
                  <c:v>JAN-YY</c:v>
                </c:pt>
                <c:pt idx="1">
                  <c:v>FEB-YY</c:v>
                </c:pt>
                <c:pt idx="2">
                  <c:v>MAR-YY</c:v>
                </c:pt>
                <c:pt idx="3">
                  <c:v>APR-YY</c:v>
                </c:pt>
                <c:pt idx="4">
                  <c:v>MEI-YY</c:v>
                </c:pt>
                <c:pt idx="5">
                  <c:v>JUNI-YY</c:v>
                </c:pt>
                <c:pt idx="6">
                  <c:v>JULI-YY</c:v>
                </c:pt>
                <c:pt idx="7">
                  <c:v>AGU-YY</c:v>
                </c:pt>
                <c:pt idx="8">
                  <c:v>SEPT-YY</c:v>
                </c:pt>
                <c:pt idx="9">
                  <c:v>OKT-YY</c:v>
                </c:pt>
                <c:pt idx="10">
                  <c:v>NOV-YY</c:v>
                </c:pt>
                <c:pt idx="11">
                  <c:v>DES-YY</c:v>
                </c:pt>
              </c:strCache>
            </c:strRef>
          </c:cat>
          <c:val>
            <c:numRef>
              <c:f>'Master Marketing Budget'!$G$19:$G$30</c:f>
              <c:numCache>
                <c:formatCode>[$Rp-421]#,##0.00</c:formatCode>
                <c:ptCount val="12"/>
                <c:pt idx="0">
                  <c:v>700</c:v>
                </c:pt>
                <c:pt idx="1">
                  <c:v>1400</c:v>
                </c:pt>
                <c:pt idx="2">
                  <c:v>2100</c:v>
                </c:pt>
                <c:pt idx="3">
                  <c:v>2100</c:v>
                </c:pt>
                <c:pt idx="4">
                  <c:v>2100</c:v>
                </c:pt>
                <c:pt idx="5">
                  <c:v>2100</c:v>
                </c:pt>
                <c:pt idx="6">
                  <c:v>2100</c:v>
                </c:pt>
                <c:pt idx="7">
                  <c:v>2100</c:v>
                </c:pt>
                <c:pt idx="8">
                  <c:v>2100</c:v>
                </c:pt>
                <c:pt idx="9">
                  <c:v>2100</c:v>
                </c:pt>
                <c:pt idx="10">
                  <c:v>2100</c:v>
                </c:pt>
                <c:pt idx="11">
                  <c:v>2100</c:v>
                </c:pt>
              </c:numCache>
            </c:numRef>
          </c:val>
          <c:smooth val="0"/>
          <c:extLst>
            <c:ext xmlns:c16="http://schemas.microsoft.com/office/drawing/2014/chart" uri="{C3380CC4-5D6E-409C-BE32-E72D297353CC}">
              <c16:uniqueId val="{00000000-4D8B-4EC1-9756-A6361BFEBDD2}"/>
            </c:ext>
          </c:extLst>
        </c:ser>
        <c:ser>
          <c:idx val="1"/>
          <c:order val="1"/>
          <c:tx>
            <c:v>PENGELUARAN KUMULATIF</c:v>
          </c:tx>
          <c:spPr>
            <a:ln cmpd="sng">
              <a:solidFill>
                <a:srgbClr val="EEC277"/>
              </a:solidFill>
            </a:ln>
          </c:spPr>
          <c:marker>
            <c:symbol val="none"/>
          </c:marker>
          <c:cat>
            <c:strRef>
              <c:f>'Master Marketing Budget'!$C$19:$C$30</c:f>
              <c:strCache>
                <c:ptCount val="12"/>
                <c:pt idx="0">
                  <c:v>JAN-YY</c:v>
                </c:pt>
                <c:pt idx="1">
                  <c:v>FEB-YY</c:v>
                </c:pt>
                <c:pt idx="2">
                  <c:v>MAR-YY</c:v>
                </c:pt>
                <c:pt idx="3">
                  <c:v>APR-YY</c:v>
                </c:pt>
                <c:pt idx="4">
                  <c:v>MEI-YY</c:v>
                </c:pt>
                <c:pt idx="5">
                  <c:v>JUNI-YY</c:v>
                </c:pt>
                <c:pt idx="6">
                  <c:v>JULI-YY</c:v>
                </c:pt>
                <c:pt idx="7">
                  <c:v>AGU-YY</c:v>
                </c:pt>
                <c:pt idx="8">
                  <c:v>SEPT-YY</c:v>
                </c:pt>
                <c:pt idx="9">
                  <c:v>OKT-YY</c:v>
                </c:pt>
                <c:pt idx="10">
                  <c:v>NOV-YY</c:v>
                </c:pt>
                <c:pt idx="11">
                  <c:v>DES-YY</c:v>
                </c:pt>
              </c:strCache>
            </c:strRef>
          </c:cat>
          <c:val>
            <c:numRef>
              <c:f>'Master Marketing Budget'!$H$19:$H$30</c:f>
              <c:numCache>
                <c:formatCode>[$Rp-421]#,##0.00</c:formatCode>
                <c:ptCount val="12"/>
                <c:pt idx="0">
                  <c:v>1050</c:v>
                </c:pt>
                <c:pt idx="1">
                  <c:v>2100</c:v>
                </c:pt>
                <c:pt idx="2">
                  <c:v>3150</c:v>
                </c:pt>
                <c:pt idx="3">
                  <c:v>3150</c:v>
                </c:pt>
                <c:pt idx="4">
                  <c:v>3150</c:v>
                </c:pt>
                <c:pt idx="5">
                  <c:v>3150</c:v>
                </c:pt>
                <c:pt idx="6">
                  <c:v>3150</c:v>
                </c:pt>
                <c:pt idx="7">
                  <c:v>3150</c:v>
                </c:pt>
                <c:pt idx="8">
                  <c:v>3150</c:v>
                </c:pt>
                <c:pt idx="9">
                  <c:v>3150</c:v>
                </c:pt>
                <c:pt idx="10">
                  <c:v>3150</c:v>
                </c:pt>
                <c:pt idx="11">
                  <c:v>3150</c:v>
                </c:pt>
              </c:numCache>
            </c:numRef>
          </c:val>
          <c:smooth val="0"/>
          <c:extLst>
            <c:ext xmlns:c16="http://schemas.microsoft.com/office/drawing/2014/chart" uri="{C3380CC4-5D6E-409C-BE32-E72D297353CC}">
              <c16:uniqueId val="{00000001-4D8B-4EC1-9756-A6361BFEBDD2}"/>
            </c:ext>
          </c:extLst>
        </c:ser>
        <c:dLbls>
          <c:showLegendKey val="0"/>
          <c:showVal val="0"/>
          <c:showCatName val="0"/>
          <c:showSerName val="0"/>
          <c:showPercent val="0"/>
          <c:showBubbleSize val="0"/>
        </c:dLbls>
        <c:smooth val="0"/>
        <c:axId val="1941929392"/>
        <c:axId val="1841184054"/>
      </c:lineChart>
      <c:catAx>
        <c:axId val="194192939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b="0" i="0">
                <a:solidFill>
                  <a:srgbClr val="000000"/>
                </a:solidFill>
                <a:latin typeface="Calibri"/>
              </a:defRPr>
            </a:pPr>
            <a:endParaRPr lang="en-US"/>
          </a:p>
        </c:txPr>
        <c:crossAx val="1841184054"/>
        <c:crosses val="autoZero"/>
        <c:auto val="1"/>
        <c:lblAlgn val="ctr"/>
        <c:lblOffset val="100"/>
        <c:noMultiLvlLbl val="1"/>
      </c:catAx>
      <c:valAx>
        <c:axId val="184118405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Rp-421]#,##0.00" sourceLinked="0"/>
        <c:majorTickMark val="out"/>
        <c:minorTickMark val="none"/>
        <c:tickLblPos val="nextTo"/>
        <c:spPr>
          <a:ln/>
        </c:spPr>
        <c:txPr>
          <a:bodyPr/>
          <a:lstStyle/>
          <a:p>
            <a:pPr lvl="0">
              <a:defRPr b="0" i="0">
                <a:solidFill>
                  <a:srgbClr val="000000"/>
                </a:solidFill>
                <a:latin typeface="Calibri"/>
              </a:defRPr>
            </a:pPr>
            <a:endParaRPr lang="en-US"/>
          </a:p>
        </c:txPr>
        <c:crossAx val="1941929392"/>
        <c:crosses val="autoZero"/>
        <c:crossBetween val="between"/>
      </c:valAx>
    </c:plotArea>
    <c:legend>
      <c:legendPos val="r"/>
      <c:overlay val="0"/>
      <c:txPr>
        <a:bodyPr/>
        <a:lstStyle/>
        <a:p>
          <a:pPr lvl="0">
            <a:defRPr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Calibri"/>
              </a:defRPr>
            </a:pPr>
            <a:r>
              <a:rPr lang="en-US" b="1" i="0">
                <a:solidFill>
                  <a:srgbClr val="757575"/>
                </a:solidFill>
                <a:latin typeface="Calibri"/>
              </a:rPr>
              <a:t>RINGKASAN ANGGARAN PRODUCT MARKETING SEJAK AWAL TAHUN</a:t>
            </a:r>
          </a:p>
        </c:rich>
      </c:tx>
      <c:overlay val="0"/>
    </c:title>
    <c:autoTitleDeleted val="0"/>
    <c:plotArea>
      <c:layout/>
      <c:barChart>
        <c:barDir val="col"/>
        <c:grouping val="stacked"/>
        <c:varyColors val="1"/>
        <c:ser>
          <c:idx val="0"/>
          <c:order val="0"/>
          <c:tx>
            <c:v>CONTENT</c:v>
          </c:tx>
          <c:spPr>
            <a:solidFill>
              <a:srgbClr val="60D6C8"/>
            </a:solidFill>
            <a:ln cmpd="sng">
              <a:solidFill>
                <a:srgbClr val="000000"/>
              </a:solidFill>
            </a:ln>
          </c:spPr>
          <c:invertIfNegative val="1"/>
          <c:cat>
            <c:strRef>
              <c:f>'Product Marketing Budget'!$E$26:$F$26</c:f>
              <c:strCache>
                <c:ptCount val="2"/>
                <c:pt idx="0">
                  <c:v>ANGGARAN</c:v>
                </c:pt>
                <c:pt idx="1">
                  <c:v>AKTUAL</c:v>
                </c:pt>
              </c:strCache>
            </c:strRef>
          </c:cat>
          <c:val>
            <c:numRef>
              <c:f>'Product Marketing Budget'!$E$30:$F$30</c:f>
              <c:numCache>
                <c:formatCode>[$Rp-421]#,##0.00</c:formatCode>
                <c:ptCount val="2"/>
                <c:pt idx="0">
                  <c:v>900</c:v>
                </c:pt>
                <c:pt idx="1">
                  <c:v>900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FFB-4E47-A10F-10AD8D7BEEE8}"/>
            </c:ext>
          </c:extLst>
        </c:ser>
        <c:ser>
          <c:idx val="1"/>
          <c:order val="1"/>
          <c:tx>
            <c:v>PRODUCT RELEASES</c:v>
          </c:tx>
          <c:spPr>
            <a:solidFill>
              <a:srgbClr val="F6CA82"/>
            </a:solidFill>
            <a:ln cmpd="sng">
              <a:solidFill>
                <a:srgbClr val="000000"/>
              </a:solidFill>
            </a:ln>
          </c:spPr>
          <c:invertIfNegative val="1"/>
          <c:cat>
            <c:strRef>
              <c:f>'Product Marketing Budget'!$E$26:$F$26</c:f>
              <c:strCache>
                <c:ptCount val="2"/>
                <c:pt idx="0">
                  <c:v>ANGGARAN</c:v>
                </c:pt>
                <c:pt idx="1">
                  <c:v>AKTUAL</c:v>
                </c:pt>
              </c:strCache>
            </c:strRef>
          </c:cat>
          <c:val>
            <c:numRef>
              <c:f>'Product Marketing Budget'!$E$29:$F$29</c:f>
              <c:numCache>
                <c:formatCode>[$Rp-421]#,##0.00</c:formatCode>
                <c:ptCount val="2"/>
                <c:pt idx="0">
                  <c:v>1200</c:v>
                </c:pt>
                <c:pt idx="1">
                  <c:v>1200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FFB-4E47-A10F-10AD8D7BEEE8}"/>
            </c:ext>
          </c:extLst>
        </c:ser>
        <c:ser>
          <c:idx val="2"/>
          <c:order val="2"/>
          <c:tx>
            <c:v>PRODUCT TESTING</c:v>
          </c:tx>
          <c:spPr>
            <a:solidFill>
              <a:srgbClr val="F57B81"/>
            </a:solidFill>
            <a:ln cmpd="sng">
              <a:solidFill>
                <a:srgbClr val="000000"/>
              </a:solidFill>
            </a:ln>
          </c:spPr>
          <c:invertIfNegative val="1"/>
          <c:cat>
            <c:strRef>
              <c:f>'Product Marketing Budget'!$E$26:$F$26</c:f>
              <c:strCache>
                <c:ptCount val="2"/>
                <c:pt idx="0">
                  <c:v>ANGGARAN</c:v>
                </c:pt>
                <c:pt idx="1">
                  <c:v>AKTUAL</c:v>
                </c:pt>
              </c:strCache>
            </c:strRef>
          </c:cat>
          <c:val>
            <c:numRef>
              <c:f>'Product Marketing Budget'!$E$28:$F$28</c:f>
              <c:numCache>
                <c:formatCode>[$Rp-421]#,##0.00</c:formatCode>
                <c:ptCount val="2"/>
                <c:pt idx="0">
                  <c:v>600</c:v>
                </c:pt>
                <c:pt idx="1">
                  <c:v>600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FFB-4E47-A10F-10AD8D7BEEE8}"/>
            </c:ext>
          </c:extLst>
        </c:ser>
        <c:ser>
          <c:idx val="3"/>
          <c:order val="3"/>
          <c:tx>
            <c:v>PRODUCT/MARKET FIT</c:v>
          </c:tx>
          <c:spPr>
            <a:solidFill>
              <a:srgbClr val="929DDE"/>
            </a:solidFill>
            <a:ln cmpd="sng">
              <a:solidFill>
                <a:srgbClr val="000000"/>
              </a:solidFill>
            </a:ln>
          </c:spPr>
          <c:invertIfNegative val="1"/>
          <c:cat>
            <c:strRef>
              <c:f>'Product Marketing Budget'!$E$26:$F$26</c:f>
              <c:strCache>
                <c:ptCount val="2"/>
                <c:pt idx="0">
                  <c:v>ANGGARAN</c:v>
                </c:pt>
                <c:pt idx="1">
                  <c:v>AKTUAL</c:v>
                </c:pt>
              </c:strCache>
            </c:strRef>
          </c:cat>
          <c:val>
            <c:numRef>
              <c:f>'Product Marketing Budget'!$E$27:$F$27</c:f>
              <c:numCache>
                <c:formatCode>[$Rp-421]#,##0.00</c:formatCode>
                <c:ptCount val="2"/>
                <c:pt idx="0">
                  <c:v>900</c:v>
                </c:pt>
                <c:pt idx="1">
                  <c:v>900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FFB-4E47-A10F-10AD8D7BEEE8}"/>
            </c:ext>
          </c:extLst>
        </c:ser>
        <c:dLbls>
          <c:showLegendKey val="0"/>
          <c:showVal val="0"/>
          <c:showCatName val="0"/>
          <c:showSerName val="0"/>
          <c:showPercent val="0"/>
          <c:showBubbleSize val="0"/>
        </c:dLbls>
        <c:gapWidth val="150"/>
        <c:overlap val="100"/>
        <c:axId val="777936826"/>
        <c:axId val="1653204722"/>
      </c:barChart>
      <c:catAx>
        <c:axId val="77793682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rot="0"/>
          <a:lstStyle/>
          <a:p>
            <a:pPr lvl="0">
              <a:defRPr b="1" i="0">
                <a:solidFill>
                  <a:srgbClr val="000000"/>
                </a:solidFill>
                <a:latin typeface="Calibri"/>
              </a:defRPr>
            </a:pPr>
            <a:endParaRPr lang="en-US"/>
          </a:p>
        </c:txPr>
        <c:crossAx val="1653204722"/>
        <c:crosses val="autoZero"/>
        <c:auto val="1"/>
        <c:lblAlgn val="ctr"/>
        <c:lblOffset val="100"/>
        <c:noMultiLvlLbl val="1"/>
      </c:catAx>
      <c:valAx>
        <c:axId val="165320472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Rp-421]#,##0.00" sourceLinked="0"/>
        <c:majorTickMark val="out"/>
        <c:minorTickMark val="none"/>
        <c:tickLblPos val="nextTo"/>
        <c:spPr>
          <a:ln/>
        </c:spPr>
        <c:txPr>
          <a:bodyPr/>
          <a:lstStyle/>
          <a:p>
            <a:pPr lvl="0">
              <a:defRPr b="0" i="0">
                <a:solidFill>
                  <a:srgbClr val="000000"/>
                </a:solidFill>
                <a:latin typeface="Calibri"/>
              </a:defRPr>
            </a:pPr>
            <a:endParaRPr lang="en-US"/>
          </a:p>
        </c:txPr>
        <c:crossAx val="777936826"/>
        <c:crosses val="autoZero"/>
        <c:crossBetween val="between"/>
      </c:valAx>
    </c:plotArea>
    <c:legend>
      <c:legendPos val="r"/>
      <c:overlay val="0"/>
      <c:txPr>
        <a:bodyPr/>
        <a:lstStyle/>
        <a:p>
          <a:pPr lvl="0">
            <a:defRPr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Calibri"/>
              </a:defRPr>
            </a:pPr>
            <a:r>
              <a:rPr lang="en-US" b="1" i="0">
                <a:solidFill>
                  <a:srgbClr val="757575"/>
                </a:solidFill>
                <a:latin typeface="Calibri"/>
              </a:rPr>
              <a:t>RINGKASAN ANGGARAN KONTEN SEJAK AWAL TAHUN</a:t>
            </a:r>
          </a:p>
        </c:rich>
      </c:tx>
      <c:overlay val="0"/>
    </c:title>
    <c:autoTitleDeleted val="0"/>
    <c:plotArea>
      <c:layout/>
      <c:barChart>
        <c:barDir val="col"/>
        <c:grouping val="stacked"/>
        <c:varyColors val="1"/>
        <c:ser>
          <c:idx val="0"/>
          <c:order val="0"/>
          <c:tx>
            <c:v>PEKERJA LEPAS</c:v>
          </c:tx>
          <c:spPr>
            <a:solidFill>
              <a:srgbClr val="60D6C8"/>
            </a:solidFill>
            <a:ln cmpd="sng">
              <a:solidFill>
                <a:srgbClr val="000000"/>
              </a:solidFill>
            </a:ln>
          </c:spPr>
          <c:invertIfNegative val="1"/>
          <c:cat>
            <c:strRef>
              <c:f>'Content Budget'!$E$29:$F$29</c:f>
              <c:strCache>
                <c:ptCount val="2"/>
                <c:pt idx="0">
                  <c:v>ANGGARAN</c:v>
                </c:pt>
                <c:pt idx="1">
                  <c:v>AKTUAL</c:v>
                </c:pt>
              </c:strCache>
            </c:strRef>
          </c:cat>
          <c:val>
            <c:numRef>
              <c:f>'Content Budget'!$E$33:$F$33</c:f>
              <c:numCache>
                <c:formatCode>[$Rp-421]#,##0.00</c:formatCode>
                <c:ptCount val="2"/>
                <c:pt idx="0">
                  <c:v>900</c:v>
                </c:pt>
                <c:pt idx="1">
                  <c:v>900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C30-42D6-A6A0-3C5FDBF9FE14}"/>
            </c:ext>
          </c:extLst>
        </c:ser>
        <c:ser>
          <c:idx val="1"/>
          <c:order val="1"/>
          <c:tx>
            <c:v>LAYANAN</c:v>
          </c:tx>
          <c:spPr>
            <a:solidFill>
              <a:srgbClr val="F7CF8D"/>
            </a:solidFill>
            <a:ln cmpd="sng">
              <a:solidFill>
                <a:srgbClr val="000000"/>
              </a:solidFill>
            </a:ln>
          </c:spPr>
          <c:invertIfNegative val="1"/>
          <c:cat>
            <c:strRef>
              <c:f>'Content Budget'!$E$29:$F$29</c:f>
              <c:strCache>
                <c:ptCount val="2"/>
                <c:pt idx="0">
                  <c:v>ANGGARAN</c:v>
                </c:pt>
                <c:pt idx="1">
                  <c:v>AKTUAL</c:v>
                </c:pt>
              </c:strCache>
            </c:strRef>
          </c:cat>
          <c:val>
            <c:numRef>
              <c:f>'Content Budget'!$E$32:$F$32</c:f>
              <c:numCache>
                <c:formatCode>[$Rp-421]#,##0.00</c:formatCode>
                <c:ptCount val="2"/>
                <c:pt idx="0">
                  <c:v>1200</c:v>
                </c:pt>
                <c:pt idx="1">
                  <c:v>1200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C30-42D6-A6A0-3C5FDBF9FE14}"/>
            </c:ext>
          </c:extLst>
        </c:ser>
        <c:ser>
          <c:idx val="2"/>
          <c:order val="2"/>
          <c:tx>
            <c:v>ALAT PENERBITAN</c:v>
          </c:tx>
          <c:spPr>
            <a:solidFill>
              <a:srgbClr val="F57B81"/>
            </a:solidFill>
            <a:ln cmpd="sng">
              <a:solidFill>
                <a:srgbClr val="000000"/>
              </a:solidFill>
            </a:ln>
          </c:spPr>
          <c:invertIfNegative val="1"/>
          <c:cat>
            <c:strRef>
              <c:f>'Content Budget'!$E$29:$F$29</c:f>
              <c:strCache>
                <c:ptCount val="2"/>
                <c:pt idx="0">
                  <c:v>ANGGARAN</c:v>
                </c:pt>
                <c:pt idx="1">
                  <c:v>AKTUAL</c:v>
                </c:pt>
              </c:strCache>
            </c:strRef>
          </c:cat>
          <c:val>
            <c:numRef>
              <c:f>'Content Budget'!$E$31:$F$31</c:f>
              <c:numCache>
                <c:formatCode>[$Rp-421]#,##0.00</c:formatCode>
                <c:ptCount val="2"/>
                <c:pt idx="0">
                  <c:v>900</c:v>
                </c:pt>
                <c:pt idx="1">
                  <c:v>900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C30-42D6-A6A0-3C5FDBF9FE14}"/>
            </c:ext>
          </c:extLst>
        </c:ser>
        <c:ser>
          <c:idx val="3"/>
          <c:order val="3"/>
          <c:tx>
            <c:v>PERANGKAT LUNAK</c:v>
          </c:tx>
          <c:spPr>
            <a:solidFill>
              <a:srgbClr val="9FA8E1"/>
            </a:solidFill>
            <a:ln cmpd="sng">
              <a:solidFill>
                <a:srgbClr val="000000"/>
              </a:solidFill>
            </a:ln>
          </c:spPr>
          <c:invertIfNegative val="1"/>
          <c:cat>
            <c:strRef>
              <c:f>'Content Budget'!$E$29:$F$29</c:f>
              <c:strCache>
                <c:ptCount val="2"/>
                <c:pt idx="0">
                  <c:v>ANGGARAN</c:v>
                </c:pt>
                <c:pt idx="1">
                  <c:v>AKTUAL</c:v>
                </c:pt>
              </c:strCache>
            </c:strRef>
          </c:cat>
          <c:val>
            <c:numRef>
              <c:f>'Content Budget'!$E$30:$F$30</c:f>
              <c:numCache>
                <c:formatCode>[$Rp-421]#,##0.00</c:formatCode>
                <c:ptCount val="2"/>
                <c:pt idx="0">
                  <c:v>1500</c:v>
                </c:pt>
                <c:pt idx="1">
                  <c:v>1500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EC30-42D6-A6A0-3C5FDBF9FE14}"/>
            </c:ext>
          </c:extLst>
        </c:ser>
        <c:dLbls>
          <c:showLegendKey val="0"/>
          <c:showVal val="0"/>
          <c:showCatName val="0"/>
          <c:showSerName val="0"/>
          <c:showPercent val="0"/>
          <c:showBubbleSize val="0"/>
        </c:dLbls>
        <c:gapWidth val="150"/>
        <c:overlap val="100"/>
        <c:axId val="1787759416"/>
        <c:axId val="1795223915"/>
      </c:barChart>
      <c:catAx>
        <c:axId val="178775941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rot="0"/>
          <a:lstStyle/>
          <a:p>
            <a:pPr lvl="0">
              <a:defRPr b="1" i="0">
                <a:solidFill>
                  <a:srgbClr val="000000"/>
                </a:solidFill>
                <a:latin typeface="Calibri"/>
              </a:defRPr>
            </a:pPr>
            <a:endParaRPr lang="en-US"/>
          </a:p>
        </c:txPr>
        <c:crossAx val="1795223915"/>
        <c:crosses val="autoZero"/>
        <c:auto val="1"/>
        <c:lblAlgn val="ctr"/>
        <c:lblOffset val="100"/>
        <c:noMultiLvlLbl val="1"/>
      </c:catAx>
      <c:valAx>
        <c:axId val="179522391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Rp-421]#,##0.00" sourceLinked="0"/>
        <c:majorTickMark val="out"/>
        <c:minorTickMark val="none"/>
        <c:tickLblPos val="nextTo"/>
        <c:spPr>
          <a:ln/>
        </c:spPr>
        <c:txPr>
          <a:bodyPr/>
          <a:lstStyle/>
          <a:p>
            <a:pPr lvl="0">
              <a:defRPr b="0" i="0">
                <a:solidFill>
                  <a:srgbClr val="000000"/>
                </a:solidFill>
                <a:latin typeface="Calibri"/>
              </a:defRPr>
            </a:pPr>
            <a:endParaRPr lang="en-US"/>
          </a:p>
        </c:txPr>
        <c:crossAx val="1787759416"/>
        <c:crosses val="autoZero"/>
        <c:crossBetween val="between"/>
      </c:valAx>
    </c:plotArea>
    <c:legend>
      <c:legendPos val="r"/>
      <c:overlay val="0"/>
      <c:txPr>
        <a:bodyPr/>
        <a:lstStyle/>
        <a:p>
          <a:pPr lvl="0">
            <a:defRPr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Calibri"/>
              </a:defRPr>
            </a:pPr>
            <a:r>
              <a:rPr lang="en-US" b="1" i="0">
                <a:solidFill>
                  <a:srgbClr val="757575"/>
                </a:solidFill>
                <a:latin typeface="Calibri"/>
              </a:rPr>
              <a:t>RINGKASAN BIAYA IKLAN BERBAYAR SEJAK AWAL TAHUN</a:t>
            </a:r>
          </a:p>
        </c:rich>
      </c:tx>
      <c:overlay val="0"/>
    </c:title>
    <c:autoTitleDeleted val="0"/>
    <c:plotArea>
      <c:layout/>
      <c:barChart>
        <c:barDir val="col"/>
        <c:grouping val="stacked"/>
        <c:varyColors val="1"/>
        <c:ser>
          <c:idx val="0"/>
          <c:order val="0"/>
          <c:tx>
            <c:v>PENCARIAN PROSPEK</c:v>
          </c:tx>
          <c:spPr>
            <a:solidFill>
              <a:srgbClr val="F791AC"/>
            </a:solidFill>
            <a:ln cmpd="sng">
              <a:solidFill>
                <a:srgbClr val="000000"/>
              </a:solidFill>
            </a:ln>
          </c:spPr>
          <c:invertIfNegative val="1"/>
          <c:cat>
            <c:strRef>
              <c:f>'Paid Advertising Budget'!$E$29:$F$29</c:f>
              <c:strCache>
                <c:ptCount val="2"/>
                <c:pt idx="0">
                  <c:v>ANGGARAN</c:v>
                </c:pt>
                <c:pt idx="1">
                  <c:v>AKTUAL</c:v>
                </c:pt>
              </c:strCache>
            </c:strRef>
          </c:cat>
          <c:val>
            <c:numRef>
              <c:f>'Paid Advertising Budget'!$E$34:$F$34</c:f>
              <c:numCache>
                <c:formatCode>[$Rp-421]#,##0.00</c:formatCode>
                <c:ptCount val="2"/>
                <c:pt idx="0">
                  <c:v>900</c:v>
                </c:pt>
                <c:pt idx="1">
                  <c:v>900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080-4C82-8061-5B4A78FD0D87}"/>
            </c:ext>
          </c:extLst>
        </c:ser>
        <c:ser>
          <c:idx val="1"/>
          <c:order val="1"/>
          <c:tx>
            <c:v>MEDIA SOSIAL</c:v>
          </c:tx>
          <c:spPr>
            <a:solidFill>
              <a:srgbClr val="4FD1C2"/>
            </a:solidFill>
            <a:ln cmpd="sng">
              <a:solidFill>
                <a:srgbClr val="000000"/>
              </a:solidFill>
            </a:ln>
          </c:spPr>
          <c:invertIfNegative val="1"/>
          <c:cat>
            <c:strRef>
              <c:f>'Paid Advertising Budget'!$E$29:$F$29</c:f>
              <c:strCache>
                <c:ptCount val="2"/>
                <c:pt idx="0">
                  <c:v>ANGGARAN</c:v>
                </c:pt>
                <c:pt idx="1">
                  <c:v>AKTUAL</c:v>
                </c:pt>
              </c:strCache>
            </c:strRef>
          </c:cat>
          <c:val>
            <c:numRef>
              <c:f>'Paid Advertising Budget'!$E$33:$F$33</c:f>
              <c:numCache>
                <c:formatCode>[$Rp-421]#,##0.00</c:formatCode>
                <c:ptCount val="2"/>
                <c:pt idx="0">
                  <c:v>1500</c:v>
                </c:pt>
                <c:pt idx="1">
                  <c:v>1500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080-4C82-8061-5B4A78FD0D87}"/>
            </c:ext>
          </c:extLst>
        </c:ser>
        <c:ser>
          <c:idx val="2"/>
          <c:order val="2"/>
          <c:tx>
            <c:v>AFILIASI</c:v>
          </c:tx>
          <c:spPr>
            <a:solidFill>
              <a:srgbClr val="F5C373"/>
            </a:solidFill>
            <a:ln cmpd="sng">
              <a:solidFill>
                <a:srgbClr val="000000"/>
              </a:solidFill>
            </a:ln>
          </c:spPr>
          <c:invertIfNegative val="1"/>
          <c:cat>
            <c:strRef>
              <c:f>'Paid Advertising Budget'!$E$29:$F$29</c:f>
              <c:strCache>
                <c:ptCount val="2"/>
                <c:pt idx="0">
                  <c:v>ANGGARAN</c:v>
                </c:pt>
                <c:pt idx="1">
                  <c:v>AKTUAL</c:v>
                </c:pt>
              </c:strCache>
            </c:strRef>
          </c:cat>
          <c:val>
            <c:numRef>
              <c:f>'Paid Advertising Budget'!$E$32:$F$32</c:f>
              <c:numCache>
                <c:formatCode>[$Rp-421]#,##0.00</c:formatCode>
                <c:ptCount val="2"/>
                <c:pt idx="0">
                  <c:v>600</c:v>
                </c:pt>
                <c:pt idx="1">
                  <c:v>600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080-4C82-8061-5B4A78FD0D87}"/>
            </c:ext>
          </c:extLst>
        </c:ser>
        <c:ser>
          <c:idx val="3"/>
          <c:order val="3"/>
          <c:tx>
            <c:v>PENCARIAN DAN PENARGETAN ULANG</c:v>
          </c:tx>
          <c:spPr>
            <a:solidFill>
              <a:srgbClr val="F3676E"/>
            </a:solidFill>
            <a:ln cmpd="sng">
              <a:solidFill>
                <a:srgbClr val="000000"/>
              </a:solidFill>
            </a:ln>
          </c:spPr>
          <c:invertIfNegative val="1"/>
          <c:cat>
            <c:strRef>
              <c:f>'Paid Advertising Budget'!$E$29:$F$29</c:f>
              <c:strCache>
                <c:ptCount val="2"/>
                <c:pt idx="0">
                  <c:v>ANGGARAN</c:v>
                </c:pt>
                <c:pt idx="1">
                  <c:v>AKTUAL</c:v>
                </c:pt>
              </c:strCache>
            </c:strRef>
          </c:cat>
          <c:val>
            <c:numRef>
              <c:f>'Paid Advertising Budget'!$E$31:$F$31</c:f>
              <c:numCache>
                <c:formatCode>[$Rp-421]#,##0.00</c:formatCode>
                <c:ptCount val="2"/>
                <c:pt idx="0">
                  <c:v>600</c:v>
                </c:pt>
                <c:pt idx="1">
                  <c:v>600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F080-4C82-8061-5B4A78FD0D87}"/>
            </c:ext>
          </c:extLst>
        </c:ser>
        <c:ser>
          <c:idx val="4"/>
          <c:order val="4"/>
          <c:tx>
            <c:v>PENCARIAN</c:v>
          </c:tx>
          <c:spPr>
            <a:solidFill>
              <a:srgbClr val="8D98DB"/>
            </a:solidFill>
            <a:ln cmpd="sng">
              <a:solidFill>
                <a:srgbClr val="000000"/>
              </a:solidFill>
            </a:ln>
          </c:spPr>
          <c:invertIfNegative val="1"/>
          <c:cat>
            <c:strRef>
              <c:f>'Paid Advertising Budget'!$E$29:$F$29</c:f>
              <c:strCache>
                <c:ptCount val="2"/>
                <c:pt idx="0">
                  <c:v>ANGGARAN</c:v>
                </c:pt>
                <c:pt idx="1">
                  <c:v>AKTUAL</c:v>
                </c:pt>
              </c:strCache>
            </c:strRef>
          </c:cat>
          <c:val>
            <c:numRef>
              <c:f>'Paid Advertising Budget'!$E$30:$F$30</c:f>
              <c:numCache>
                <c:formatCode>[$Rp-421]#,##0.00</c:formatCode>
                <c:ptCount val="2"/>
                <c:pt idx="0">
                  <c:v>600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F080-4C82-8061-5B4A78FD0D87}"/>
            </c:ext>
          </c:extLst>
        </c:ser>
        <c:dLbls>
          <c:showLegendKey val="0"/>
          <c:showVal val="0"/>
          <c:showCatName val="0"/>
          <c:showSerName val="0"/>
          <c:showPercent val="0"/>
          <c:showBubbleSize val="0"/>
        </c:dLbls>
        <c:gapWidth val="150"/>
        <c:overlap val="100"/>
        <c:axId val="1266078851"/>
        <c:axId val="429505919"/>
      </c:barChart>
      <c:catAx>
        <c:axId val="126607885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rot="0"/>
          <a:lstStyle/>
          <a:p>
            <a:pPr lvl="0">
              <a:defRPr b="1" i="0">
                <a:solidFill>
                  <a:srgbClr val="000000"/>
                </a:solidFill>
                <a:latin typeface="Calibri"/>
              </a:defRPr>
            </a:pPr>
            <a:endParaRPr lang="en-US"/>
          </a:p>
        </c:txPr>
        <c:crossAx val="429505919"/>
        <c:crosses val="autoZero"/>
        <c:auto val="1"/>
        <c:lblAlgn val="ctr"/>
        <c:lblOffset val="100"/>
        <c:noMultiLvlLbl val="1"/>
      </c:catAx>
      <c:valAx>
        <c:axId val="42950591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Rp-421]#,##0.00" sourceLinked="0"/>
        <c:majorTickMark val="out"/>
        <c:minorTickMark val="none"/>
        <c:tickLblPos val="nextTo"/>
        <c:spPr>
          <a:ln/>
        </c:spPr>
        <c:txPr>
          <a:bodyPr/>
          <a:lstStyle/>
          <a:p>
            <a:pPr lvl="0">
              <a:defRPr b="0" i="0">
                <a:solidFill>
                  <a:srgbClr val="000000"/>
                </a:solidFill>
                <a:latin typeface="Calibri"/>
              </a:defRPr>
            </a:pPr>
            <a:endParaRPr lang="en-US"/>
          </a:p>
        </c:txPr>
        <c:crossAx val="1266078851"/>
        <c:crosses val="autoZero"/>
        <c:crossBetween val="between"/>
      </c:valAx>
    </c:plotArea>
    <c:legend>
      <c:legendPos val="r"/>
      <c:overlay val="0"/>
      <c:txPr>
        <a:bodyPr/>
        <a:lstStyle/>
        <a:p>
          <a:pPr lvl="0">
            <a:defRPr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Calibri"/>
              </a:defRPr>
            </a:pPr>
            <a:r>
              <a:rPr lang="en-US" b="1" i="0">
                <a:solidFill>
                  <a:srgbClr val="757575"/>
                </a:solidFill>
                <a:latin typeface="Calibri"/>
              </a:rPr>
              <a:t>RINGKASAN ANGGARAN HUBUNGAN MASYARAKAT SEJAK AWAL TAHUN</a:t>
            </a:r>
          </a:p>
        </c:rich>
      </c:tx>
      <c:overlay val="0"/>
    </c:title>
    <c:autoTitleDeleted val="0"/>
    <c:plotArea>
      <c:layout/>
      <c:barChart>
        <c:barDir val="col"/>
        <c:grouping val="stacked"/>
        <c:varyColors val="1"/>
        <c:ser>
          <c:idx val="0"/>
          <c:order val="0"/>
          <c:tx>
            <c:v>BIAYA AGENSI</c:v>
          </c:tx>
          <c:spPr>
            <a:solidFill>
              <a:srgbClr val="F8A2B9"/>
            </a:solidFill>
            <a:ln cmpd="sng">
              <a:solidFill>
                <a:srgbClr val="000000"/>
              </a:solidFill>
            </a:ln>
          </c:spPr>
          <c:invertIfNegative val="1"/>
          <c:cat>
            <c:strRef>
              <c:f>'Public Relations Budget'!$E$32:$F$32</c:f>
              <c:strCache>
                <c:ptCount val="2"/>
                <c:pt idx="0">
                  <c:v>ANGGARAN</c:v>
                </c:pt>
                <c:pt idx="1">
                  <c:v>AKTUAL</c:v>
                </c:pt>
              </c:strCache>
            </c:strRef>
          </c:cat>
          <c:val>
            <c:numRef>
              <c:f>'Public Relations Budget'!$E$37:$F$37</c:f>
              <c:numCache>
                <c:formatCode>[$Rp-421]#,##0.00</c:formatCode>
                <c:ptCount val="2"/>
                <c:pt idx="0">
                  <c:v>900</c:v>
                </c:pt>
                <c:pt idx="1">
                  <c:v>900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AAE-4282-93FC-69589E5B18F6}"/>
            </c:ext>
          </c:extLst>
        </c:ser>
        <c:ser>
          <c:idx val="1"/>
          <c:order val="1"/>
          <c:tx>
            <c:v>RELASI MEDIA / ACARA PENGHARGAAN</c:v>
          </c:tx>
          <c:spPr>
            <a:solidFill>
              <a:srgbClr val="58D4C5"/>
            </a:solidFill>
            <a:ln cmpd="sng">
              <a:solidFill>
                <a:srgbClr val="000000"/>
              </a:solidFill>
            </a:ln>
          </c:spPr>
          <c:invertIfNegative val="1"/>
          <c:cat>
            <c:strRef>
              <c:f>'Public Relations Budget'!$E$32:$F$32</c:f>
              <c:strCache>
                <c:ptCount val="2"/>
                <c:pt idx="0">
                  <c:v>ANGGARAN</c:v>
                </c:pt>
                <c:pt idx="1">
                  <c:v>AKTUAL</c:v>
                </c:pt>
              </c:strCache>
            </c:strRef>
          </c:cat>
          <c:val>
            <c:numRef>
              <c:f>'Public Relations Budget'!$E$36:$F$36</c:f>
              <c:numCache>
                <c:formatCode>[$Rp-421]#,##0.00</c:formatCode>
                <c:ptCount val="2"/>
                <c:pt idx="0">
                  <c:v>900</c:v>
                </c:pt>
                <c:pt idx="1">
                  <c:v>900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AAE-4282-93FC-69589E5B18F6}"/>
            </c:ext>
          </c:extLst>
        </c:ser>
        <c:ser>
          <c:idx val="2"/>
          <c:order val="2"/>
          <c:tx>
            <c:v>ACARA / PAMERAN DAGANG</c:v>
          </c:tx>
          <c:spPr>
            <a:solidFill>
              <a:srgbClr val="F6CA82"/>
            </a:solidFill>
            <a:ln cmpd="sng">
              <a:solidFill>
                <a:srgbClr val="000000"/>
              </a:solidFill>
            </a:ln>
          </c:spPr>
          <c:invertIfNegative val="1"/>
          <c:cat>
            <c:strRef>
              <c:f>'Public Relations Budget'!$E$32:$F$32</c:f>
              <c:strCache>
                <c:ptCount val="2"/>
                <c:pt idx="0">
                  <c:v>ANGGARAN</c:v>
                </c:pt>
                <c:pt idx="1">
                  <c:v>AKTUAL</c:v>
                </c:pt>
              </c:strCache>
            </c:strRef>
          </c:cat>
          <c:val>
            <c:numRef>
              <c:f>'Public Relations Budget'!$E$35:$F$35</c:f>
              <c:numCache>
                <c:formatCode>[$Rp-421]#,##0.00</c:formatCode>
                <c:ptCount val="2"/>
                <c:pt idx="0">
                  <c:v>1200</c:v>
                </c:pt>
                <c:pt idx="1">
                  <c:v>1200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AAE-4282-93FC-69589E5B18F6}"/>
            </c:ext>
          </c:extLst>
        </c:ser>
        <c:ser>
          <c:idx val="3"/>
          <c:order val="3"/>
          <c:tx>
            <c:v>KONTEN</c:v>
          </c:tx>
          <c:spPr>
            <a:solidFill>
              <a:srgbClr val="F5777D"/>
            </a:solidFill>
            <a:ln cmpd="sng">
              <a:solidFill>
                <a:srgbClr val="000000"/>
              </a:solidFill>
            </a:ln>
          </c:spPr>
          <c:invertIfNegative val="1"/>
          <c:cat>
            <c:strRef>
              <c:f>'Public Relations Budget'!$E$32:$F$32</c:f>
              <c:strCache>
                <c:ptCount val="2"/>
                <c:pt idx="0">
                  <c:v>ANGGARAN</c:v>
                </c:pt>
                <c:pt idx="1">
                  <c:v>AKTUAL</c:v>
                </c:pt>
              </c:strCache>
            </c:strRef>
          </c:cat>
          <c:val>
            <c:numRef>
              <c:f>'Public Relations Budget'!$E$34:$F$34</c:f>
              <c:numCache>
                <c:formatCode>[$Rp-421]#,##0.00</c:formatCode>
                <c:ptCount val="2"/>
                <c:pt idx="0">
                  <c:v>1200</c:v>
                </c:pt>
                <c:pt idx="1">
                  <c:v>1200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2AAE-4282-93FC-69589E5B18F6}"/>
            </c:ext>
          </c:extLst>
        </c:ser>
        <c:ser>
          <c:idx val="4"/>
          <c:order val="4"/>
          <c:tx>
            <c:v>BIAYA BERLANGGANAN</c:v>
          </c:tx>
          <c:spPr>
            <a:solidFill>
              <a:srgbClr val="A591BD"/>
            </a:solidFill>
            <a:ln cmpd="sng">
              <a:solidFill>
                <a:srgbClr val="000000"/>
              </a:solidFill>
            </a:ln>
          </c:spPr>
          <c:invertIfNegative val="1"/>
          <c:cat>
            <c:strRef>
              <c:f>'Public Relations Budget'!$E$32:$F$32</c:f>
              <c:strCache>
                <c:ptCount val="2"/>
                <c:pt idx="0">
                  <c:v>ANGGARAN</c:v>
                </c:pt>
                <c:pt idx="1">
                  <c:v>AKTUAL</c:v>
                </c:pt>
              </c:strCache>
            </c:strRef>
          </c:cat>
          <c:val>
            <c:numRef>
              <c:f>'Public Relations Budget'!$E$33:$F$33</c:f>
              <c:numCache>
                <c:formatCode>[$Rp-421]#,##0.00</c:formatCode>
                <c:ptCount val="2"/>
                <c:pt idx="0">
                  <c:v>900</c:v>
                </c:pt>
                <c:pt idx="1">
                  <c:v>900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2AAE-4282-93FC-69589E5B18F6}"/>
            </c:ext>
          </c:extLst>
        </c:ser>
        <c:dLbls>
          <c:showLegendKey val="0"/>
          <c:showVal val="0"/>
          <c:showCatName val="0"/>
          <c:showSerName val="0"/>
          <c:showPercent val="0"/>
          <c:showBubbleSize val="0"/>
        </c:dLbls>
        <c:gapWidth val="150"/>
        <c:overlap val="100"/>
        <c:axId val="1588956786"/>
        <c:axId val="185710808"/>
      </c:barChart>
      <c:catAx>
        <c:axId val="158895678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rot="0"/>
          <a:lstStyle/>
          <a:p>
            <a:pPr lvl="0">
              <a:defRPr b="1" i="0">
                <a:solidFill>
                  <a:srgbClr val="000000"/>
                </a:solidFill>
                <a:latin typeface="Calibri"/>
              </a:defRPr>
            </a:pPr>
            <a:endParaRPr lang="en-US"/>
          </a:p>
        </c:txPr>
        <c:crossAx val="185710808"/>
        <c:crosses val="autoZero"/>
        <c:auto val="1"/>
        <c:lblAlgn val="ctr"/>
        <c:lblOffset val="100"/>
        <c:noMultiLvlLbl val="1"/>
      </c:catAx>
      <c:valAx>
        <c:axId val="18571080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Rp-421]* #,##0.00_-;_-[$Rp-421]* \-#,##0.00_-;_-[$Rp-421]* &quot;-&quot;??_-;_-@" sourceLinked="0"/>
        <c:majorTickMark val="out"/>
        <c:minorTickMark val="none"/>
        <c:tickLblPos val="nextTo"/>
        <c:spPr>
          <a:ln/>
        </c:spPr>
        <c:txPr>
          <a:bodyPr/>
          <a:lstStyle/>
          <a:p>
            <a:pPr lvl="0">
              <a:defRPr b="0" i="0">
                <a:solidFill>
                  <a:srgbClr val="000000"/>
                </a:solidFill>
                <a:latin typeface="Calibri"/>
              </a:defRPr>
            </a:pPr>
            <a:endParaRPr lang="en-US"/>
          </a:p>
        </c:txPr>
        <c:crossAx val="1588956786"/>
        <c:crosses val="autoZero"/>
        <c:crossBetween val="between"/>
      </c:valAx>
    </c:plotArea>
    <c:legend>
      <c:legendPos val="r"/>
      <c:overlay val="0"/>
      <c:txPr>
        <a:bodyPr/>
        <a:lstStyle/>
        <a:p>
          <a:pPr lvl="0">
            <a:defRPr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Calibri"/>
              </a:defRPr>
            </a:pPr>
            <a:r>
              <a:rPr lang="en-US" b="1" i="0">
                <a:solidFill>
                  <a:srgbClr val="757575"/>
                </a:solidFill>
                <a:latin typeface="Calibri"/>
              </a:rPr>
              <a:t>RINGKASAN ANGGARAN BRANDING &amp; KREATIF SEJAK AWAL TAHUN</a:t>
            </a:r>
          </a:p>
        </c:rich>
      </c:tx>
      <c:layout>
        <c:manualLayout>
          <c:xMode val="edge"/>
          <c:yMode val="edge"/>
          <c:x val="2.9796839729119642E-2"/>
          <c:y val="5.1893939393939395E-2"/>
        </c:manualLayout>
      </c:layout>
      <c:overlay val="0"/>
    </c:title>
    <c:autoTitleDeleted val="0"/>
    <c:plotArea>
      <c:layout/>
      <c:barChart>
        <c:barDir val="col"/>
        <c:grouping val="stacked"/>
        <c:varyColors val="1"/>
        <c:ser>
          <c:idx val="0"/>
          <c:order val="0"/>
          <c:tx>
            <c:v>BIAYA LAIN-LAIN</c:v>
          </c:tx>
          <c:spPr>
            <a:solidFill>
              <a:srgbClr val="F793AD"/>
            </a:solidFill>
            <a:ln cmpd="sng">
              <a:solidFill>
                <a:srgbClr val="000000"/>
              </a:solidFill>
            </a:ln>
          </c:spPr>
          <c:invertIfNegative val="1"/>
          <c:cat>
            <c:strRef>
              <c:f>'Branding &amp; Creative Budget'!$E$38:$F$38</c:f>
              <c:strCache>
                <c:ptCount val="2"/>
                <c:pt idx="0">
                  <c:v>ANGGARAN</c:v>
                </c:pt>
                <c:pt idx="1">
                  <c:v>AKTUAL</c:v>
                </c:pt>
              </c:strCache>
            </c:strRef>
          </c:cat>
          <c:val>
            <c:numRef>
              <c:f>'Branding &amp; Creative Budget'!$E$43:$F$43</c:f>
              <c:numCache>
                <c:formatCode>[$Rp-421]#,##0.00</c:formatCode>
                <c:ptCount val="2"/>
                <c:pt idx="0">
                  <c:v>1500</c:v>
                </c:pt>
                <c:pt idx="1">
                  <c:v>1500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2D3-4A50-A2B1-E6D5FB861CF4}"/>
            </c:ext>
          </c:extLst>
        </c:ser>
        <c:ser>
          <c:idx val="1"/>
          <c:order val="1"/>
          <c:tx>
            <c:v>OUTSOURCING</c:v>
          </c:tx>
          <c:spPr>
            <a:solidFill>
              <a:srgbClr val="58D4C5"/>
            </a:solidFill>
            <a:ln cmpd="sng">
              <a:solidFill>
                <a:srgbClr val="000000"/>
              </a:solidFill>
            </a:ln>
          </c:spPr>
          <c:invertIfNegative val="1"/>
          <c:cat>
            <c:strRef>
              <c:f>'Branding &amp; Creative Budget'!$E$38:$F$38</c:f>
              <c:strCache>
                <c:ptCount val="2"/>
                <c:pt idx="0">
                  <c:v>ANGGARAN</c:v>
                </c:pt>
                <c:pt idx="1">
                  <c:v>AKTUAL</c:v>
                </c:pt>
              </c:strCache>
            </c:strRef>
          </c:cat>
          <c:val>
            <c:numRef>
              <c:f>'Branding &amp; Creative Budget'!$E$42:$F$42</c:f>
              <c:numCache>
                <c:formatCode>[$Rp-421]#,##0.00</c:formatCode>
                <c:ptCount val="2"/>
                <c:pt idx="0">
                  <c:v>1500</c:v>
                </c:pt>
                <c:pt idx="1">
                  <c:v>1500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2D3-4A50-A2B1-E6D5FB861CF4}"/>
            </c:ext>
          </c:extLst>
        </c:ser>
        <c:ser>
          <c:idx val="2"/>
          <c:order val="2"/>
          <c:tx>
            <c:v>SEWA / BELI PERALATAN</c:v>
          </c:tx>
          <c:spPr>
            <a:solidFill>
              <a:srgbClr val="F6CA82"/>
            </a:solidFill>
            <a:ln cmpd="sng">
              <a:solidFill>
                <a:srgbClr val="000000"/>
              </a:solidFill>
            </a:ln>
          </c:spPr>
          <c:invertIfNegative val="1"/>
          <c:cat>
            <c:strRef>
              <c:f>'Branding &amp; Creative Budget'!$E$38:$F$38</c:f>
              <c:strCache>
                <c:ptCount val="2"/>
                <c:pt idx="0">
                  <c:v>ANGGARAN</c:v>
                </c:pt>
                <c:pt idx="1">
                  <c:v>AKTUAL</c:v>
                </c:pt>
              </c:strCache>
            </c:strRef>
          </c:cat>
          <c:val>
            <c:numRef>
              <c:f>'Branding &amp; Creative Budget'!$E$41:$F$41</c:f>
              <c:numCache>
                <c:formatCode>[$Rp-421]#,##0.00</c:formatCode>
                <c:ptCount val="2"/>
                <c:pt idx="0">
                  <c:v>1200</c:v>
                </c:pt>
                <c:pt idx="1">
                  <c:v>1200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2D3-4A50-A2B1-E6D5FB861CF4}"/>
            </c:ext>
          </c:extLst>
        </c:ser>
        <c:ser>
          <c:idx val="3"/>
          <c:order val="3"/>
          <c:tx>
            <c:v>PERANGKAT KERAS</c:v>
          </c:tx>
          <c:spPr>
            <a:solidFill>
              <a:srgbClr val="F5777D"/>
            </a:solidFill>
            <a:ln cmpd="sng">
              <a:solidFill>
                <a:srgbClr val="000000"/>
              </a:solidFill>
            </a:ln>
          </c:spPr>
          <c:invertIfNegative val="1"/>
          <c:cat>
            <c:strRef>
              <c:f>'Branding &amp; Creative Budget'!$E$38:$F$38</c:f>
              <c:strCache>
                <c:ptCount val="2"/>
                <c:pt idx="0">
                  <c:v>ANGGARAN</c:v>
                </c:pt>
                <c:pt idx="1">
                  <c:v>AKTUAL</c:v>
                </c:pt>
              </c:strCache>
            </c:strRef>
          </c:cat>
          <c:val>
            <c:numRef>
              <c:f>'Branding &amp; Creative Budget'!$E$40:$F$40</c:f>
              <c:numCache>
                <c:formatCode>[$Rp-421]#,##0.00</c:formatCode>
                <c:ptCount val="2"/>
                <c:pt idx="0">
                  <c:v>900</c:v>
                </c:pt>
                <c:pt idx="1">
                  <c:v>900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62D3-4A50-A2B1-E6D5FB861CF4}"/>
            </c:ext>
          </c:extLst>
        </c:ser>
        <c:ser>
          <c:idx val="4"/>
          <c:order val="4"/>
          <c:tx>
            <c:v>PERANGKAT LUNAK</c:v>
          </c:tx>
          <c:spPr>
            <a:solidFill>
              <a:srgbClr val="9F89B9"/>
            </a:solidFill>
            <a:ln cmpd="sng">
              <a:solidFill>
                <a:srgbClr val="000000"/>
              </a:solidFill>
            </a:ln>
          </c:spPr>
          <c:invertIfNegative val="1"/>
          <c:cat>
            <c:strRef>
              <c:f>'Branding &amp; Creative Budget'!$E$38:$F$38</c:f>
              <c:strCache>
                <c:ptCount val="2"/>
                <c:pt idx="0">
                  <c:v>ANGGARAN</c:v>
                </c:pt>
                <c:pt idx="1">
                  <c:v>AKTUAL</c:v>
                </c:pt>
              </c:strCache>
            </c:strRef>
          </c:cat>
          <c:val>
            <c:numRef>
              <c:f>'Branding &amp; Creative Budget'!$E$39:$F$39</c:f>
              <c:numCache>
                <c:formatCode>[$Rp-421]#,##0.00</c:formatCode>
                <c:ptCount val="2"/>
                <c:pt idx="0">
                  <c:v>1800</c:v>
                </c:pt>
                <c:pt idx="1">
                  <c:v>1800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62D3-4A50-A2B1-E6D5FB861CF4}"/>
            </c:ext>
          </c:extLst>
        </c:ser>
        <c:dLbls>
          <c:showLegendKey val="0"/>
          <c:showVal val="0"/>
          <c:showCatName val="0"/>
          <c:showSerName val="0"/>
          <c:showPercent val="0"/>
          <c:showBubbleSize val="0"/>
        </c:dLbls>
        <c:gapWidth val="150"/>
        <c:overlap val="100"/>
        <c:axId val="1977274680"/>
        <c:axId val="432612353"/>
      </c:barChart>
      <c:catAx>
        <c:axId val="197727468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rot="0"/>
          <a:lstStyle/>
          <a:p>
            <a:pPr lvl="0">
              <a:defRPr b="1" i="0">
                <a:solidFill>
                  <a:srgbClr val="000000"/>
                </a:solidFill>
                <a:latin typeface="Calibri"/>
              </a:defRPr>
            </a:pPr>
            <a:endParaRPr lang="en-US"/>
          </a:p>
        </c:txPr>
        <c:crossAx val="432612353"/>
        <c:crosses val="autoZero"/>
        <c:auto val="1"/>
        <c:lblAlgn val="ctr"/>
        <c:lblOffset val="100"/>
        <c:noMultiLvlLbl val="1"/>
      </c:catAx>
      <c:valAx>
        <c:axId val="43261235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Rp-421]#,##0.00" sourceLinked="0"/>
        <c:majorTickMark val="out"/>
        <c:minorTickMark val="none"/>
        <c:tickLblPos val="nextTo"/>
        <c:spPr>
          <a:ln/>
        </c:spPr>
        <c:txPr>
          <a:bodyPr/>
          <a:lstStyle/>
          <a:p>
            <a:pPr lvl="0">
              <a:defRPr b="0" i="0">
                <a:solidFill>
                  <a:srgbClr val="000000"/>
                </a:solidFill>
                <a:latin typeface="Calibri"/>
              </a:defRPr>
            </a:pPr>
            <a:endParaRPr lang="en-US"/>
          </a:p>
        </c:txPr>
        <c:crossAx val="1977274680"/>
        <c:crosses val="autoZero"/>
        <c:crossBetween val="between"/>
      </c:valAx>
    </c:plotArea>
    <c:legend>
      <c:legendPos val="r"/>
      <c:overlay val="0"/>
      <c:txPr>
        <a:bodyPr/>
        <a:lstStyle/>
        <a:p>
          <a:pPr lvl="0">
            <a:defRPr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Calibri"/>
              </a:defRPr>
            </a:pPr>
            <a:r>
              <a:rPr lang="en-US" b="1" i="0">
                <a:solidFill>
                  <a:srgbClr val="757575"/>
                </a:solidFill>
                <a:latin typeface="Calibri"/>
              </a:rPr>
              <a:t>ANGGARAN DESAIN ULANG WEBSITE vs. PERBANDINGAN AKTUAL</a:t>
            </a:r>
          </a:p>
        </c:rich>
      </c:tx>
      <c:overlay val="0"/>
    </c:title>
    <c:autoTitleDeleted val="0"/>
    <c:plotArea>
      <c:layout/>
      <c:barChart>
        <c:barDir val="col"/>
        <c:grouping val="stacked"/>
        <c:varyColors val="1"/>
        <c:ser>
          <c:idx val="0"/>
          <c:order val="0"/>
          <c:tx>
            <c:v>MIGRASI KONTEN YANG ADA</c:v>
          </c:tx>
          <c:spPr>
            <a:solidFill>
              <a:srgbClr val="F793AD"/>
            </a:solidFill>
            <a:ln cmpd="sng">
              <a:solidFill>
                <a:srgbClr val="000000"/>
              </a:solidFill>
            </a:ln>
          </c:spPr>
          <c:invertIfNegative val="1"/>
          <c:cat>
            <c:strRef>
              <c:f>'Website Redesign Budget'!$E$31:$F$31</c:f>
              <c:strCache>
                <c:ptCount val="2"/>
                <c:pt idx="0">
                  <c:v>ANGGARAN</c:v>
                </c:pt>
                <c:pt idx="1">
                  <c:v>AKTUAL</c:v>
                </c:pt>
              </c:strCache>
            </c:strRef>
          </c:cat>
          <c:val>
            <c:numRef>
              <c:f>'Website Redesign Budget'!$E$36:$F$36</c:f>
              <c:numCache>
                <c:formatCode>[$Rp-421]#,##0.00</c:formatCode>
                <c:ptCount val="2"/>
                <c:pt idx="0">
                  <c:v>200</c:v>
                </c:pt>
                <c:pt idx="1">
                  <c:v>200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5E7-4027-9F36-39215A025A40}"/>
            </c:ext>
          </c:extLst>
        </c:ser>
        <c:ser>
          <c:idx val="1"/>
          <c:order val="1"/>
          <c:tx>
            <c:v>UJI COBA</c:v>
          </c:tx>
          <c:spPr>
            <a:solidFill>
              <a:srgbClr val="41CFBE"/>
            </a:solidFill>
            <a:ln cmpd="sng">
              <a:solidFill>
                <a:srgbClr val="000000"/>
              </a:solidFill>
            </a:ln>
          </c:spPr>
          <c:invertIfNegative val="1"/>
          <c:cat>
            <c:strRef>
              <c:f>'Website Redesign Budget'!$E$31:$F$31</c:f>
              <c:strCache>
                <c:ptCount val="2"/>
                <c:pt idx="0">
                  <c:v>ANGGARAN</c:v>
                </c:pt>
                <c:pt idx="1">
                  <c:v>AKTUAL</c:v>
                </c:pt>
              </c:strCache>
            </c:strRef>
          </c:cat>
          <c:val>
            <c:numRef>
              <c:f>'Website Redesign Budget'!$E$35:$F$35</c:f>
              <c:numCache>
                <c:formatCode>[$Rp-421]#,##0.00</c:formatCode>
                <c:ptCount val="2"/>
                <c:pt idx="0">
                  <c:v>100</c:v>
                </c:pt>
                <c:pt idx="1">
                  <c:v>100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5E7-4027-9F36-39215A025A40}"/>
            </c:ext>
          </c:extLst>
        </c:ser>
        <c:ser>
          <c:idx val="2"/>
          <c:order val="2"/>
          <c:tx>
            <c:v>KONTEN DAN DESAIN</c:v>
          </c:tx>
          <c:spPr>
            <a:solidFill>
              <a:srgbClr val="F6CA82"/>
            </a:solidFill>
            <a:ln cmpd="sng">
              <a:solidFill>
                <a:srgbClr val="000000"/>
              </a:solidFill>
            </a:ln>
          </c:spPr>
          <c:invertIfNegative val="1"/>
          <c:dPt>
            <c:idx val="0"/>
            <c:invertIfNegative val="1"/>
            <c:bubble3D val="0"/>
            <c:spPr>
              <a:solidFill>
                <a:srgbClr val="F5C577"/>
              </a:solidFill>
              <a:ln cmpd="sng">
                <a:solidFill>
                  <a:srgbClr val="000000"/>
                </a:solidFill>
              </a:ln>
            </c:spPr>
            <c:extLst>
              <c:ext xmlns:c16="http://schemas.microsoft.com/office/drawing/2014/chart" uri="{C3380CC4-5D6E-409C-BE32-E72D297353CC}">
                <c16:uniqueId val="{00000003-95E7-4027-9F36-39215A025A40}"/>
              </c:ext>
            </c:extLst>
          </c:dPt>
          <c:dPt>
            <c:idx val="1"/>
            <c:invertIfNegative val="1"/>
            <c:bubble3D val="0"/>
            <c:spPr>
              <a:solidFill>
                <a:srgbClr val="F5C577"/>
              </a:solidFill>
              <a:ln cmpd="sng">
                <a:solidFill>
                  <a:srgbClr val="000000"/>
                </a:solidFill>
              </a:ln>
            </c:spPr>
            <c:extLst>
              <c:ext xmlns:c16="http://schemas.microsoft.com/office/drawing/2014/chart" uri="{C3380CC4-5D6E-409C-BE32-E72D297353CC}">
                <c16:uniqueId val="{00000005-95E7-4027-9F36-39215A025A40}"/>
              </c:ext>
            </c:extLst>
          </c:dPt>
          <c:cat>
            <c:strRef>
              <c:f>'Website Redesign Budget'!$E$31:$F$31</c:f>
              <c:strCache>
                <c:ptCount val="2"/>
                <c:pt idx="0">
                  <c:v>ANGGARAN</c:v>
                </c:pt>
                <c:pt idx="1">
                  <c:v>AKTUAL</c:v>
                </c:pt>
              </c:strCache>
            </c:strRef>
          </c:cat>
          <c:val>
            <c:numRef>
              <c:f>'Website Redesign Budget'!$E$34:$F$34</c:f>
              <c:numCache>
                <c:formatCode>[$Rp-421]#,##0.00</c:formatCode>
                <c:ptCount val="2"/>
                <c:pt idx="0">
                  <c:v>800</c:v>
                </c:pt>
                <c:pt idx="1">
                  <c:v>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95E7-4027-9F36-39215A025A40}"/>
            </c:ext>
          </c:extLst>
        </c:ser>
        <c:ser>
          <c:idx val="3"/>
          <c:order val="3"/>
          <c:tx>
            <c:v>PERANGKAT LUNAK</c:v>
          </c:tx>
          <c:spPr>
            <a:solidFill>
              <a:srgbClr val="F5777D"/>
            </a:solidFill>
            <a:ln cmpd="sng">
              <a:solidFill>
                <a:srgbClr val="000000"/>
              </a:solidFill>
            </a:ln>
          </c:spPr>
          <c:invertIfNegative val="1"/>
          <c:cat>
            <c:strRef>
              <c:f>'Website Redesign Budget'!$E$31:$F$31</c:f>
              <c:strCache>
                <c:ptCount val="2"/>
                <c:pt idx="0">
                  <c:v>ANGGARAN</c:v>
                </c:pt>
                <c:pt idx="1">
                  <c:v>AKTUAL</c:v>
                </c:pt>
              </c:strCache>
            </c:strRef>
          </c:cat>
          <c:val>
            <c:numRef>
              <c:f>'Website Redesign Budget'!$E$33:$F$33</c:f>
              <c:numCache>
                <c:formatCode>[$Rp-421]#,##0.00</c:formatCode>
                <c:ptCount val="2"/>
                <c:pt idx="0">
                  <c:v>400</c:v>
                </c:pt>
                <c:pt idx="1">
                  <c:v>400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95E7-4027-9F36-39215A025A40}"/>
            </c:ext>
          </c:extLst>
        </c:ser>
        <c:ser>
          <c:idx val="4"/>
          <c:order val="4"/>
          <c:tx>
            <c:v>BIAYA DASAR</c:v>
          </c:tx>
          <c:spPr>
            <a:solidFill>
              <a:srgbClr val="8064A2"/>
            </a:solidFill>
            <a:ln cmpd="sng">
              <a:solidFill>
                <a:srgbClr val="000000"/>
              </a:solidFill>
            </a:ln>
          </c:spPr>
          <c:invertIfNegative val="1"/>
          <c:dPt>
            <c:idx val="0"/>
            <c:invertIfNegative val="1"/>
            <c:bubble3D val="0"/>
            <c:spPr>
              <a:solidFill>
                <a:srgbClr val="9F89B9"/>
              </a:solidFill>
              <a:ln cmpd="sng">
                <a:solidFill>
                  <a:srgbClr val="000000"/>
                </a:solidFill>
              </a:ln>
            </c:spPr>
            <c:extLst>
              <c:ext xmlns:c16="http://schemas.microsoft.com/office/drawing/2014/chart" uri="{C3380CC4-5D6E-409C-BE32-E72D297353CC}">
                <c16:uniqueId val="{00000009-95E7-4027-9F36-39215A025A40}"/>
              </c:ext>
            </c:extLst>
          </c:dPt>
          <c:dPt>
            <c:idx val="1"/>
            <c:invertIfNegative val="1"/>
            <c:bubble3D val="0"/>
            <c:spPr>
              <a:solidFill>
                <a:srgbClr val="9F89B9"/>
              </a:solidFill>
              <a:ln cmpd="sng">
                <a:solidFill>
                  <a:srgbClr val="000000"/>
                </a:solidFill>
              </a:ln>
            </c:spPr>
            <c:extLst>
              <c:ext xmlns:c16="http://schemas.microsoft.com/office/drawing/2014/chart" uri="{C3380CC4-5D6E-409C-BE32-E72D297353CC}">
                <c16:uniqueId val="{0000000B-95E7-4027-9F36-39215A025A40}"/>
              </c:ext>
            </c:extLst>
          </c:dPt>
          <c:cat>
            <c:strRef>
              <c:f>'Website Redesign Budget'!$E$31:$F$31</c:f>
              <c:strCache>
                <c:ptCount val="2"/>
                <c:pt idx="0">
                  <c:v>ANGGARAN</c:v>
                </c:pt>
                <c:pt idx="1">
                  <c:v>AKTUAL</c:v>
                </c:pt>
              </c:strCache>
            </c:strRef>
          </c:cat>
          <c:val>
            <c:numRef>
              <c:f>'Website Redesign Budget'!$E$32:$F$32</c:f>
              <c:numCache>
                <c:formatCode>[$Rp-421]#,##0.00</c:formatCode>
                <c:ptCount val="2"/>
                <c:pt idx="0">
                  <c:v>200</c:v>
                </c:pt>
                <c:pt idx="1">
                  <c:v>200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95E7-4027-9F36-39215A025A40}"/>
            </c:ext>
          </c:extLst>
        </c:ser>
        <c:dLbls>
          <c:showLegendKey val="0"/>
          <c:showVal val="0"/>
          <c:showCatName val="0"/>
          <c:showSerName val="0"/>
          <c:showPercent val="0"/>
          <c:showBubbleSize val="0"/>
        </c:dLbls>
        <c:gapWidth val="150"/>
        <c:overlap val="100"/>
        <c:axId val="386637967"/>
        <c:axId val="1056377270"/>
      </c:barChart>
      <c:catAx>
        <c:axId val="38663796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rot="0"/>
          <a:lstStyle/>
          <a:p>
            <a:pPr lvl="0">
              <a:defRPr b="1" i="0">
                <a:solidFill>
                  <a:srgbClr val="000000"/>
                </a:solidFill>
                <a:latin typeface="Calibri"/>
              </a:defRPr>
            </a:pPr>
            <a:endParaRPr lang="en-US"/>
          </a:p>
        </c:txPr>
        <c:crossAx val="1056377270"/>
        <c:crosses val="autoZero"/>
        <c:auto val="1"/>
        <c:lblAlgn val="ctr"/>
        <c:lblOffset val="100"/>
        <c:noMultiLvlLbl val="1"/>
      </c:catAx>
      <c:valAx>
        <c:axId val="105637727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Rp-421]#,##0.00" sourceLinked="0"/>
        <c:majorTickMark val="out"/>
        <c:minorTickMark val="none"/>
        <c:tickLblPos val="nextTo"/>
        <c:spPr>
          <a:ln/>
        </c:spPr>
        <c:txPr>
          <a:bodyPr/>
          <a:lstStyle/>
          <a:p>
            <a:pPr lvl="0">
              <a:defRPr b="0" i="0">
                <a:solidFill>
                  <a:srgbClr val="000000"/>
                </a:solidFill>
                <a:latin typeface="Calibri"/>
              </a:defRPr>
            </a:pPr>
            <a:endParaRPr lang="en-US"/>
          </a:p>
        </c:txPr>
        <c:crossAx val="386637967"/>
        <c:crosses val="autoZero"/>
        <c:crossBetween val="between"/>
      </c:valAx>
    </c:plotArea>
    <c:legend>
      <c:legendPos val="r"/>
      <c:overlay val="0"/>
      <c:txPr>
        <a:bodyPr/>
        <a:lstStyle/>
        <a:p>
          <a:pPr lvl="0">
            <a:defRPr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757575"/>
                </a:solidFill>
                <a:latin typeface="Calibri"/>
              </a:defRPr>
            </a:pPr>
            <a:r>
              <a:rPr lang="en-US" b="1" i="0">
                <a:solidFill>
                  <a:srgbClr val="757575"/>
                </a:solidFill>
                <a:latin typeface="Calibri"/>
              </a:rPr>
              <a:t>BIAYA AKTUAL DESAIN ULANG WEBSITE PER KATEGORI</a:t>
            </a:r>
          </a:p>
        </c:rich>
      </c:tx>
      <c:overlay val="0"/>
    </c:title>
    <c:autoTitleDeleted val="0"/>
    <c:plotArea>
      <c:layout/>
      <c:pieChart>
        <c:varyColors val="1"/>
        <c:ser>
          <c:idx val="0"/>
          <c:order val="0"/>
          <c:tx>
            <c:strRef>
              <c:f>'Website Redesign Budget'!$F$31</c:f>
              <c:strCache>
                <c:ptCount val="1"/>
                <c:pt idx="0">
                  <c:v>AKTUAL</c:v>
                </c:pt>
              </c:strCache>
            </c:strRef>
          </c:tx>
          <c:dPt>
            <c:idx val="0"/>
            <c:bubble3D val="0"/>
            <c:spPr>
              <a:solidFill>
                <a:srgbClr val="9F89B9"/>
              </a:solidFill>
            </c:spPr>
            <c:extLst>
              <c:ext xmlns:c16="http://schemas.microsoft.com/office/drawing/2014/chart" uri="{C3380CC4-5D6E-409C-BE32-E72D297353CC}">
                <c16:uniqueId val="{00000001-3301-485F-ADFA-5A58B9829CB2}"/>
              </c:ext>
            </c:extLst>
          </c:dPt>
          <c:dPt>
            <c:idx val="1"/>
            <c:bubble3D val="0"/>
            <c:spPr>
              <a:solidFill>
                <a:srgbClr val="F46C72"/>
              </a:solidFill>
            </c:spPr>
            <c:extLst>
              <c:ext xmlns:c16="http://schemas.microsoft.com/office/drawing/2014/chart" uri="{C3380CC4-5D6E-409C-BE32-E72D297353CC}">
                <c16:uniqueId val="{00000003-3301-485F-ADFA-5A58B9829CB2}"/>
              </c:ext>
            </c:extLst>
          </c:dPt>
          <c:dPt>
            <c:idx val="2"/>
            <c:bubble3D val="0"/>
            <c:spPr>
              <a:solidFill>
                <a:srgbClr val="F5C373"/>
              </a:solidFill>
            </c:spPr>
            <c:extLst>
              <c:ext xmlns:c16="http://schemas.microsoft.com/office/drawing/2014/chart" uri="{C3380CC4-5D6E-409C-BE32-E72D297353CC}">
                <c16:uniqueId val="{00000005-3301-485F-ADFA-5A58B9829CB2}"/>
              </c:ext>
            </c:extLst>
          </c:dPt>
          <c:dPt>
            <c:idx val="3"/>
            <c:bubble3D val="0"/>
            <c:spPr>
              <a:solidFill>
                <a:srgbClr val="58D4C5"/>
              </a:solidFill>
            </c:spPr>
            <c:extLst>
              <c:ext xmlns:c16="http://schemas.microsoft.com/office/drawing/2014/chart" uri="{C3380CC4-5D6E-409C-BE32-E72D297353CC}">
                <c16:uniqueId val="{00000007-3301-485F-ADFA-5A58B9829CB2}"/>
              </c:ext>
            </c:extLst>
          </c:dPt>
          <c:dPt>
            <c:idx val="4"/>
            <c:bubble3D val="0"/>
            <c:spPr>
              <a:solidFill>
                <a:srgbClr val="F8A2B9"/>
              </a:solidFill>
            </c:spPr>
            <c:extLst>
              <c:ext xmlns:c16="http://schemas.microsoft.com/office/drawing/2014/chart" uri="{C3380CC4-5D6E-409C-BE32-E72D297353CC}">
                <c16:uniqueId val="{00000009-3301-485F-ADFA-5A58B9829CB2}"/>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'Website Redesign Budget'!$C$32:$C$36</c:f>
              <c:strCache>
                <c:ptCount val="5"/>
                <c:pt idx="0">
                  <c:v>BIAYA DASAR</c:v>
                </c:pt>
                <c:pt idx="1">
                  <c:v>PERANGKAT LUNAK</c:v>
                </c:pt>
                <c:pt idx="2">
                  <c:v>KONTEN DAN DESAIN</c:v>
                </c:pt>
                <c:pt idx="3">
                  <c:v>UJI COBA</c:v>
                </c:pt>
                <c:pt idx="4">
                  <c:v>MIGRASI KONTEN YANG ADA</c:v>
                </c:pt>
              </c:strCache>
            </c:strRef>
          </c:cat>
          <c:val>
            <c:numRef>
              <c:f>'Website Redesign Budget'!$F$32:$F$36</c:f>
              <c:numCache>
                <c:formatCode>[$Rp-421]#,##0.00</c:formatCode>
                <c:ptCount val="5"/>
                <c:pt idx="0">
                  <c:v>200</c:v>
                </c:pt>
                <c:pt idx="1">
                  <c:v>400</c:v>
                </c:pt>
                <c:pt idx="2">
                  <c:v>800</c:v>
                </c:pt>
                <c:pt idx="3">
                  <c:v>100</c:v>
                </c:pt>
                <c:pt idx="4">
                  <c:v>200</c:v>
                </c:pt>
              </c:numCache>
            </c:numRef>
          </c:val>
          <c:extLst>
            <c:ext xmlns:c16="http://schemas.microsoft.com/office/drawing/2014/chart" uri="{C3380CC4-5D6E-409C-BE32-E72D297353CC}">
              <c16:uniqueId val="{0000000A-3301-485F-ADFA-5A58B9829CB2}"/>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1"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33475B"/>
                </a:solidFill>
                <a:latin typeface="Calibri"/>
              </a:defRPr>
            </a:pPr>
            <a:r>
              <a:rPr lang="en-US" b="1" i="0">
                <a:solidFill>
                  <a:srgbClr val="33475B"/>
                </a:solidFill>
                <a:latin typeface="Calibri"/>
              </a:rPr>
              <a:t>PERBANDINGAN ANGGARAN ACARA vs. BIAYA AKTUAL</a:t>
            </a:r>
          </a:p>
        </c:rich>
      </c:tx>
      <c:overlay val="0"/>
    </c:title>
    <c:autoTitleDeleted val="0"/>
    <c:plotArea>
      <c:layout/>
      <c:barChart>
        <c:barDir val="col"/>
        <c:grouping val="stacked"/>
        <c:varyColors val="1"/>
        <c:ser>
          <c:idx val="0"/>
          <c:order val="0"/>
          <c:tx>
            <c:v>BIAYA LAIN-LAIN</c:v>
          </c:tx>
          <c:spPr>
            <a:solidFill>
              <a:srgbClr val="F791AC"/>
            </a:solidFill>
            <a:ln cmpd="sng">
              <a:solidFill>
                <a:srgbClr val="000000"/>
              </a:solidFill>
            </a:ln>
          </c:spPr>
          <c:invertIfNegative val="1"/>
          <c:cat>
            <c:strRef>
              <c:f>'Event Budget'!$E$34:$F$34</c:f>
              <c:strCache>
                <c:ptCount val="2"/>
                <c:pt idx="0">
                  <c:v>ANGGARAN</c:v>
                </c:pt>
                <c:pt idx="1">
                  <c:v>AKTUAL</c:v>
                </c:pt>
              </c:strCache>
            </c:strRef>
          </c:cat>
          <c:val>
            <c:numRef>
              <c:f>'Event Budget'!$E$39:$F$39</c:f>
              <c:numCache>
                <c:formatCode>[$Rp-421]#,##0.00</c:formatCode>
                <c:ptCount val="2"/>
                <c:pt idx="0">
                  <c:v>500</c:v>
                </c:pt>
                <c:pt idx="1">
                  <c:v>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7D6-4F9F-B718-1CD8F8F8FDD4}"/>
            </c:ext>
          </c:extLst>
        </c:ser>
        <c:ser>
          <c:idx val="1"/>
          <c:order val="1"/>
          <c:tx>
            <c:v>PROMOSI</c:v>
          </c:tx>
          <c:spPr>
            <a:solidFill>
              <a:srgbClr val="51D3C4"/>
            </a:solidFill>
            <a:ln cmpd="sng">
              <a:solidFill>
                <a:srgbClr val="000000"/>
              </a:solidFill>
            </a:ln>
          </c:spPr>
          <c:invertIfNegative val="1"/>
          <c:cat>
            <c:strRef>
              <c:f>'Event Budget'!$E$34:$F$34</c:f>
              <c:strCache>
                <c:ptCount val="2"/>
                <c:pt idx="0">
                  <c:v>ANGGARAN</c:v>
                </c:pt>
                <c:pt idx="1">
                  <c:v>AKTUAL</c:v>
                </c:pt>
              </c:strCache>
            </c:strRef>
          </c:cat>
          <c:val>
            <c:numRef>
              <c:f>'Event Budget'!$E$38:$F$38</c:f>
              <c:numCache>
                <c:formatCode>[$Rp-421]#,##0.00</c:formatCode>
                <c:ptCount val="2"/>
                <c:pt idx="0">
                  <c:v>300</c:v>
                </c:pt>
                <c:pt idx="1">
                  <c:v>300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7D6-4F9F-B718-1CD8F8F8FDD4}"/>
            </c:ext>
          </c:extLst>
        </c:ser>
        <c:ser>
          <c:idx val="2"/>
          <c:order val="2"/>
          <c:tx>
            <c:v>ACARA</c:v>
          </c:tx>
          <c:spPr>
            <a:solidFill>
              <a:srgbClr val="F5C26F"/>
            </a:solidFill>
            <a:ln cmpd="sng">
              <a:solidFill>
                <a:srgbClr val="000000"/>
              </a:solidFill>
            </a:ln>
          </c:spPr>
          <c:invertIfNegative val="1"/>
          <c:cat>
            <c:strRef>
              <c:f>'Event Budget'!$E$34:$F$34</c:f>
              <c:strCache>
                <c:ptCount val="2"/>
                <c:pt idx="0">
                  <c:v>ANGGARAN</c:v>
                </c:pt>
                <c:pt idx="1">
                  <c:v>AKTUAL</c:v>
                </c:pt>
              </c:strCache>
            </c:strRef>
          </c:cat>
          <c:val>
            <c:numRef>
              <c:f>'Event Budget'!$E$37:$F$37</c:f>
              <c:numCache>
                <c:formatCode>[$Rp-421]#,##0.00</c:formatCode>
                <c:ptCount val="2"/>
                <c:pt idx="0">
                  <c:v>400</c:v>
                </c:pt>
                <c:pt idx="1">
                  <c:v>400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7D6-4F9F-B718-1CD8F8F8FDD4}"/>
            </c:ext>
          </c:extLst>
        </c:ser>
        <c:ser>
          <c:idx val="3"/>
          <c:order val="3"/>
          <c:tx>
            <c:v>KONSUMSI</c:v>
          </c:tx>
          <c:spPr>
            <a:solidFill>
              <a:srgbClr val="F46C72"/>
            </a:solidFill>
            <a:ln cmpd="sng">
              <a:solidFill>
                <a:srgbClr val="000000"/>
              </a:solidFill>
            </a:ln>
          </c:spPr>
          <c:invertIfNegative val="1"/>
          <c:cat>
            <c:strRef>
              <c:f>'Event Budget'!$E$34:$F$34</c:f>
              <c:strCache>
                <c:ptCount val="2"/>
                <c:pt idx="0">
                  <c:v>ANGGARAN</c:v>
                </c:pt>
                <c:pt idx="1">
                  <c:v>AKTUAL</c:v>
                </c:pt>
              </c:strCache>
            </c:strRef>
          </c:cat>
          <c:val>
            <c:numRef>
              <c:f>'Event Budget'!$E$36:$F$36</c:f>
              <c:numCache>
                <c:formatCode>[$Rp-421]#,##0.00</c:formatCode>
                <c:ptCount val="2"/>
                <c:pt idx="0">
                  <c:v>300</c:v>
                </c:pt>
                <c:pt idx="1">
                  <c:v>300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47D6-4F9F-B718-1CD8F8F8FDD4}"/>
            </c:ext>
          </c:extLst>
        </c:ser>
        <c:ser>
          <c:idx val="4"/>
          <c:order val="4"/>
          <c:tx>
            <c:v>TEMPAT ACARA</c:v>
          </c:tx>
          <c:spPr>
            <a:solidFill>
              <a:srgbClr val="9982B4"/>
            </a:solidFill>
            <a:ln cmpd="sng">
              <a:solidFill>
                <a:srgbClr val="000000"/>
              </a:solidFill>
            </a:ln>
          </c:spPr>
          <c:invertIfNegative val="1"/>
          <c:cat>
            <c:strRef>
              <c:f>'Event Budget'!$E$34:$F$34</c:f>
              <c:strCache>
                <c:ptCount val="2"/>
                <c:pt idx="0">
                  <c:v>ANGGARAN</c:v>
                </c:pt>
                <c:pt idx="1">
                  <c:v>AKTUAL</c:v>
                </c:pt>
              </c:strCache>
            </c:strRef>
          </c:cat>
          <c:val>
            <c:numRef>
              <c:f>'Event Budget'!$E$35:$F$35</c:f>
              <c:numCache>
                <c:formatCode>[$Rp-421]#,##0.00</c:formatCode>
                <c:ptCount val="2"/>
                <c:pt idx="0">
                  <c:v>500</c:v>
                </c:pt>
                <c:pt idx="1">
                  <c:v>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47D6-4F9F-B718-1CD8F8F8FDD4}"/>
            </c:ext>
          </c:extLst>
        </c:ser>
        <c:dLbls>
          <c:showLegendKey val="0"/>
          <c:showVal val="0"/>
          <c:showCatName val="0"/>
          <c:showSerName val="0"/>
          <c:showPercent val="0"/>
          <c:showBubbleSize val="0"/>
        </c:dLbls>
        <c:gapWidth val="150"/>
        <c:overlap val="100"/>
        <c:axId val="1195089693"/>
        <c:axId val="8791675"/>
      </c:barChart>
      <c:catAx>
        <c:axId val="119508969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rot="0"/>
          <a:lstStyle/>
          <a:p>
            <a:pPr lvl="0">
              <a:defRPr b="1" i="0">
                <a:solidFill>
                  <a:srgbClr val="000000"/>
                </a:solidFill>
                <a:latin typeface="Calibri"/>
              </a:defRPr>
            </a:pPr>
            <a:endParaRPr lang="en-US"/>
          </a:p>
        </c:txPr>
        <c:crossAx val="8791675"/>
        <c:crosses val="autoZero"/>
        <c:auto val="1"/>
        <c:lblAlgn val="ctr"/>
        <c:lblOffset val="100"/>
        <c:noMultiLvlLbl val="1"/>
      </c:catAx>
      <c:valAx>
        <c:axId val="879167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Rp-421]#,##0.00" sourceLinked="0"/>
        <c:majorTickMark val="out"/>
        <c:minorTickMark val="none"/>
        <c:tickLblPos val="nextTo"/>
        <c:spPr>
          <a:ln/>
        </c:spPr>
        <c:txPr>
          <a:bodyPr/>
          <a:lstStyle/>
          <a:p>
            <a:pPr lvl="0">
              <a:defRPr b="0" i="0">
                <a:solidFill>
                  <a:srgbClr val="000000"/>
                </a:solidFill>
                <a:latin typeface="Calibri"/>
              </a:defRPr>
            </a:pPr>
            <a:endParaRPr lang="en-US"/>
          </a:p>
        </c:txPr>
        <c:crossAx val="1195089693"/>
        <c:crosses val="autoZero"/>
        <c:crossBetween val="between"/>
      </c:valAx>
    </c:plotArea>
    <c:legend>
      <c:legendPos val="r"/>
      <c:overlay val="0"/>
      <c:txPr>
        <a:bodyPr/>
        <a:lstStyle/>
        <a:p>
          <a:pPr lvl="0">
            <a:defRPr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33475B"/>
                </a:solidFill>
                <a:latin typeface="Calibri"/>
              </a:defRPr>
            </a:pPr>
            <a:r>
              <a:rPr lang="en-US" sz="1400" b="1" i="0">
                <a:solidFill>
                  <a:srgbClr val="33475B"/>
                </a:solidFill>
                <a:latin typeface="Calibri"/>
              </a:rPr>
              <a:t>BIAYA AKTUAL ACARA PER KATEGORI</a:t>
            </a:r>
          </a:p>
        </c:rich>
      </c:tx>
      <c:overlay val="0"/>
    </c:title>
    <c:autoTitleDeleted val="0"/>
    <c:plotArea>
      <c:layout/>
      <c:pieChart>
        <c:varyColors val="1"/>
        <c:ser>
          <c:idx val="0"/>
          <c:order val="0"/>
          <c:tx>
            <c:strRef>
              <c:f>'Event Budget'!$F$34</c:f>
              <c:strCache>
                <c:ptCount val="1"/>
                <c:pt idx="0">
                  <c:v>AKTUAL</c:v>
                </c:pt>
              </c:strCache>
            </c:strRef>
          </c:tx>
          <c:dPt>
            <c:idx val="0"/>
            <c:bubble3D val="0"/>
            <c:spPr>
              <a:solidFill>
                <a:srgbClr val="818ED9"/>
              </a:solidFill>
            </c:spPr>
            <c:extLst>
              <c:ext xmlns:c16="http://schemas.microsoft.com/office/drawing/2014/chart" uri="{C3380CC4-5D6E-409C-BE32-E72D297353CC}">
                <c16:uniqueId val="{00000001-AAD9-439F-8C71-2F2187A07D76}"/>
              </c:ext>
            </c:extLst>
          </c:dPt>
          <c:dPt>
            <c:idx val="1"/>
            <c:bubble3D val="0"/>
            <c:spPr>
              <a:solidFill>
                <a:srgbClr val="F57B81"/>
              </a:solidFill>
            </c:spPr>
            <c:extLst>
              <c:ext xmlns:c16="http://schemas.microsoft.com/office/drawing/2014/chart" uri="{C3380CC4-5D6E-409C-BE32-E72D297353CC}">
                <c16:uniqueId val="{00000003-AAD9-439F-8C71-2F2187A07D76}"/>
              </c:ext>
            </c:extLst>
          </c:dPt>
          <c:dPt>
            <c:idx val="2"/>
            <c:bubble3D val="0"/>
            <c:spPr>
              <a:solidFill>
                <a:srgbClr val="F5C26F"/>
              </a:solidFill>
            </c:spPr>
            <c:extLst>
              <c:ext xmlns:c16="http://schemas.microsoft.com/office/drawing/2014/chart" uri="{C3380CC4-5D6E-409C-BE32-E72D297353CC}">
                <c16:uniqueId val="{00000005-AAD9-439F-8C71-2F2187A07D76}"/>
              </c:ext>
            </c:extLst>
          </c:dPt>
          <c:dPt>
            <c:idx val="3"/>
            <c:bubble3D val="0"/>
            <c:spPr>
              <a:solidFill>
                <a:srgbClr val="60D6C8"/>
              </a:solidFill>
            </c:spPr>
            <c:extLst>
              <c:ext xmlns:c16="http://schemas.microsoft.com/office/drawing/2014/chart" uri="{C3380CC4-5D6E-409C-BE32-E72D297353CC}">
                <c16:uniqueId val="{00000007-AAD9-439F-8C71-2F2187A07D76}"/>
              </c:ext>
            </c:extLst>
          </c:dPt>
          <c:dPt>
            <c:idx val="4"/>
            <c:bubble3D val="0"/>
            <c:spPr>
              <a:solidFill>
                <a:srgbClr val="F67E9D"/>
              </a:solidFill>
            </c:spPr>
            <c:extLst>
              <c:ext xmlns:c16="http://schemas.microsoft.com/office/drawing/2014/chart" uri="{C3380CC4-5D6E-409C-BE32-E72D297353CC}">
                <c16:uniqueId val="{00000009-AAD9-439F-8C71-2F2187A07D76}"/>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'Event Budget'!$C$35:$C$39</c:f>
              <c:strCache>
                <c:ptCount val="5"/>
                <c:pt idx="0">
                  <c:v>TEMPAT ACARA</c:v>
                </c:pt>
                <c:pt idx="1">
                  <c:v>KONSUMSI</c:v>
                </c:pt>
                <c:pt idx="2">
                  <c:v>ACARA</c:v>
                </c:pt>
                <c:pt idx="3">
                  <c:v>PROMOSI</c:v>
                </c:pt>
                <c:pt idx="4">
                  <c:v>BIAYA LAIN-LAIN</c:v>
                </c:pt>
              </c:strCache>
            </c:strRef>
          </c:cat>
          <c:val>
            <c:numRef>
              <c:f>'Event Budget'!$F$35:$F$39</c:f>
              <c:numCache>
                <c:formatCode>[$Rp-421]#,##0.00</c:formatCode>
                <c:ptCount val="5"/>
                <c:pt idx="0">
                  <c:v>500</c:v>
                </c:pt>
                <c:pt idx="1">
                  <c:v>300</c:v>
                </c:pt>
                <c:pt idx="2">
                  <c:v>400</c:v>
                </c:pt>
                <c:pt idx="3">
                  <c:v>300</c:v>
                </c:pt>
                <c:pt idx="4">
                  <c:v>500</c:v>
                </c:pt>
              </c:numCache>
            </c:numRef>
          </c:val>
          <c:extLst>
            <c:ext xmlns:c16="http://schemas.microsoft.com/office/drawing/2014/chart" uri="{C3380CC4-5D6E-409C-BE32-E72D297353CC}">
              <c16:uniqueId val="{0000000A-AAD9-439F-8C71-2F2187A07D7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1"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2</xdr:col>
      <xdr:colOff>9525</xdr:colOff>
      <xdr:row>7</xdr:row>
      <xdr:rowOff>76200</xdr:rowOff>
    </xdr:from>
    <xdr:ext cx="7677150" cy="47625"/>
    <xdr:grpSp>
      <xdr:nvGrpSpPr>
        <xdr:cNvPr id="2" name="Shape 2">
          <a:extLst>
            <a:ext uri="{FF2B5EF4-FFF2-40B4-BE49-F238E27FC236}">
              <a16:creationId xmlns:a16="http://schemas.microsoft.com/office/drawing/2014/main" id="{00000000-0008-0000-0000-000002000000}"/>
            </a:ext>
          </a:extLst>
        </xdr:cNvPr>
        <xdr:cNvGrpSpPr/>
      </xdr:nvGrpSpPr>
      <xdr:grpSpPr>
        <a:xfrm>
          <a:off x="485775" y="1276350"/>
          <a:ext cx="7677150" cy="47625"/>
          <a:chOff x="1507425" y="3756188"/>
          <a:chExt cx="7677150" cy="47625"/>
        </a:xfrm>
      </xdr:grpSpPr>
      <xdr:grpSp>
        <xdr:nvGrpSpPr>
          <xdr:cNvPr id="3" name="Shape 3" title="Gambar">
            <a:extLst>
              <a:ext uri="{FF2B5EF4-FFF2-40B4-BE49-F238E27FC236}">
                <a16:creationId xmlns:a16="http://schemas.microsoft.com/office/drawing/2014/main" id="{00000000-0008-0000-0000-000003000000}"/>
              </a:ext>
            </a:extLst>
          </xdr:cNvPr>
          <xdr:cNvGrpSpPr/>
        </xdr:nvGrpSpPr>
        <xdr:grpSpPr>
          <a:xfrm>
            <a:off x="1507425" y="3756188"/>
            <a:ext cx="7677150" cy="47625"/>
            <a:chOff x="1516950" y="3765713"/>
            <a:chExt cx="7658100" cy="28575"/>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1516950" y="3765713"/>
              <a:ext cx="7658100" cy="28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00000000-0008-0000-0000-000005000000}"/>
                </a:ext>
              </a:extLst>
            </xdr:cNvPr>
            <xdr:cNvGrpSpPr/>
          </xdr:nvGrpSpPr>
          <xdr:grpSpPr>
            <a:xfrm>
              <a:off x="1516950" y="3765713"/>
              <a:ext cx="7658100" cy="28575"/>
              <a:chOff x="1516950" y="3775238"/>
              <a:chExt cx="7658100" cy="9525"/>
            </a:xfrm>
          </xdr:grpSpPr>
          <xdr:sp macro="" textlink="">
            <xdr:nvSpPr>
              <xdr:cNvPr id="6" name="Shape 6">
                <a:extLst>
                  <a:ext uri="{FF2B5EF4-FFF2-40B4-BE49-F238E27FC236}">
                    <a16:creationId xmlns:a16="http://schemas.microsoft.com/office/drawing/2014/main" id="{00000000-0008-0000-0000-000006000000}"/>
                  </a:ext>
                </a:extLst>
              </xdr:cNvPr>
              <xdr:cNvSpPr/>
            </xdr:nvSpPr>
            <xdr:spPr>
              <a:xfrm>
                <a:off x="1516950" y="3775238"/>
                <a:ext cx="7658100" cy="9525"/>
              </a:xfrm>
              <a:prstGeom prst="rect">
                <a:avLst/>
              </a:prstGeom>
              <a:noFill/>
              <a:ln w="9525" cap="flat" cmpd="sng">
                <a:solidFill>
                  <a:srgbClr val="CC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7" name="Shape 7">
                <a:extLst>
                  <a:ext uri="{FF2B5EF4-FFF2-40B4-BE49-F238E27FC236}">
                    <a16:creationId xmlns:a16="http://schemas.microsoft.com/office/drawing/2014/main" id="{00000000-0008-0000-0000-000007000000}"/>
                  </a:ext>
                </a:extLst>
              </xdr:cNvPr>
              <xdr:cNvCxnSpPr/>
            </xdr:nvCxnSpPr>
            <xdr:spPr>
              <a:xfrm flipH="1">
                <a:off x="1516950" y="3775238"/>
                <a:ext cx="7658100" cy="9525"/>
              </a:xfrm>
              <a:prstGeom prst="straightConnector1">
                <a:avLst/>
              </a:prstGeom>
              <a:noFill/>
              <a:ln w="28575" cap="flat" cmpd="sng">
                <a:solidFill>
                  <a:srgbClr val="CC0000"/>
                </a:solidFill>
                <a:prstDash val="solid"/>
                <a:round/>
                <a:headEnd type="none" w="sm" len="sm"/>
                <a:tailEnd type="none" w="sm" len="sm"/>
              </a:ln>
            </xdr:spPr>
          </xdr:cxnSp>
        </xdr:grpSp>
      </xdr:grpSp>
    </xdr:grpSp>
    <xdr:clientData fLocksWithSheet="0"/>
  </xdr:oneCellAnchor>
  <xdr:oneCellAnchor>
    <xdr:from>
      <xdr:col>18</xdr:col>
      <xdr:colOff>0</xdr:colOff>
      <xdr:row>39</xdr:row>
      <xdr:rowOff>0</xdr:rowOff>
    </xdr:from>
    <xdr:ext cx="323850" cy="333375"/>
    <xdr:sp macro="" textlink="">
      <xdr:nvSpPr>
        <xdr:cNvPr id="8" name="Shape 8" descr="Canvas Web Style Guide: Brand Guidelines">
          <a:extLst>
            <a:ext uri="{FF2B5EF4-FFF2-40B4-BE49-F238E27FC236}">
              <a16:creationId xmlns:a16="http://schemas.microsoft.com/office/drawing/2014/main" id="{00000000-0008-0000-0000-000008000000}"/>
            </a:ext>
          </a:extLst>
        </xdr:cNvPr>
        <xdr:cNvSpPr/>
      </xdr:nvSpPr>
      <xdr:spPr>
        <a:xfrm>
          <a:off x="5188838" y="3618075"/>
          <a:ext cx="314325"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476250</xdr:colOff>
      <xdr:row>10</xdr:row>
      <xdr:rowOff>57150</xdr:rowOff>
    </xdr:from>
    <xdr:ext cx="1333500" cy="1171575"/>
    <xdr:pic>
      <xdr:nvPicPr>
        <xdr:cNvPr id="9" name="image1.png" title="Image">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228600</xdr:colOff>
      <xdr:row>16</xdr:row>
      <xdr:rowOff>390525</xdr:rowOff>
    </xdr:from>
    <xdr:ext cx="9258300" cy="4067175"/>
    <xdr:graphicFrame macro="">
      <xdr:nvGraphicFramePr>
        <xdr:cNvPr id="162013366" name="Chart 1" title="Diagram">
          <a:extLst>
            <a:ext uri="{FF2B5EF4-FFF2-40B4-BE49-F238E27FC236}">
              <a16:creationId xmlns:a16="http://schemas.microsoft.com/office/drawing/2014/main" id="{00000000-0008-0000-0100-0000B620A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228600</xdr:colOff>
      <xdr:row>38</xdr:row>
      <xdr:rowOff>85725</xdr:rowOff>
    </xdr:from>
    <xdr:ext cx="9239250" cy="4286250"/>
    <xdr:graphicFrame macro="">
      <xdr:nvGraphicFramePr>
        <xdr:cNvPr id="729740704" name="Chart 2" title="Diagram">
          <a:extLst>
            <a:ext uri="{FF2B5EF4-FFF2-40B4-BE49-F238E27FC236}">
              <a16:creationId xmlns:a16="http://schemas.microsoft.com/office/drawing/2014/main" id="{00000000-0008-0000-0100-0000A0F57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247650</xdr:colOff>
      <xdr:row>24</xdr:row>
      <xdr:rowOff>390525</xdr:rowOff>
    </xdr:from>
    <xdr:ext cx="8439150" cy="5038725"/>
    <xdr:graphicFrame macro="">
      <xdr:nvGraphicFramePr>
        <xdr:cNvPr id="2009018030" name="Chart 3" title="Diagram">
          <a:extLst>
            <a:ext uri="{FF2B5EF4-FFF2-40B4-BE49-F238E27FC236}">
              <a16:creationId xmlns:a16="http://schemas.microsoft.com/office/drawing/2014/main" id="{00000000-0008-0000-0200-0000AE2EB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7</xdr:col>
      <xdr:colOff>257175</xdr:colOff>
      <xdr:row>27</xdr:row>
      <xdr:rowOff>381000</xdr:rowOff>
    </xdr:from>
    <xdr:ext cx="8439150" cy="5067300"/>
    <xdr:graphicFrame macro="">
      <xdr:nvGraphicFramePr>
        <xdr:cNvPr id="867960750" name="Chart 4" title="Diagram">
          <a:extLst>
            <a:ext uri="{FF2B5EF4-FFF2-40B4-BE49-F238E27FC236}">
              <a16:creationId xmlns:a16="http://schemas.microsoft.com/office/drawing/2014/main" id="{00000000-0008-0000-0300-0000AE07B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7</xdr:col>
      <xdr:colOff>228600</xdr:colOff>
      <xdr:row>27</xdr:row>
      <xdr:rowOff>390525</xdr:rowOff>
    </xdr:from>
    <xdr:ext cx="8439150" cy="5257800"/>
    <xdr:graphicFrame macro="">
      <xdr:nvGraphicFramePr>
        <xdr:cNvPr id="1274082177" name="Chart 5" title="Diagram">
          <a:extLst>
            <a:ext uri="{FF2B5EF4-FFF2-40B4-BE49-F238E27FC236}">
              <a16:creationId xmlns:a16="http://schemas.microsoft.com/office/drawing/2014/main" id="{00000000-0008-0000-0400-000081F3F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7</xdr:col>
      <xdr:colOff>219075</xdr:colOff>
      <xdr:row>30</xdr:row>
      <xdr:rowOff>390525</xdr:rowOff>
    </xdr:from>
    <xdr:ext cx="8439150" cy="5257800"/>
    <xdr:graphicFrame macro="">
      <xdr:nvGraphicFramePr>
        <xdr:cNvPr id="248915569" name="Chart 6" title="Diagram">
          <a:extLst>
            <a:ext uri="{FF2B5EF4-FFF2-40B4-BE49-F238E27FC236}">
              <a16:creationId xmlns:a16="http://schemas.microsoft.com/office/drawing/2014/main" id="{00000000-0008-0000-0500-00007126D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7</xdr:col>
      <xdr:colOff>238125</xdr:colOff>
      <xdr:row>36</xdr:row>
      <xdr:rowOff>390525</xdr:rowOff>
    </xdr:from>
    <xdr:ext cx="8439150" cy="5029200"/>
    <xdr:graphicFrame macro="">
      <xdr:nvGraphicFramePr>
        <xdr:cNvPr id="352141814" name="Chart 7" title="Chart">
          <a:extLst>
            <a:ext uri="{FF2B5EF4-FFF2-40B4-BE49-F238E27FC236}">
              <a16:creationId xmlns:a16="http://schemas.microsoft.com/office/drawing/2014/main" id="{00000000-0008-0000-0600-0000F641F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7</xdr:col>
      <xdr:colOff>219075</xdr:colOff>
      <xdr:row>29</xdr:row>
      <xdr:rowOff>390525</xdr:rowOff>
    </xdr:from>
    <xdr:ext cx="7162800" cy="5181600"/>
    <xdr:graphicFrame macro="">
      <xdr:nvGraphicFramePr>
        <xdr:cNvPr id="136635540" name="Chart 8" title="Diagram">
          <a:extLst>
            <a:ext uri="{FF2B5EF4-FFF2-40B4-BE49-F238E27FC236}">
              <a16:creationId xmlns:a16="http://schemas.microsoft.com/office/drawing/2014/main" id="{00000000-0008-0000-0700-000094E42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219075</xdr:colOff>
      <xdr:row>4</xdr:row>
      <xdr:rowOff>352425</xdr:rowOff>
    </xdr:from>
    <xdr:ext cx="7153275" cy="4829175"/>
    <xdr:graphicFrame macro="">
      <xdr:nvGraphicFramePr>
        <xdr:cNvPr id="1643307938" name="Chart 9" title="Diagram">
          <a:extLst>
            <a:ext uri="{FF2B5EF4-FFF2-40B4-BE49-F238E27FC236}">
              <a16:creationId xmlns:a16="http://schemas.microsoft.com/office/drawing/2014/main" id="{00000000-0008-0000-0700-0000A2E3F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28575</xdr:colOff>
      <xdr:row>2</xdr:row>
      <xdr:rowOff>571500</xdr:rowOff>
    </xdr:from>
    <xdr:ext cx="12392025" cy="38100"/>
    <xdr:grpSp>
      <xdr:nvGrpSpPr>
        <xdr:cNvPr id="2" name="Shape 2">
          <a:extLst>
            <a:ext uri="{FF2B5EF4-FFF2-40B4-BE49-F238E27FC236}">
              <a16:creationId xmlns:a16="http://schemas.microsoft.com/office/drawing/2014/main" id="{00000000-0008-0000-0700-000002000000}"/>
            </a:ext>
          </a:extLst>
        </xdr:cNvPr>
        <xdr:cNvGrpSpPr/>
      </xdr:nvGrpSpPr>
      <xdr:grpSpPr>
        <a:xfrm>
          <a:off x="504825" y="952500"/>
          <a:ext cx="12392025" cy="38100"/>
          <a:chOff x="0" y="3760950"/>
          <a:chExt cx="10692000" cy="38100"/>
        </a:xfrm>
      </xdr:grpSpPr>
      <xdr:grpSp>
        <xdr:nvGrpSpPr>
          <xdr:cNvPr id="9" name="Shape 9">
            <a:extLst>
              <a:ext uri="{FF2B5EF4-FFF2-40B4-BE49-F238E27FC236}">
                <a16:creationId xmlns:a16="http://schemas.microsoft.com/office/drawing/2014/main" id="{00000000-0008-0000-0700-000009000000}"/>
              </a:ext>
            </a:extLst>
          </xdr:cNvPr>
          <xdr:cNvGrpSpPr/>
        </xdr:nvGrpSpPr>
        <xdr:grpSpPr>
          <a:xfrm>
            <a:off x="0" y="3760950"/>
            <a:ext cx="10692000" cy="38100"/>
            <a:chOff x="0" y="3760950"/>
            <a:chExt cx="10692000" cy="38100"/>
          </a:xfrm>
        </xdr:grpSpPr>
        <xdr:sp macro="" textlink="">
          <xdr:nvSpPr>
            <xdr:cNvPr id="4" name="Shape 4">
              <a:extLst>
                <a:ext uri="{FF2B5EF4-FFF2-40B4-BE49-F238E27FC236}">
                  <a16:creationId xmlns:a16="http://schemas.microsoft.com/office/drawing/2014/main" id="{00000000-0008-0000-0700-000004000000}"/>
                </a:ext>
              </a:extLst>
            </xdr:cNvPr>
            <xdr:cNvSpPr/>
          </xdr:nvSpPr>
          <xdr:spPr>
            <a:xfrm>
              <a:off x="0" y="3760950"/>
              <a:ext cx="106920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 name="Shape 10">
              <a:extLst>
                <a:ext uri="{FF2B5EF4-FFF2-40B4-BE49-F238E27FC236}">
                  <a16:creationId xmlns:a16="http://schemas.microsoft.com/office/drawing/2014/main" id="{00000000-0008-0000-0700-00000A000000}"/>
                </a:ext>
              </a:extLst>
            </xdr:cNvPr>
            <xdr:cNvGrpSpPr/>
          </xdr:nvGrpSpPr>
          <xdr:grpSpPr>
            <a:xfrm>
              <a:off x="0" y="3760950"/>
              <a:ext cx="10692000" cy="38100"/>
              <a:chOff x="0" y="3770475"/>
              <a:chExt cx="10692000" cy="19050"/>
            </a:xfrm>
          </xdr:grpSpPr>
          <xdr:sp macro="" textlink="">
            <xdr:nvSpPr>
              <xdr:cNvPr id="11" name="Shape 11">
                <a:extLst>
                  <a:ext uri="{FF2B5EF4-FFF2-40B4-BE49-F238E27FC236}">
                    <a16:creationId xmlns:a16="http://schemas.microsoft.com/office/drawing/2014/main" id="{00000000-0008-0000-0700-00000B000000}"/>
                  </a:ext>
                </a:extLst>
              </xdr:cNvPr>
              <xdr:cNvSpPr/>
            </xdr:nvSpPr>
            <xdr:spPr>
              <a:xfrm>
                <a:off x="0" y="3770475"/>
                <a:ext cx="10692000" cy="19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2" name="Shape 12">
                <a:extLst>
                  <a:ext uri="{FF2B5EF4-FFF2-40B4-BE49-F238E27FC236}">
                    <a16:creationId xmlns:a16="http://schemas.microsoft.com/office/drawing/2014/main" id="{00000000-0008-0000-0700-00000C000000}"/>
                  </a:ext>
                </a:extLst>
              </xdr:cNvPr>
              <xdr:cNvCxnSpPr/>
            </xdr:nvCxnSpPr>
            <xdr:spPr>
              <a:xfrm flipH="1">
                <a:off x="0" y="3770475"/>
                <a:ext cx="10692000" cy="19050"/>
              </a:xfrm>
              <a:prstGeom prst="straightConnector1">
                <a:avLst/>
              </a:prstGeom>
              <a:noFill/>
              <a:ln w="28575" cap="flat" cmpd="sng">
                <a:solidFill>
                  <a:srgbClr val="E0E3EA"/>
                </a:solidFill>
                <a:prstDash val="solid"/>
                <a:round/>
                <a:headEnd type="none" w="sm" len="sm"/>
                <a:tailEnd type="none" w="sm" len="sm"/>
              </a:ln>
            </xdr:spPr>
          </xdr:cxnSp>
        </xdr:grpSp>
      </xdr:grpSp>
    </xdr:grp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7</xdr:col>
      <xdr:colOff>247650</xdr:colOff>
      <xdr:row>32</xdr:row>
      <xdr:rowOff>390525</xdr:rowOff>
    </xdr:from>
    <xdr:ext cx="7162800" cy="5210175"/>
    <xdr:graphicFrame macro="">
      <xdr:nvGraphicFramePr>
        <xdr:cNvPr id="429903641" name="Chart 10" title="Diagram">
          <a:extLst>
            <a:ext uri="{FF2B5EF4-FFF2-40B4-BE49-F238E27FC236}">
              <a16:creationId xmlns:a16="http://schemas.microsoft.com/office/drawing/2014/main" id="{00000000-0008-0000-0800-000019CF9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247650</xdr:colOff>
      <xdr:row>4</xdr:row>
      <xdr:rowOff>381000</xdr:rowOff>
    </xdr:from>
    <xdr:ext cx="7153275" cy="5619750"/>
    <xdr:graphicFrame macro="">
      <xdr:nvGraphicFramePr>
        <xdr:cNvPr id="1636160557" name="Chart 11" title="Diagram">
          <a:extLst>
            <a:ext uri="{FF2B5EF4-FFF2-40B4-BE49-F238E27FC236}">
              <a16:creationId xmlns:a16="http://schemas.microsoft.com/office/drawing/2014/main" id="{00000000-0008-0000-0800-00002DD48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504825</xdr:colOff>
      <xdr:row>39</xdr:row>
      <xdr:rowOff>9525</xdr:rowOff>
    </xdr:from>
    <xdr:ext cx="609600" cy="457200"/>
    <xdr:grpSp>
      <xdr:nvGrpSpPr>
        <xdr:cNvPr id="2" name="Shape 2">
          <a:extLst>
            <a:ext uri="{FF2B5EF4-FFF2-40B4-BE49-F238E27FC236}">
              <a16:creationId xmlns:a16="http://schemas.microsoft.com/office/drawing/2014/main" id="{00000000-0008-0000-0800-000002000000}"/>
            </a:ext>
          </a:extLst>
        </xdr:cNvPr>
        <xdr:cNvGrpSpPr/>
      </xdr:nvGrpSpPr>
      <xdr:grpSpPr>
        <a:xfrm>
          <a:off x="2971800" y="8972550"/>
          <a:ext cx="609600" cy="457200"/>
          <a:chOff x="5041200" y="3551400"/>
          <a:chExt cx="609600" cy="457200"/>
        </a:xfrm>
      </xdr:grpSpPr>
      <xdr:grpSp>
        <xdr:nvGrpSpPr>
          <xdr:cNvPr id="13" name="Shape 13">
            <a:extLst>
              <a:ext uri="{FF2B5EF4-FFF2-40B4-BE49-F238E27FC236}">
                <a16:creationId xmlns:a16="http://schemas.microsoft.com/office/drawing/2014/main" id="{00000000-0008-0000-0800-00000D000000}"/>
              </a:ext>
            </a:extLst>
          </xdr:cNvPr>
          <xdr:cNvGrpSpPr/>
        </xdr:nvGrpSpPr>
        <xdr:grpSpPr>
          <a:xfrm>
            <a:off x="5041200" y="3551400"/>
            <a:ext cx="609600" cy="457200"/>
            <a:chOff x="5041200" y="3551400"/>
            <a:chExt cx="609600" cy="457200"/>
          </a:xfrm>
        </xdr:grpSpPr>
        <xdr:sp macro="" textlink="">
          <xdr:nvSpPr>
            <xdr:cNvPr id="4" name="Shape 4">
              <a:extLst>
                <a:ext uri="{FF2B5EF4-FFF2-40B4-BE49-F238E27FC236}">
                  <a16:creationId xmlns:a16="http://schemas.microsoft.com/office/drawing/2014/main" id="{00000000-0008-0000-0800-000004000000}"/>
                </a:ext>
              </a:extLst>
            </xdr:cNvPr>
            <xdr:cNvSpPr/>
          </xdr:nvSpPr>
          <xdr:spPr>
            <a:xfrm>
              <a:off x="5041200" y="3551400"/>
              <a:ext cx="609600" cy="457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4" name="Shape 14">
              <a:extLst>
                <a:ext uri="{FF2B5EF4-FFF2-40B4-BE49-F238E27FC236}">
                  <a16:creationId xmlns:a16="http://schemas.microsoft.com/office/drawing/2014/main" id="{00000000-0008-0000-0800-00000E000000}"/>
                </a:ext>
              </a:extLst>
            </xdr:cNvPr>
            <xdr:cNvGrpSpPr/>
          </xdr:nvGrpSpPr>
          <xdr:grpSpPr>
            <a:xfrm>
              <a:off x="5041200" y="3551400"/>
              <a:ext cx="609600" cy="457200"/>
              <a:chOff x="5055488" y="3565688"/>
              <a:chExt cx="581025" cy="428625"/>
            </a:xfrm>
          </xdr:grpSpPr>
          <xdr:sp macro="" textlink="">
            <xdr:nvSpPr>
              <xdr:cNvPr id="15" name="Shape 15">
                <a:extLst>
                  <a:ext uri="{FF2B5EF4-FFF2-40B4-BE49-F238E27FC236}">
                    <a16:creationId xmlns:a16="http://schemas.microsoft.com/office/drawing/2014/main" id="{00000000-0008-0000-0800-00000F000000}"/>
                  </a:ext>
                </a:extLst>
              </xdr:cNvPr>
              <xdr:cNvSpPr/>
            </xdr:nvSpPr>
            <xdr:spPr>
              <a:xfrm>
                <a:off x="5055488" y="3565688"/>
                <a:ext cx="581025" cy="428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6" name="Shape 16">
                <a:extLst>
                  <a:ext uri="{FF2B5EF4-FFF2-40B4-BE49-F238E27FC236}">
                    <a16:creationId xmlns:a16="http://schemas.microsoft.com/office/drawing/2014/main" id="{00000000-0008-0000-0800-000010000000}"/>
                  </a:ext>
                </a:extLst>
              </xdr:cNvPr>
              <xdr:cNvCxnSpPr/>
            </xdr:nvCxnSpPr>
            <xdr:spPr>
              <a:xfrm rot="10800000" flipH="1">
                <a:off x="5055488" y="3565688"/>
                <a:ext cx="581025" cy="428625"/>
              </a:xfrm>
              <a:prstGeom prst="straightConnector1">
                <a:avLst/>
              </a:prstGeom>
              <a:noFill/>
              <a:ln w="25400" cap="flat" cmpd="sng">
                <a:solidFill>
                  <a:srgbClr val="425B76"/>
                </a:solidFill>
                <a:prstDash val="solid"/>
                <a:round/>
                <a:headEnd type="none" w="sm" len="sm"/>
                <a:tailEnd type="stealth" w="med" len="med"/>
              </a:ln>
              <a:effectLst>
                <a:outerShdw blurRad="40000" dist="20000" dir="5400000" rotWithShape="0">
                  <a:srgbClr val="000000">
                    <a:alpha val="36862"/>
                  </a:srgbClr>
                </a:outerShdw>
              </a:effectLst>
            </xdr:spPr>
          </xdr:cxnSp>
        </xdr:grpSp>
      </xdr:grpSp>
    </xdr:grpSp>
    <xdr:clientData fLocksWithSheet="0"/>
  </xdr:oneCellAnchor>
  <xdr:oneCellAnchor>
    <xdr:from>
      <xdr:col>2</xdr:col>
      <xdr:colOff>752475</xdr:colOff>
      <xdr:row>41</xdr:row>
      <xdr:rowOff>19050</xdr:rowOff>
    </xdr:from>
    <xdr:ext cx="1790700" cy="657225"/>
    <xdr:sp macro="" textlink="">
      <xdr:nvSpPr>
        <xdr:cNvPr id="17" name="Shape 17">
          <a:extLst>
            <a:ext uri="{FF2B5EF4-FFF2-40B4-BE49-F238E27FC236}">
              <a16:creationId xmlns:a16="http://schemas.microsoft.com/office/drawing/2014/main" id="{00000000-0008-0000-0800-000011000000}"/>
            </a:ext>
          </a:extLst>
        </xdr:cNvPr>
        <xdr:cNvSpPr txBox="1"/>
      </xdr:nvSpPr>
      <xdr:spPr>
        <a:xfrm>
          <a:off x="4455413" y="3456150"/>
          <a:ext cx="1781175" cy="647700"/>
        </a:xfrm>
        <a:prstGeom prst="rect">
          <a:avLst/>
        </a:prstGeom>
        <a:solidFill>
          <a:srgbClr val="EAF0F6"/>
        </a:solidFill>
        <a:ln w="9525" cap="flat" cmpd="sng">
          <a:solidFill>
            <a:srgbClr val="425B76"/>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rgbClr val="2A3D52"/>
            </a:buClr>
            <a:buSzPts val="1050"/>
            <a:buFont typeface="Avenir"/>
            <a:buNone/>
          </a:pPr>
          <a:r>
            <a:rPr lang="en-US" sz="1050" b="0">
              <a:solidFill>
                <a:srgbClr val="2A3D52"/>
              </a:solidFill>
              <a:latin typeface="Avenir"/>
              <a:ea typeface="Avenir"/>
              <a:cs typeface="Avenir"/>
              <a:sym typeface="Avenir"/>
            </a:rPr>
            <a:t>Your </a:t>
          </a:r>
          <a:r>
            <a:rPr lang="en-US" sz="1050" b="1">
              <a:solidFill>
                <a:srgbClr val="2A3D52"/>
              </a:solidFill>
              <a:latin typeface="Avenir"/>
              <a:ea typeface="Avenir"/>
              <a:cs typeface="Avenir"/>
              <a:sym typeface="Avenir"/>
            </a:rPr>
            <a:t>category totals </a:t>
          </a:r>
          <a:r>
            <a:rPr lang="en-US" sz="1050" b="0">
              <a:solidFill>
                <a:srgbClr val="2A3D52"/>
              </a:solidFill>
              <a:latin typeface="Avenir"/>
              <a:ea typeface="Avenir"/>
              <a:cs typeface="Avenir"/>
              <a:sym typeface="Avenir"/>
            </a:rPr>
            <a:t>will automatically populate here.</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showGridLines="0" workbookViewId="0"/>
  </sheetViews>
  <sheetFormatPr defaultColWidth="12.625" defaultRowHeight="15" customHeight="1"/>
  <cols>
    <col min="1" max="2" width="3.125" customWidth="1"/>
    <col min="3" max="13" width="7.625" customWidth="1"/>
    <col min="14" max="14" width="11.5" customWidth="1"/>
    <col min="15" max="15" width="7.625" customWidth="1"/>
    <col min="16" max="16" width="3.125" customWidth="1"/>
    <col min="17" max="17" width="3.375" customWidth="1"/>
    <col min="18" max="25" width="9.125" customWidth="1"/>
    <col min="26" max="27" width="3.125" customWidth="1"/>
  </cols>
  <sheetData>
    <row r="1" spans="1:27" ht="14.25">
      <c r="A1" s="1" t="s">
        <v>0</v>
      </c>
      <c r="B1" s="1"/>
      <c r="C1" s="1"/>
      <c r="D1" s="1"/>
      <c r="E1" s="1"/>
      <c r="F1" s="1"/>
      <c r="G1" s="1"/>
      <c r="H1" s="1"/>
      <c r="I1" s="1"/>
      <c r="J1" s="1"/>
      <c r="K1" s="1"/>
      <c r="L1" s="1"/>
      <c r="M1" s="1"/>
      <c r="N1" s="1"/>
      <c r="O1" s="1"/>
      <c r="P1" s="1"/>
      <c r="Q1" s="1"/>
      <c r="R1" s="1"/>
      <c r="S1" s="1"/>
      <c r="T1" s="1"/>
      <c r="U1" s="1"/>
      <c r="V1" s="1"/>
      <c r="W1" s="1"/>
      <c r="X1" s="1"/>
      <c r="Y1" s="1"/>
      <c r="Z1" s="1"/>
      <c r="AA1" s="1"/>
    </row>
    <row r="2" spans="1:27" ht="15" customHeight="1">
      <c r="A2" s="1"/>
      <c r="B2" s="2"/>
      <c r="C2" s="3"/>
      <c r="D2" s="3"/>
      <c r="E2" s="3"/>
      <c r="F2" s="3"/>
      <c r="G2" s="3"/>
      <c r="H2" s="3"/>
      <c r="I2" s="3"/>
      <c r="J2" s="3"/>
      <c r="K2" s="3"/>
      <c r="L2" s="3"/>
      <c r="M2" s="3"/>
      <c r="N2" s="3"/>
      <c r="O2" s="3"/>
      <c r="P2" s="4"/>
      <c r="Q2" s="5"/>
      <c r="R2" s="6"/>
      <c r="S2" s="6"/>
      <c r="T2" s="6"/>
      <c r="U2" s="6"/>
      <c r="V2" s="6"/>
      <c r="W2" s="6"/>
      <c r="X2" s="6"/>
      <c r="Y2" s="6"/>
      <c r="Z2" s="7"/>
      <c r="AA2" s="1"/>
    </row>
    <row r="3" spans="1:27" ht="13.5" customHeight="1">
      <c r="A3" s="1"/>
      <c r="B3" s="8"/>
      <c r="C3" s="9"/>
      <c r="D3" s="10"/>
      <c r="E3" s="10"/>
      <c r="F3" s="10"/>
      <c r="G3" s="268"/>
      <c r="H3" s="267"/>
      <c r="I3" s="267"/>
      <c r="J3" s="267"/>
      <c r="K3" s="267"/>
      <c r="L3" s="10"/>
      <c r="M3" s="10"/>
      <c r="N3" s="10"/>
      <c r="O3" s="10"/>
      <c r="P3" s="11"/>
      <c r="Q3" s="12"/>
      <c r="R3" s="269" t="s">
        <v>1</v>
      </c>
      <c r="S3" s="270"/>
      <c r="T3" s="270"/>
      <c r="U3" s="270"/>
      <c r="V3" s="270"/>
      <c r="W3" s="270"/>
      <c r="X3" s="270"/>
      <c r="Y3" s="270"/>
      <c r="Z3" s="13"/>
      <c r="AA3" s="1"/>
    </row>
    <row r="4" spans="1:27" ht="13.5" customHeight="1">
      <c r="A4" s="1"/>
      <c r="B4" s="8"/>
      <c r="C4" s="9"/>
      <c r="D4" s="10"/>
      <c r="E4" s="10"/>
      <c r="F4" s="10"/>
      <c r="G4" s="267"/>
      <c r="H4" s="267"/>
      <c r="I4" s="267"/>
      <c r="J4" s="267"/>
      <c r="K4" s="267"/>
      <c r="L4" s="10"/>
      <c r="M4" s="10"/>
      <c r="N4" s="10"/>
      <c r="O4" s="10"/>
      <c r="P4" s="11"/>
      <c r="Q4" s="12"/>
      <c r="R4" s="271"/>
      <c r="S4" s="267"/>
      <c r="T4" s="267"/>
      <c r="U4" s="267"/>
      <c r="V4" s="267"/>
      <c r="W4" s="267"/>
      <c r="X4" s="267"/>
      <c r="Y4" s="267"/>
      <c r="Z4" s="13"/>
      <c r="AA4" s="1"/>
    </row>
    <row r="5" spans="1:27" ht="12.75" customHeight="1">
      <c r="A5" s="1"/>
      <c r="B5" s="8"/>
      <c r="C5" s="1"/>
      <c r="D5" s="1"/>
      <c r="E5" s="1"/>
      <c r="F5" s="1"/>
      <c r="G5" s="267"/>
      <c r="H5" s="267"/>
      <c r="I5" s="267"/>
      <c r="J5" s="267"/>
      <c r="K5" s="267"/>
      <c r="L5" s="1"/>
      <c r="M5" s="1"/>
      <c r="N5" s="1"/>
      <c r="O5" s="1"/>
      <c r="P5" s="11"/>
      <c r="Q5" s="12"/>
      <c r="R5" s="14"/>
      <c r="S5" s="15"/>
      <c r="T5" s="15"/>
      <c r="U5" s="15"/>
      <c r="V5" s="15"/>
      <c r="W5" s="15"/>
      <c r="X5" s="15"/>
      <c r="Y5" s="15"/>
      <c r="Z5" s="13"/>
      <c r="AA5" s="1"/>
    </row>
    <row r="6" spans="1:27" ht="12.75" customHeight="1">
      <c r="A6" s="1"/>
      <c r="B6" s="8"/>
      <c r="C6" s="1"/>
      <c r="D6" s="1"/>
      <c r="E6" s="1"/>
      <c r="F6" s="1"/>
      <c r="G6" s="267"/>
      <c r="H6" s="267"/>
      <c r="I6" s="267"/>
      <c r="J6" s="267"/>
      <c r="K6" s="267"/>
      <c r="L6" s="1"/>
      <c r="M6" s="1"/>
      <c r="N6" s="1"/>
      <c r="O6" s="1"/>
      <c r="P6" s="11"/>
      <c r="Q6" s="12"/>
      <c r="R6" s="272" t="s">
        <v>2</v>
      </c>
      <c r="S6" s="270"/>
      <c r="T6" s="270"/>
      <c r="U6" s="270"/>
      <c r="V6" s="270"/>
      <c r="W6" s="270"/>
      <c r="X6" s="270"/>
      <c r="Y6" s="270"/>
      <c r="Z6" s="13"/>
      <c r="AA6" s="1"/>
    </row>
    <row r="7" spans="1:27" ht="12.75" customHeight="1">
      <c r="A7" s="1"/>
      <c r="B7" s="8"/>
      <c r="C7" s="1"/>
      <c r="D7" s="1"/>
      <c r="E7" s="1"/>
      <c r="F7" s="1"/>
      <c r="G7" s="1"/>
      <c r="H7" s="1"/>
      <c r="I7" s="1"/>
      <c r="J7" s="1"/>
      <c r="K7" s="1"/>
      <c r="L7" s="1"/>
      <c r="M7" s="1"/>
      <c r="N7" s="1"/>
      <c r="O7" s="1"/>
      <c r="P7" s="11"/>
      <c r="Q7" s="12"/>
      <c r="R7" s="271"/>
      <c r="S7" s="267"/>
      <c r="T7" s="267"/>
      <c r="U7" s="267"/>
      <c r="V7" s="267"/>
      <c r="W7" s="267"/>
      <c r="X7" s="267"/>
      <c r="Y7" s="267"/>
      <c r="Z7" s="13"/>
      <c r="AA7" s="1"/>
    </row>
    <row r="8" spans="1:27" ht="12.75" customHeight="1">
      <c r="A8" s="1"/>
      <c r="B8" s="8"/>
      <c r="C8" s="1"/>
      <c r="D8" s="1"/>
      <c r="E8" s="1"/>
      <c r="F8" s="1"/>
      <c r="G8" s="1"/>
      <c r="H8" s="1"/>
      <c r="I8" s="1"/>
      <c r="J8" s="1"/>
      <c r="K8" s="1"/>
      <c r="L8" s="1"/>
      <c r="M8" s="1"/>
      <c r="N8" s="1"/>
      <c r="O8" s="1"/>
      <c r="P8" s="11"/>
      <c r="Q8" s="12"/>
      <c r="R8" s="271"/>
      <c r="S8" s="267"/>
      <c r="T8" s="267"/>
      <c r="U8" s="267"/>
      <c r="V8" s="267"/>
      <c r="W8" s="267"/>
      <c r="X8" s="267"/>
      <c r="Y8" s="267"/>
      <c r="Z8" s="13"/>
      <c r="AA8" s="1"/>
    </row>
    <row r="9" spans="1:27" ht="12.75" customHeight="1">
      <c r="A9" s="1"/>
      <c r="B9" s="8"/>
      <c r="C9" s="1"/>
      <c r="D9" s="1"/>
      <c r="E9" s="1"/>
      <c r="F9" s="1"/>
      <c r="G9" s="1"/>
      <c r="H9" s="1"/>
      <c r="I9" s="1"/>
      <c r="J9" s="1"/>
      <c r="K9" s="1"/>
      <c r="L9" s="1"/>
      <c r="M9" s="1"/>
      <c r="N9" s="1"/>
      <c r="O9" s="1"/>
      <c r="P9" s="11"/>
      <c r="Q9" s="12"/>
      <c r="R9" s="271"/>
      <c r="S9" s="267"/>
      <c r="T9" s="267"/>
      <c r="U9" s="267"/>
      <c r="V9" s="267"/>
      <c r="W9" s="267"/>
      <c r="X9" s="267"/>
      <c r="Y9" s="267"/>
      <c r="Z9" s="13"/>
      <c r="AA9" s="1"/>
    </row>
    <row r="10" spans="1:27" ht="12.75" customHeight="1">
      <c r="A10" s="1"/>
      <c r="B10" s="8"/>
      <c r="C10" s="1"/>
      <c r="D10" s="1"/>
      <c r="E10" s="1"/>
      <c r="F10" s="1"/>
      <c r="G10" s="1"/>
      <c r="H10" s="1"/>
      <c r="I10" s="1"/>
      <c r="J10" s="1"/>
      <c r="K10" s="1"/>
      <c r="L10" s="1"/>
      <c r="M10" s="1"/>
      <c r="N10" s="1"/>
      <c r="O10" s="1"/>
      <c r="P10" s="11"/>
      <c r="Q10" s="12"/>
      <c r="R10" s="271"/>
      <c r="S10" s="267"/>
      <c r="T10" s="267"/>
      <c r="U10" s="267"/>
      <c r="V10" s="267"/>
      <c r="W10" s="267"/>
      <c r="X10" s="267"/>
      <c r="Y10" s="267"/>
      <c r="Z10" s="13"/>
      <c r="AA10" s="1"/>
    </row>
    <row r="11" spans="1:27" ht="25.5" customHeight="1">
      <c r="A11" s="1"/>
      <c r="B11" s="8"/>
      <c r="C11" s="16"/>
      <c r="D11" s="273" t="s">
        <v>3</v>
      </c>
      <c r="E11" s="267"/>
      <c r="F11" s="267"/>
      <c r="G11" s="267"/>
      <c r="H11" s="267"/>
      <c r="I11" s="267"/>
      <c r="J11" s="267"/>
      <c r="K11" s="267"/>
      <c r="L11" s="267"/>
      <c r="M11" s="267"/>
      <c r="N11" s="16"/>
      <c r="O11" s="16"/>
      <c r="P11" s="11"/>
      <c r="Q11" s="12"/>
      <c r="R11" s="271"/>
      <c r="S11" s="267"/>
      <c r="T11" s="267"/>
      <c r="U11" s="267"/>
      <c r="V11" s="267"/>
      <c r="W11" s="267"/>
      <c r="X11" s="267"/>
      <c r="Y11" s="267"/>
      <c r="Z11" s="13"/>
      <c r="AA11" s="1"/>
    </row>
    <row r="12" spans="1:27" ht="15.75" customHeight="1">
      <c r="A12" s="1"/>
      <c r="B12" s="8"/>
      <c r="C12" s="1"/>
      <c r="D12" s="267"/>
      <c r="E12" s="267"/>
      <c r="F12" s="267"/>
      <c r="G12" s="267"/>
      <c r="H12" s="267"/>
      <c r="I12" s="267"/>
      <c r="J12" s="267"/>
      <c r="K12" s="267"/>
      <c r="L12" s="267"/>
      <c r="M12" s="267"/>
      <c r="N12" s="1"/>
      <c r="P12" s="11"/>
      <c r="Q12" s="12"/>
      <c r="R12" s="271"/>
      <c r="S12" s="267"/>
      <c r="T12" s="267"/>
      <c r="U12" s="267"/>
      <c r="V12" s="267"/>
      <c r="W12" s="267"/>
      <c r="X12" s="267"/>
      <c r="Y12" s="267"/>
      <c r="Z12" s="13"/>
      <c r="AA12" s="1"/>
    </row>
    <row r="13" spans="1:27" ht="19.5" customHeight="1">
      <c r="A13" s="1"/>
      <c r="B13" s="8"/>
      <c r="C13" s="17"/>
      <c r="D13" s="267"/>
      <c r="E13" s="267"/>
      <c r="F13" s="267"/>
      <c r="G13" s="267"/>
      <c r="H13" s="267"/>
      <c r="I13" s="267"/>
      <c r="J13" s="267"/>
      <c r="K13" s="267"/>
      <c r="L13" s="267"/>
      <c r="M13" s="267"/>
      <c r="N13" s="17"/>
      <c r="O13" s="17"/>
      <c r="P13" s="11"/>
      <c r="Q13" s="12"/>
      <c r="R13" s="271"/>
      <c r="S13" s="267"/>
      <c r="T13" s="267"/>
      <c r="U13" s="267"/>
      <c r="V13" s="267"/>
      <c r="W13" s="267"/>
      <c r="X13" s="267"/>
      <c r="Y13" s="267"/>
      <c r="Z13" s="13"/>
      <c r="AA13" s="1"/>
    </row>
    <row r="14" spans="1:27" ht="1.5" customHeight="1">
      <c r="A14" s="1"/>
      <c r="B14" s="8"/>
      <c r="C14" s="17"/>
      <c r="D14" s="274" t="s">
        <v>4</v>
      </c>
      <c r="E14" s="267"/>
      <c r="F14" s="267"/>
      <c r="G14" s="267"/>
      <c r="H14" s="267"/>
      <c r="I14" s="267"/>
      <c r="J14" s="267"/>
      <c r="K14" s="267"/>
      <c r="L14" s="267"/>
      <c r="M14" s="17"/>
      <c r="N14" s="17"/>
      <c r="O14" s="17"/>
      <c r="P14" s="11"/>
      <c r="Q14" s="12"/>
      <c r="R14" s="271"/>
      <c r="S14" s="267"/>
      <c r="T14" s="267"/>
      <c r="U14" s="267"/>
      <c r="V14" s="267"/>
      <c r="W14" s="267"/>
      <c r="X14" s="267"/>
      <c r="Y14" s="267"/>
      <c r="Z14" s="13"/>
      <c r="AA14" s="1"/>
    </row>
    <row r="15" spans="1:27" ht="20.25">
      <c r="A15" s="1"/>
      <c r="B15" s="8"/>
      <c r="C15" s="17"/>
      <c r="D15" s="267"/>
      <c r="E15" s="267"/>
      <c r="F15" s="267"/>
      <c r="G15" s="267"/>
      <c r="H15" s="267"/>
      <c r="I15" s="267"/>
      <c r="J15" s="267"/>
      <c r="K15" s="267"/>
      <c r="L15" s="267"/>
      <c r="M15" s="17"/>
      <c r="N15" s="17"/>
      <c r="O15" s="17"/>
      <c r="P15" s="11"/>
      <c r="Q15" s="12"/>
      <c r="R15" s="271"/>
      <c r="S15" s="267"/>
      <c r="T15" s="267"/>
      <c r="U15" s="267"/>
      <c r="V15" s="267"/>
      <c r="W15" s="267"/>
      <c r="X15" s="267"/>
      <c r="Y15" s="267"/>
      <c r="Z15" s="13"/>
      <c r="AA15" s="1"/>
    </row>
    <row r="16" spans="1:27" ht="19.5" customHeight="1">
      <c r="A16" s="1"/>
      <c r="B16" s="8"/>
      <c r="C16" s="1"/>
      <c r="D16" s="267"/>
      <c r="E16" s="267"/>
      <c r="F16" s="267"/>
      <c r="G16" s="267"/>
      <c r="H16" s="267"/>
      <c r="I16" s="267"/>
      <c r="J16" s="267"/>
      <c r="K16" s="267"/>
      <c r="L16" s="267"/>
      <c r="M16" s="1"/>
      <c r="N16" s="1"/>
      <c r="O16" s="1"/>
      <c r="P16" s="11"/>
      <c r="Q16" s="12"/>
      <c r="R16" s="271"/>
      <c r="S16" s="267"/>
      <c r="T16" s="267"/>
      <c r="U16" s="267"/>
      <c r="V16" s="267"/>
      <c r="W16" s="267"/>
      <c r="X16" s="267"/>
      <c r="Y16" s="267"/>
      <c r="Z16" s="13"/>
      <c r="AA16" s="1"/>
    </row>
    <row r="17" spans="1:27" ht="14.25">
      <c r="A17" s="1"/>
      <c r="B17" s="8"/>
      <c r="C17" s="1"/>
      <c r="D17" s="1"/>
      <c r="E17" s="1"/>
      <c r="F17" s="1"/>
      <c r="G17" s="1"/>
      <c r="H17" s="1"/>
      <c r="I17" s="1"/>
      <c r="J17" s="1"/>
      <c r="K17" s="1"/>
      <c r="L17" s="1"/>
      <c r="M17" s="1"/>
      <c r="N17" s="1"/>
      <c r="O17" s="1"/>
      <c r="P17" s="11"/>
      <c r="Q17" s="12"/>
      <c r="R17" s="271"/>
      <c r="S17" s="267"/>
      <c r="T17" s="267"/>
      <c r="U17" s="267"/>
      <c r="V17" s="267"/>
      <c r="W17" s="267"/>
      <c r="X17" s="267"/>
      <c r="Y17" s="267"/>
      <c r="Z17" s="13"/>
      <c r="AA17" s="1"/>
    </row>
    <row r="18" spans="1:27" ht="14.25">
      <c r="A18" s="1"/>
      <c r="B18" s="8"/>
      <c r="C18" s="1"/>
      <c r="D18" s="1"/>
      <c r="E18" s="1"/>
      <c r="F18" s="1"/>
      <c r="G18" s="1"/>
      <c r="H18" s="1"/>
      <c r="I18" s="1"/>
      <c r="J18" s="1"/>
      <c r="K18" s="1"/>
      <c r="L18" s="1"/>
      <c r="M18" s="1"/>
      <c r="N18" s="1"/>
      <c r="O18" s="1"/>
      <c r="P18" s="11"/>
      <c r="Q18" s="12"/>
      <c r="R18" s="271"/>
      <c r="S18" s="267"/>
      <c r="T18" s="267"/>
      <c r="U18" s="267"/>
      <c r="V18" s="267"/>
      <c r="W18" s="267"/>
      <c r="X18" s="267"/>
      <c r="Y18" s="267"/>
      <c r="Z18" s="13"/>
      <c r="AA18" s="1"/>
    </row>
    <row r="19" spans="1:27" ht="15.75" customHeight="1">
      <c r="A19" s="1"/>
      <c r="B19" s="8"/>
      <c r="C19" s="18"/>
      <c r="D19" s="18"/>
      <c r="E19" s="18"/>
      <c r="F19" s="18"/>
      <c r="G19" s="18"/>
      <c r="H19" s="18"/>
      <c r="I19" s="18"/>
      <c r="J19" s="18"/>
      <c r="K19" s="18"/>
      <c r="L19" s="18"/>
      <c r="M19" s="18"/>
      <c r="N19" s="18"/>
      <c r="O19" s="18"/>
      <c r="P19" s="11"/>
      <c r="Q19" s="12"/>
      <c r="R19" s="271"/>
      <c r="S19" s="267"/>
      <c r="T19" s="267"/>
      <c r="U19" s="267"/>
      <c r="V19" s="267"/>
      <c r="W19" s="267"/>
      <c r="X19" s="267"/>
      <c r="Y19" s="267"/>
      <c r="Z19" s="13"/>
      <c r="AA19" s="1"/>
    </row>
    <row r="20" spans="1:27" ht="30.75" customHeight="1">
      <c r="A20" s="1"/>
      <c r="B20" s="8"/>
      <c r="C20" s="18"/>
      <c r="D20" s="275"/>
      <c r="E20" s="267"/>
      <c r="F20" s="267"/>
      <c r="G20" s="267"/>
      <c r="H20" s="267"/>
      <c r="I20" s="267"/>
      <c r="J20" s="267"/>
      <c r="K20" s="267"/>
      <c r="L20" s="267"/>
      <c r="M20" s="267"/>
      <c r="N20" s="267"/>
      <c r="O20" s="18"/>
      <c r="P20" s="11"/>
      <c r="Q20" s="12"/>
      <c r="R20" s="271"/>
      <c r="S20" s="267"/>
      <c r="T20" s="267"/>
      <c r="U20" s="267"/>
      <c r="V20" s="267"/>
      <c r="W20" s="267"/>
      <c r="X20" s="267"/>
      <c r="Y20" s="267"/>
      <c r="Z20" s="13"/>
      <c r="AA20" s="1"/>
    </row>
    <row r="21" spans="1:27" ht="18.75" customHeight="1">
      <c r="A21" s="1"/>
      <c r="B21" s="8"/>
      <c r="C21" s="18"/>
      <c r="D21" s="267"/>
      <c r="E21" s="267"/>
      <c r="F21" s="267"/>
      <c r="G21" s="267"/>
      <c r="H21" s="267"/>
      <c r="I21" s="267"/>
      <c r="J21" s="267"/>
      <c r="K21" s="267"/>
      <c r="L21" s="267"/>
      <c r="M21" s="267"/>
      <c r="N21" s="267"/>
      <c r="O21" s="18"/>
      <c r="P21" s="11"/>
      <c r="Q21" s="12"/>
      <c r="R21" s="264" t="s">
        <v>5</v>
      </c>
      <c r="S21" s="265"/>
      <c r="T21" s="265"/>
      <c r="U21" s="265"/>
      <c r="V21" s="19"/>
      <c r="W21" s="19"/>
      <c r="X21" s="19"/>
      <c r="Y21" s="19"/>
      <c r="Z21" s="13"/>
      <c r="AA21" s="1"/>
    </row>
    <row r="22" spans="1:27" ht="18.75" customHeight="1">
      <c r="A22" s="1"/>
      <c r="B22" s="8"/>
      <c r="C22" s="18"/>
      <c r="D22" s="267"/>
      <c r="E22" s="267"/>
      <c r="F22" s="267"/>
      <c r="G22" s="267"/>
      <c r="H22" s="267"/>
      <c r="I22" s="267"/>
      <c r="J22" s="267"/>
      <c r="K22" s="267"/>
      <c r="L22" s="267"/>
      <c r="M22" s="267"/>
      <c r="N22" s="267"/>
      <c r="O22" s="18"/>
      <c r="P22" s="11"/>
      <c r="Q22" s="12"/>
      <c r="R22" s="264" t="s">
        <v>6</v>
      </c>
      <c r="S22" s="265"/>
      <c r="T22" s="265"/>
      <c r="U22" s="20"/>
      <c r="V22" s="19"/>
      <c r="W22" s="19"/>
      <c r="X22" s="19"/>
      <c r="Y22" s="19"/>
      <c r="Z22" s="13"/>
      <c r="AA22" s="1"/>
    </row>
    <row r="23" spans="1:27" ht="18.75" customHeight="1">
      <c r="A23" s="1"/>
      <c r="B23" s="8"/>
      <c r="C23" s="18"/>
      <c r="D23" s="267"/>
      <c r="E23" s="267"/>
      <c r="F23" s="267"/>
      <c r="G23" s="267"/>
      <c r="H23" s="267"/>
      <c r="I23" s="267"/>
      <c r="J23" s="267"/>
      <c r="K23" s="267"/>
      <c r="L23" s="267"/>
      <c r="M23" s="267"/>
      <c r="N23" s="267"/>
      <c r="O23" s="18"/>
      <c r="P23" s="11"/>
      <c r="Q23" s="12"/>
      <c r="R23" s="264" t="s">
        <v>7</v>
      </c>
      <c r="S23" s="265"/>
      <c r="T23" s="21"/>
      <c r="U23" s="21"/>
      <c r="V23" s="22"/>
      <c r="W23" s="22"/>
      <c r="X23" s="22"/>
      <c r="Y23" s="22"/>
      <c r="Z23" s="13"/>
      <c r="AA23" s="1"/>
    </row>
    <row r="24" spans="1:27" ht="18.75" customHeight="1">
      <c r="A24" s="1"/>
      <c r="B24" s="8"/>
      <c r="C24" s="18"/>
      <c r="D24" s="18"/>
      <c r="E24" s="18"/>
      <c r="F24" s="18"/>
      <c r="G24" s="18"/>
      <c r="H24" s="18"/>
      <c r="I24" s="18"/>
      <c r="J24" s="18"/>
      <c r="K24" s="18"/>
      <c r="L24" s="18"/>
      <c r="M24" s="18"/>
      <c r="N24" s="18"/>
      <c r="O24" s="18"/>
      <c r="P24" s="11"/>
      <c r="Q24" s="12"/>
      <c r="R24" s="264" t="s">
        <v>8</v>
      </c>
      <c r="S24" s="265"/>
      <c r="T24" s="265"/>
      <c r="U24" s="21"/>
      <c r="V24" s="22"/>
      <c r="W24" s="22"/>
      <c r="X24" s="22"/>
      <c r="Y24" s="22"/>
      <c r="Z24" s="13"/>
      <c r="AA24" s="1"/>
    </row>
    <row r="25" spans="1:27" ht="18.75" customHeight="1">
      <c r="A25" s="1"/>
      <c r="B25" s="8"/>
      <c r="C25" s="18"/>
      <c r="D25" s="18"/>
      <c r="E25" s="18"/>
      <c r="F25" s="18"/>
      <c r="G25" s="18"/>
      <c r="H25" s="18"/>
      <c r="I25" s="18"/>
      <c r="J25" s="18"/>
      <c r="K25" s="18"/>
      <c r="L25" s="18"/>
      <c r="M25" s="18"/>
      <c r="N25" s="18"/>
      <c r="O25" s="18"/>
      <c r="P25" s="11"/>
      <c r="Q25" s="12"/>
      <c r="R25" s="264" t="s">
        <v>9</v>
      </c>
      <c r="S25" s="265"/>
      <c r="T25" s="265"/>
      <c r="U25" s="21"/>
      <c r="V25" s="22"/>
      <c r="W25" s="22"/>
      <c r="X25" s="22"/>
      <c r="Y25" s="22"/>
      <c r="Z25" s="13"/>
      <c r="AA25" s="1"/>
    </row>
    <row r="26" spans="1:27" ht="18.75" customHeight="1">
      <c r="A26" s="1"/>
      <c r="B26" s="8"/>
      <c r="C26" s="18"/>
      <c r="D26" s="18"/>
      <c r="E26" s="18"/>
      <c r="F26" s="18"/>
      <c r="G26" s="266"/>
      <c r="H26" s="267"/>
      <c r="I26" s="267"/>
      <c r="J26" s="267"/>
      <c r="K26" s="267"/>
      <c r="L26" s="18"/>
      <c r="M26" s="18"/>
      <c r="N26" s="18"/>
      <c r="O26" s="18"/>
      <c r="P26" s="11"/>
      <c r="Q26" s="12"/>
      <c r="R26" s="264" t="s">
        <v>10</v>
      </c>
      <c r="S26" s="265"/>
      <c r="T26" s="265"/>
      <c r="U26" s="265"/>
      <c r="V26" s="22"/>
      <c r="W26" s="22"/>
      <c r="X26" s="22"/>
      <c r="Y26" s="22"/>
      <c r="Z26" s="13"/>
      <c r="AA26" s="1"/>
    </row>
    <row r="27" spans="1:27" ht="18.75" customHeight="1">
      <c r="A27" s="1"/>
      <c r="B27" s="8"/>
      <c r="C27" s="18"/>
      <c r="D27" s="18"/>
      <c r="E27" s="18"/>
      <c r="F27" s="18"/>
      <c r="G27" s="267"/>
      <c r="H27" s="267"/>
      <c r="I27" s="267"/>
      <c r="J27" s="267"/>
      <c r="K27" s="267"/>
      <c r="L27" s="18"/>
      <c r="M27" s="18"/>
      <c r="N27" s="18"/>
      <c r="O27" s="18"/>
      <c r="P27" s="11"/>
      <c r="Q27" s="12"/>
      <c r="R27" s="264" t="s">
        <v>11</v>
      </c>
      <c r="S27" s="265"/>
      <c r="T27" s="265"/>
      <c r="U27" s="21"/>
      <c r="V27" s="22"/>
      <c r="W27" s="22"/>
      <c r="X27" s="22"/>
      <c r="Y27" s="22"/>
      <c r="Z27" s="13"/>
      <c r="AA27" s="1"/>
    </row>
    <row r="28" spans="1:27" ht="18.75" customHeight="1">
      <c r="A28" s="1"/>
      <c r="B28" s="8"/>
      <c r="C28" s="18"/>
      <c r="D28" s="18"/>
      <c r="E28" s="18"/>
      <c r="F28" s="18"/>
      <c r="G28" s="267"/>
      <c r="H28" s="267"/>
      <c r="I28" s="267"/>
      <c r="J28" s="267"/>
      <c r="K28" s="267"/>
      <c r="L28" s="18"/>
      <c r="M28" s="18"/>
      <c r="N28" s="18"/>
      <c r="O28" s="18"/>
      <c r="P28" s="11"/>
      <c r="Q28" s="12"/>
      <c r="R28" s="264" t="s">
        <v>12</v>
      </c>
      <c r="S28" s="265"/>
      <c r="T28" s="21"/>
      <c r="U28" s="21"/>
      <c r="V28" s="22"/>
      <c r="W28" s="22"/>
      <c r="X28" s="22"/>
      <c r="Y28" s="22"/>
      <c r="Z28" s="13"/>
      <c r="AA28" s="1"/>
    </row>
    <row r="29" spans="1:27" ht="16.5" customHeight="1">
      <c r="A29" s="1"/>
      <c r="B29" s="8"/>
      <c r="C29" s="18"/>
      <c r="D29" s="18"/>
      <c r="E29" s="18"/>
      <c r="F29" s="18"/>
      <c r="G29" s="18"/>
      <c r="H29" s="18"/>
      <c r="I29" s="18"/>
      <c r="J29" s="18"/>
      <c r="K29" s="18"/>
      <c r="L29" s="18"/>
      <c r="M29" s="18"/>
      <c r="N29" s="18"/>
      <c r="O29" s="18"/>
      <c r="P29" s="11"/>
      <c r="Q29" s="12"/>
      <c r="R29" s="23"/>
      <c r="S29" s="22"/>
      <c r="T29" s="22"/>
      <c r="U29" s="22"/>
      <c r="V29" s="22"/>
      <c r="W29" s="22"/>
      <c r="X29" s="22"/>
      <c r="Y29" s="22"/>
      <c r="Z29" s="13"/>
      <c r="AA29" s="1"/>
    </row>
    <row r="30" spans="1:27" ht="17.25" customHeight="1">
      <c r="A30" s="1"/>
      <c r="B30" s="8"/>
      <c r="C30" s="18"/>
      <c r="D30" s="18"/>
      <c r="E30" s="18"/>
      <c r="F30" s="18"/>
      <c r="G30" s="18"/>
      <c r="H30" s="18"/>
      <c r="I30" s="18"/>
      <c r="J30" s="18"/>
      <c r="K30" s="18"/>
      <c r="L30" s="18"/>
      <c r="M30" s="18"/>
      <c r="N30" s="18"/>
      <c r="O30" s="18"/>
      <c r="P30" s="11"/>
      <c r="Q30" s="12"/>
      <c r="R30" s="23" t="s">
        <v>13</v>
      </c>
      <c r="S30" s="22"/>
      <c r="T30" s="22"/>
      <c r="U30" s="22"/>
      <c r="V30" s="22"/>
      <c r="W30" s="22"/>
      <c r="X30" s="22"/>
      <c r="Y30" s="22"/>
      <c r="Z30" s="13"/>
      <c r="AA30" s="1"/>
    </row>
    <row r="31" spans="1:27" ht="15.75" customHeight="1">
      <c r="A31" s="1"/>
      <c r="B31" s="24"/>
      <c r="C31" s="25"/>
      <c r="D31" s="25"/>
      <c r="E31" s="25"/>
      <c r="F31" s="25"/>
      <c r="G31" s="25"/>
      <c r="H31" s="25"/>
      <c r="I31" s="25"/>
      <c r="J31" s="25"/>
      <c r="K31" s="25"/>
      <c r="L31" s="25"/>
      <c r="M31" s="25"/>
      <c r="N31" s="25"/>
      <c r="O31" s="25"/>
      <c r="P31" s="26"/>
      <c r="Q31" s="27"/>
      <c r="R31" s="28"/>
      <c r="S31" s="28"/>
      <c r="T31" s="28"/>
      <c r="U31" s="28"/>
      <c r="V31" s="28"/>
      <c r="W31" s="28"/>
      <c r="X31" s="28"/>
      <c r="Y31" s="28"/>
      <c r="Z31" s="29"/>
      <c r="AA31" s="1"/>
    </row>
    <row r="32" spans="1:27" ht="15.75" customHeight="1">
      <c r="A32" s="1"/>
      <c r="B32" s="1"/>
      <c r="C32" s="1"/>
      <c r="D32" s="1"/>
      <c r="E32" s="1"/>
      <c r="F32" s="1"/>
      <c r="G32" s="1"/>
      <c r="H32" s="1"/>
      <c r="I32" s="1"/>
      <c r="J32" s="1"/>
      <c r="K32" s="1"/>
      <c r="L32" s="1"/>
      <c r="M32" s="1"/>
      <c r="N32" s="1"/>
      <c r="O32" s="1"/>
      <c r="P32" s="1"/>
      <c r="Q32" s="1"/>
      <c r="S32" s="1"/>
      <c r="T32" s="1"/>
      <c r="U32" s="1"/>
      <c r="V32" s="1"/>
      <c r="W32" s="1"/>
      <c r="X32" s="1"/>
      <c r="Y32" s="1"/>
      <c r="Z32" s="1"/>
      <c r="AA32" s="1"/>
    </row>
    <row r="33" spans="1:27" ht="15.75" customHeight="1">
      <c r="A33" s="1"/>
      <c r="B33" s="1"/>
      <c r="C33" s="1"/>
      <c r="D33" s="1"/>
      <c r="E33" s="1"/>
      <c r="F33" s="1"/>
      <c r="G33" s="1"/>
      <c r="H33" s="1"/>
      <c r="I33" s="1"/>
      <c r="J33" s="1"/>
      <c r="K33" s="1"/>
      <c r="L33" s="1"/>
      <c r="M33" s="1"/>
      <c r="N33" s="1"/>
      <c r="O33" s="1"/>
      <c r="P33" s="1"/>
      <c r="Q33" s="1"/>
      <c r="S33" s="1"/>
      <c r="T33" s="1"/>
      <c r="U33" s="1"/>
      <c r="V33" s="1"/>
      <c r="W33" s="1"/>
      <c r="X33" s="1"/>
      <c r="Y33" s="1"/>
      <c r="Z33" s="1"/>
      <c r="AA33" s="1"/>
    </row>
    <row r="34" spans="1:27" ht="15.75" customHeight="1">
      <c r="A34" s="1"/>
      <c r="B34" s="1"/>
      <c r="C34" s="1"/>
      <c r="D34" s="1"/>
      <c r="E34" s="1"/>
      <c r="F34" s="1"/>
      <c r="G34" s="1"/>
      <c r="H34" s="1"/>
      <c r="I34" s="1"/>
      <c r="J34" s="1"/>
      <c r="K34" s="1"/>
      <c r="L34" s="1"/>
      <c r="M34" s="1"/>
      <c r="N34" s="1"/>
      <c r="O34" s="1"/>
      <c r="P34" s="1"/>
      <c r="Q34" s="1"/>
      <c r="S34" s="1"/>
      <c r="T34" s="1"/>
      <c r="U34" s="1"/>
      <c r="V34" s="1"/>
      <c r="W34" s="1"/>
      <c r="X34" s="1"/>
      <c r="Y34" s="1"/>
      <c r="Z34" s="1"/>
      <c r="AA34" s="1"/>
    </row>
    <row r="35" spans="1:27" ht="15.75" customHeight="1">
      <c r="A35" s="1"/>
      <c r="B35" s="1"/>
      <c r="C35" s="1"/>
      <c r="D35" s="1"/>
      <c r="E35" s="1"/>
      <c r="F35" s="1"/>
      <c r="G35" s="1"/>
      <c r="H35" s="1"/>
      <c r="I35" s="1"/>
      <c r="J35" s="1"/>
      <c r="K35" s="1"/>
      <c r="L35" s="1"/>
      <c r="M35" s="1"/>
      <c r="N35" s="1"/>
      <c r="O35" s="1"/>
      <c r="P35" s="1"/>
      <c r="Q35" s="1"/>
      <c r="S35" s="1"/>
      <c r="T35" s="1"/>
      <c r="U35" s="1"/>
      <c r="V35" s="1"/>
      <c r="W35" s="1"/>
      <c r="X35" s="1"/>
      <c r="Y35" s="1"/>
      <c r="Z35" s="1"/>
      <c r="AA35" s="1"/>
    </row>
    <row r="36" spans="1:27" ht="15.75" customHeight="1">
      <c r="A36" s="1"/>
      <c r="B36" s="1"/>
      <c r="C36" s="1"/>
      <c r="D36" s="1"/>
      <c r="E36" s="1"/>
      <c r="F36" s="1"/>
      <c r="G36" s="1"/>
      <c r="H36" s="1"/>
      <c r="I36" s="1"/>
      <c r="J36" s="1"/>
      <c r="K36" s="1"/>
      <c r="L36" s="1"/>
      <c r="M36" s="1"/>
      <c r="N36" s="1"/>
      <c r="O36" s="1"/>
      <c r="P36" s="1"/>
      <c r="Q36" s="1"/>
      <c r="S36" s="1"/>
      <c r="T36" s="1"/>
      <c r="U36" s="1"/>
      <c r="V36" s="1"/>
      <c r="W36" s="1"/>
      <c r="X36" s="1"/>
      <c r="Y36" s="1"/>
      <c r="Z36" s="1"/>
      <c r="AA36" s="1"/>
    </row>
    <row r="37" spans="1:27" ht="15.75" customHeight="1">
      <c r="A37" s="1"/>
      <c r="B37" s="1"/>
      <c r="C37" s="1"/>
      <c r="D37" s="1"/>
      <c r="E37" s="1"/>
      <c r="F37" s="1"/>
      <c r="G37" s="1"/>
      <c r="H37" s="1"/>
      <c r="I37" s="1"/>
      <c r="J37" s="1"/>
      <c r="K37" s="1"/>
      <c r="L37" s="1"/>
      <c r="M37" s="1"/>
      <c r="N37" s="1"/>
      <c r="O37" s="1"/>
      <c r="P37" s="1"/>
      <c r="Q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S39" s="1"/>
      <c r="T39" s="1"/>
      <c r="U39" s="1"/>
      <c r="V39" s="1"/>
      <c r="W39" s="1"/>
      <c r="X39" s="1"/>
      <c r="Y39" s="1"/>
      <c r="Z39" s="1"/>
      <c r="AA39" s="1"/>
    </row>
    <row r="40" spans="1:27" ht="15.75" customHeight="1"/>
    <row r="41" spans="1:27" ht="15.75" customHeight="1"/>
    <row r="42" spans="1:27" ht="15.75" customHeight="1"/>
    <row r="43" spans="1:27" ht="15.75" customHeight="1"/>
    <row r="44" spans="1:27" ht="15.75" customHeight="1"/>
    <row r="45" spans="1:27" ht="15.75" customHeight="1"/>
    <row r="46" spans="1:27" ht="15.75" customHeight="1"/>
    <row r="47" spans="1:27" ht="15.75" customHeight="1"/>
    <row r="48" spans="1:2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G3:K6"/>
    <mergeCell ref="R3:Y4"/>
    <mergeCell ref="R6:Y20"/>
    <mergeCell ref="D11:M13"/>
    <mergeCell ref="D14:L16"/>
    <mergeCell ref="D20:N23"/>
    <mergeCell ref="R21:U21"/>
    <mergeCell ref="R22:T22"/>
    <mergeCell ref="R23:S23"/>
    <mergeCell ref="R24:T24"/>
    <mergeCell ref="R25:T25"/>
    <mergeCell ref="G26:K28"/>
    <mergeCell ref="R26:U26"/>
    <mergeCell ref="R27:T27"/>
    <mergeCell ref="R28:S28"/>
  </mergeCells>
  <hyperlinks>
    <hyperlink ref="R21" location="'Master Marketing Budget'!A1" display="1. MASTER Marketing Budget" xr:uid="{00000000-0004-0000-0000-000000000000}"/>
    <hyperlink ref="R22" location="'Product Marketing Budget'!A1" display="2. Product Marketing Budget" xr:uid="{00000000-0004-0000-0000-000001000000}"/>
    <hyperlink ref="R23" location="'Content Budget'!A1" display="3. Content Budget" xr:uid="{00000000-0004-0000-0000-000002000000}"/>
    <hyperlink ref="R24" location="'Paid Advertising Budget'!A1" display="4. Paid Advertising Budget" xr:uid="{00000000-0004-0000-0000-000003000000}"/>
    <hyperlink ref="R25" location="'Public Relations Budget'!A1" display="5. Public Relations Budget" xr:uid="{00000000-0004-0000-0000-000004000000}"/>
    <hyperlink ref="R26" location="'Branding &amp; Creative Budget'!A1" display="6. Branding &amp; Creative Budget" xr:uid="{00000000-0004-0000-0000-000005000000}"/>
    <hyperlink ref="R27" location="'Website Redesign Budget'!A1" display="7. Website Redesign Budget" xr:uid="{00000000-0004-0000-0000-000006000000}"/>
    <hyperlink ref="R28" location="'Event Budget'!A1" display="8. Event Budget" xr:uid="{00000000-0004-0000-0000-000007000000}"/>
  </hyperlink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1000"/>
  <sheetViews>
    <sheetView showGridLines="0" workbookViewId="0"/>
  </sheetViews>
  <sheetFormatPr defaultColWidth="12.625" defaultRowHeight="15" customHeight="1"/>
  <cols>
    <col min="1" max="2" width="3.125" customWidth="1"/>
    <col min="3" max="3" width="26.125" customWidth="1"/>
    <col min="4" max="42" width="12.875" customWidth="1"/>
    <col min="43" max="43" width="3.125" customWidth="1"/>
  </cols>
  <sheetData>
    <row r="1" spans="1:43">
      <c r="A1" s="30"/>
      <c r="B1" s="1"/>
      <c r="C1" s="3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c r="A2" s="1"/>
      <c r="B2" s="32"/>
      <c r="C2" s="33"/>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5"/>
    </row>
    <row r="3" spans="1:43" ht="46.5" customHeight="1">
      <c r="A3" s="1"/>
      <c r="B3" s="36"/>
      <c r="C3" s="37"/>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9"/>
    </row>
    <row r="4" spans="1:43" ht="31.5" customHeight="1">
      <c r="A4" s="1"/>
      <c r="B4" s="36"/>
      <c r="C4" s="276" t="s">
        <v>14</v>
      </c>
      <c r="D4" s="267"/>
      <c r="E4" s="267"/>
      <c r="F4" s="267"/>
      <c r="G4" s="267"/>
      <c r="H4" s="267"/>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39"/>
    </row>
    <row r="5" spans="1:43" ht="31.5" customHeight="1">
      <c r="A5" s="1"/>
      <c r="B5" s="36"/>
      <c r="C5" s="40"/>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39"/>
    </row>
    <row r="6" spans="1:43">
      <c r="A6" s="1"/>
      <c r="B6" s="36"/>
      <c r="C6" s="41"/>
      <c r="D6" s="277" t="s">
        <v>15</v>
      </c>
      <c r="E6" s="278"/>
      <c r="F6" s="279" t="s">
        <v>16</v>
      </c>
      <c r="G6" s="278"/>
      <c r="H6" s="279" t="s">
        <v>17</v>
      </c>
      <c r="I6" s="280"/>
      <c r="J6" s="281" t="s">
        <v>18</v>
      </c>
      <c r="K6" s="282"/>
      <c r="L6" s="280"/>
      <c r="M6" s="277" t="s">
        <v>19</v>
      </c>
      <c r="N6" s="278"/>
      <c r="O6" s="279" t="s">
        <v>20</v>
      </c>
      <c r="P6" s="278"/>
      <c r="Q6" s="279" t="s">
        <v>21</v>
      </c>
      <c r="R6" s="280"/>
      <c r="S6" s="281" t="s">
        <v>22</v>
      </c>
      <c r="T6" s="282"/>
      <c r="U6" s="280"/>
      <c r="V6" s="277" t="s">
        <v>23</v>
      </c>
      <c r="W6" s="278"/>
      <c r="X6" s="279" t="s">
        <v>24</v>
      </c>
      <c r="Y6" s="278"/>
      <c r="Z6" s="279" t="s">
        <v>25</v>
      </c>
      <c r="AA6" s="280"/>
      <c r="AB6" s="281" t="s">
        <v>26</v>
      </c>
      <c r="AC6" s="282"/>
      <c r="AD6" s="280"/>
      <c r="AE6" s="277" t="s">
        <v>27</v>
      </c>
      <c r="AF6" s="278"/>
      <c r="AG6" s="279" t="s">
        <v>28</v>
      </c>
      <c r="AH6" s="278"/>
      <c r="AI6" s="279" t="s">
        <v>29</v>
      </c>
      <c r="AJ6" s="280"/>
      <c r="AK6" s="281" t="s">
        <v>30</v>
      </c>
      <c r="AL6" s="282"/>
      <c r="AM6" s="280"/>
      <c r="AN6" s="281" t="s">
        <v>31</v>
      </c>
      <c r="AO6" s="282"/>
      <c r="AP6" s="282"/>
      <c r="AQ6" s="39"/>
    </row>
    <row r="7" spans="1:43" ht="30" customHeight="1">
      <c r="A7" s="42"/>
      <c r="B7" s="43"/>
      <c r="C7" s="44"/>
      <c r="D7" s="45" t="s">
        <v>32</v>
      </c>
      <c r="E7" s="46" t="s">
        <v>33</v>
      </c>
      <c r="F7" s="47" t="s">
        <v>32</v>
      </c>
      <c r="G7" s="46" t="s">
        <v>33</v>
      </c>
      <c r="H7" s="47" t="s">
        <v>32</v>
      </c>
      <c r="I7" s="48" t="s">
        <v>33</v>
      </c>
      <c r="J7" s="49" t="s">
        <v>32</v>
      </c>
      <c r="K7" s="50" t="s">
        <v>33</v>
      </c>
      <c r="L7" s="51" t="s">
        <v>34</v>
      </c>
      <c r="M7" s="45" t="s">
        <v>32</v>
      </c>
      <c r="N7" s="46" t="s">
        <v>33</v>
      </c>
      <c r="O7" s="47" t="s">
        <v>32</v>
      </c>
      <c r="P7" s="46" t="s">
        <v>33</v>
      </c>
      <c r="Q7" s="47" t="s">
        <v>32</v>
      </c>
      <c r="R7" s="48" t="s">
        <v>33</v>
      </c>
      <c r="S7" s="49" t="s">
        <v>32</v>
      </c>
      <c r="T7" s="50" t="s">
        <v>33</v>
      </c>
      <c r="U7" s="51" t="s">
        <v>34</v>
      </c>
      <c r="V7" s="45" t="s">
        <v>32</v>
      </c>
      <c r="W7" s="46" t="s">
        <v>33</v>
      </c>
      <c r="X7" s="47" t="s">
        <v>32</v>
      </c>
      <c r="Y7" s="46" t="s">
        <v>33</v>
      </c>
      <c r="Z7" s="47" t="s">
        <v>32</v>
      </c>
      <c r="AA7" s="48" t="s">
        <v>33</v>
      </c>
      <c r="AB7" s="49" t="s">
        <v>32</v>
      </c>
      <c r="AC7" s="50" t="s">
        <v>33</v>
      </c>
      <c r="AD7" s="51" t="s">
        <v>34</v>
      </c>
      <c r="AE7" s="45" t="s">
        <v>32</v>
      </c>
      <c r="AF7" s="46" t="s">
        <v>33</v>
      </c>
      <c r="AG7" s="47" t="s">
        <v>32</v>
      </c>
      <c r="AH7" s="46" t="s">
        <v>33</v>
      </c>
      <c r="AI7" s="47" t="s">
        <v>32</v>
      </c>
      <c r="AJ7" s="48" t="s">
        <v>33</v>
      </c>
      <c r="AK7" s="49" t="s">
        <v>32</v>
      </c>
      <c r="AL7" s="50" t="s">
        <v>33</v>
      </c>
      <c r="AM7" s="51" t="s">
        <v>34</v>
      </c>
      <c r="AN7" s="49" t="s">
        <v>32</v>
      </c>
      <c r="AO7" s="50" t="s">
        <v>33</v>
      </c>
      <c r="AP7" s="52" t="s">
        <v>34</v>
      </c>
      <c r="AQ7" s="53"/>
    </row>
    <row r="8" spans="1:43">
      <c r="A8" s="1"/>
      <c r="B8" s="36"/>
      <c r="C8" s="54" t="s">
        <v>35</v>
      </c>
      <c r="D8" s="55">
        <v>100</v>
      </c>
      <c r="E8" s="56">
        <v>150</v>
      </c>
      <c r="F8" s="57">
        <v>100</v>
      </c>
      <c r="G8" s="56">
        <v>150</v>
      </c>
      <c r="H8" s="57">
        <v>100</v>
      </c>
      <c r="I8" s="58">
        <v>150</v>
      </c>
      <c r="J8" s="55">
        <f t="shared" ref="J8:K8" si="0">SUM(D8+F8+H8)</f>
        <v>300</v>
      </c>
      <c r="K8" s="59">
        <f t="shared" si="0"/>
        <v>450</v>
      </c>
      <c r="L8" s="58">
        <f t="shared" ref="L8:L14" si="1">J8-K8</f>
        <v>-150</v>
      </c>
      <c r="M8" s="55"/>
      <c r="N8" s="56"/>
      <c r="O8" s="57"/>
      <c r="P8" s="56"/>
      <c r="Q8" s="57"/>
      <c r="R8" s="58"/>
      <c r="S8" s="55">
        <f t="shared" ref="S8:T8" si="2">SUM(M8+O8+Q8)</f>
        <v>0</v>
      </c>
      <c r="T8" s="59">
        <f t="shared" si="2"/>
        <v>0</v>
      </c>
      <c r="U8" s="58">
        <f t="shared" ref="U8:U14" si="3">S8-T8</f>
        <v>0</v>
      </c>
      <c r="V8" s="55"/>
      <c r="W8" s="56"/>
      <c r="X8" s="57"/>
      <c r="Y8" s="56"/>
      <c r="Z8" s="57"/>
      <c r="AA8" s="58"/>
      <c r="AB8" s="55">
        <f t="shared" ref="AB8:AC8" si="4">SUM(V8+X8+Z8)</f>
        <v>0</v>
      </c>
      <c r="AC8" s="59">
        <f t="shared" si="4"/>
        <v>0</v>
      </c>
      <c r="AD8" s="58">
        <f t="shared" ref="AD8:AD14" si="5">AB8-AC8</f>
        <v>0</v>
      </c>
      <c r="AE8" s="55"/>
      <c r="AF8" s="56"/>
      <c r="AG8" s="57"/>
      <c r="AH8" s="56"/>
      <c r="AI8" s="57"/>
      <c r="AJ8" s="58"/>
      <c r="AK8" s="55">
        <f t="shared" ref="AK8:AL8" si="6">SUM(AE8+AG8+AI8)</f>
        <v>0</v>
      </c>
      <c r="AL8" s="59">
        <f t="shared" si="6"/>
        <v>0</v>
      </c>
      <c r="AM8" s="58">
        <f t="shared" ref="AM8:AM14" si="7">AK8-AL8</f>
        <v>0</v>
      </c>
      <c r="AN8" s="55">
        <f t="shared" ref="AN8:AO8" si="8">SUM(J8+S8+AB8+AK8)</f>
        <v>300</v>
      </c>
      <c r="AO8" s="59">
        <f t="shared" si="8"/>
        <v>450</v>
      </c>
      <c r="AP8" s="59">
        <f t="shared" ref="AP8:AP14" si="9">AN8-AO8</f>
        <v>-150</v>
      </c>
      <c r="AQ8" s="39"/>
    </row>
    <row r="9" spans="1:43">
      <c r="A9" s="1"/>
      <c r="B9" s="36"/>
      <c r="C9" s="54" t="s">
        <v>36</v>
      </c>
      <c r="D9" s="55">
        <v>100</v>
      </c>
      <c r="E9" s="56">
        <v>150</v>
      </c>
      <c r="F9" s="57">
        <v>100</v>
      </c>
      <c r="G9" s="56">
        <v>150</v>
      </c>
      <c r="H9" s="57">
        <v>100</v>
      </c>
      <c r="I9" s="58">
        <v>150</v>
      </c>
      <c r="J9" s="55">
        <f t="shared" ref="J9:K9" si="10">SUM(D9+F9+H9)</f>
        <v>300</v>
      </c>
      <c r="K9" s="59">
        <f t="shared" si="10"/>
        <v>450</v>
      </c>
      <c r="L9" s="58">
        <f t="shared" si="1"/>
        <v>-150</v>
      </c>
      <c r="M9" s="55"/>
      <c r="N9" s="56"/>
      <c r="O9" s="57"/>
      <c r="P9" s="56"/>
      <c r="Q9" s="57"/>
      <c r="R9" s="58"/>
      <c r="S9" s="55">
        <f t="shared" ref="S9:T9" si="11">SUM(M9+O9+Q9)</f>
        <v>0</v>
      </c>
      <c r="T9" s="59">
        <f t="shared" si="11"/>
        <v>0</v>
      </c>
      <c r="U9" s="58">
        <f t="shared" si="3"/>
        <v>0</v>
      </c>
      <c r="V9" s="55"/>
      <c r="W9" s="56"/>
      <c r="X9" s="57"/>
      <c r="Y9" s="56"/>
      <c r="Z9" s="57"/>
      <c r="AA9" s="58"/>
      <c r="AB9" s="55">
        <f t="shared" ref="AB9:AC9" si="12">SUM(V9+X9+Z9)</f>
        <v>0</v>
      </c>
      <c r="AC9" s="59">
        <f t="shared" si="12"/>
        <v>0</v>
      </c>
      <c r="AD9" s="58">
        <f t="shared" si="5"/>
        <v>0</v>
      </c>
      <c r="AE9" s="55"/>
      <c r="AF9" s="56"/>
      <c r="AG9" s="57"/>
      <c r="AH9" s="56"/>
      <c r="AI9" s="57"/>
      <c r="AJ9" s="58"/>
      <c r="AK9" s="55">
        <f t="shared" ref="AK9:AL9" si="13">SUM(AE9+AG9+AI9)</f>
        <v>0</v>
      </c>
      <c r="AL9" s="59">
        <f t="shared" si="13"/>
        <v>0</v>
      </c>
      <c r="AM9" s="58">
        <f t="shared" si="7"/>
        <v>0</v>
      </c>
      <c r="AN9" s="55">
        <f t="shared" ref="AN9:AO9" si="14">SUM(J9+S9+AB9+AK9)</f>
        <v>300</v>
      </c>
      <c r="AO9" s="59">
        <f t="shared" si="14"/>
        <v>450</v>
      </c>
      <c r="AP9" s="59">
        <f t="shared" si="9"/>
        <v>-150</v>
      </c>
      <c r="AQ9" s="39"/>
    </row>
    <row r="10" spans="1:43">
      <c r="A10" s="1"/>
      <c r="B10" s="36"/>
      <c r="C10" s="54" t="s">
        <v>37</v>
      </c>
      <c r="D10" s="55">
        <v>100</v>
      </c>
      <c r="E10" s="56">
        <v>150</v>
      </c>
      <c r="F10" s="57">
        <v>100</v>
      </c>
      <c r="G10" s="56">
        <v>150</v>
      </c>
      <c r="H10" s="57">
        <v>100</v>
      </c>
      <c r="I10" s="58">
        <v>150</v>
      </c>
      <c r="J10" s="55">
        <f t="shared" ref="J10:K10" si="15">SUM(D10+F10+H10)</f>
        <v>300</v>
      </c>
      <c r="K10" s="59">
        <f t="shared" si="15"/>
        <v>450</v>
      </c>
      <c r="L10" s="58">
        <f t="shared" si="1"/>
        <v>-150</v>
      </c>
      <c r="M10" s="55"/>
      <c r="N10" s="56"/>
      <c r="O10" s="57"/>
      <c r="P10" s="56"/>
      <c r="Q10" s="57"/>
      <c r="R10" s="58"/>
      <c r="S10" s="55">
        <f t="shared" ref="S10:T10" si="16">SUM(M10+O10+Q10)</f>
        <v>0</v>
      </c>
      <c r="T10" s="59">
        <f t="shared" si="16"/>
        <v>0</v>
      </c>
      <c r="U10" s="58">
        <f t="shared" si="3"/>
        <v>0</v>
      </c>
      <c r="V10" s="55"/>
      <c r="W10" s="56"/>
      <c r="X10" s="57"/>
      <c r="Y10" s="56"/>
      <c r="Z10" s="57"/>
      <c r="AA10" s="58"/>
      <c r="AB10" s="55">
        <f t="shared" ref="AB10:AC10" si="17">SUM(V10+X10+Z10)</f>
        <v>0</v>
      </c>
      <c r="AC10" s="59">
        <f t="shared" si="17"/>
        <v>0</v>
      </c>
      <c r="AD10" s="58">
        <f t="shared" si="5"/>
        <v>0</v>
      </c>
      <c r="AE10" s="55"/>
      <c r="AF10" s="56"/>
      <c r="AG10" s="57"/>
      <c r="AH10" s="56"/>
      <c r="AI10" s="57"/>
      <c r="AJ10" s="58"/>
      <c r="AK10" s="55">
        <f t="shared" ref="AK10:AL10" si="18">SUM(AE10+AG10+AI10)</f>
        <v>0</v>
      </c>
      <c r="AL10" s="59">
        <f t="shared" si="18"/>
        <v>0</v>
      </c>
      <c r="AM10" s="58">
        <f t="shared" si="7"/>
        <v>0</v>
      </c>
      <c r="AN10" s="55">
        <f t="shared" ref="AN10:AO10" si="19">SUM(J10+S10+AB10+AK10)</f>
        <v>300</v>
      </c>
      <c r="AO10" s="59">
        <f t="shared" si="19"/>
        <v>450</v>
      </c>
      <c r="AP10" s="59">
        <f t="shared" si="9"/>
        <v>-150</v>
      </c>
      <c r="AQ10" s="39"/>
    </row>
    <row r="11" spans="1:43">
      <c r="A11" s="1"/>
      <c r="B11" s="36"/>
      <c r="C11" s="54" t="s">
        <v>38</v>
      </c>
      <c r="D11" s="55">
        <v>100</v>
      </c>
      <c r="E11" s="56">
        <v>150</v>
      </c>
      <c r="F11" s="57">
        <v>100</v>
      </c>
      <c r="G11" s="56">
        <v>150</v>
      </c>
      <c r="H11" s="57">
        <v>100</v>
      </c>
      <c r="I11" s="58">
        <v>150</v>
      </c>
      <c r="J11" s="55">
        <f t="shared" ref="J11:K11" si="20">SUM(D11+F11+H11)</f>
        <v>300</v>
      </c>
      <c r="K11" s="59">
        <f t="shared" si="20"/>
        <v>450</v>
      </c>
      <c r="L11" s="58">
        <f t="shared" si="1"/>
        <v>-150</v>
      </c>
      <c r="M11" s="55"/>
      <c r="N11" s="56"/>
      <c r="O11" s="57"/>
      <c r="P11" s="56"/>
      <c r="Q11" s="57"/>
      <c r="R11" s="58"/>
      <c r="S11" s="55">
        <f t="shared" ref="S11:T11" si="21">SUM(M11+O11+Q11)</f>
        <v>0</v>
      </c>
      <c r="T11" s="59">
        <f t="shared" si="21"/>
        <v>0</v>
      </c>
      <c r="U11" s="58">
        <f t="shared" si="3"/>
        <v>0</v>
      </c>
      <c r="V11" s="55"/>
      <c r="W11" s="56"/>
      <c r="X11" s="57"/>
      <c r="Y11" s="56"/>
      <c r="Z11" s="57"/>
      <c r="AA11" s="58"/>
      <c r="AB11" s="55">
        <f t="shared" ref="AB11:AC11" si="22">SUM(V11+X11+Z11)</f>
        <v>0</v>
      </c>
      <c r="AC11" s="59">
        <f t="shared" si="22"/>
        <v>0</v>
      </c>
      <c r="AD11" s="58">
        <f t="shared" si="5"/>
        <v>0</v>
      </c>
      <c r="AE11" s="55"/>
      <c r="AF11" s="56"/>
      <c r="AG11" s="57"/>
      <c r="AH11" s="56"/>
      <c r="AI11" s="57"/>
      <c r="AJ11" s="58"/>
      <c r="AK11" s="55">
        <f t="shared" ref="AK11:AL11" si="23">SUM(AE11+AG11+AI11)</f>
        <v>0</v>
      </c>
      <c r="AL11" s="59">
        <f t="shared" si="23"/>
        <v>0</v>
      </c>
      <c r="AM11" s="58">
        <f t="shared" si="7"/>
        <v>0</v>
      </c>
      <c r="AN11" s="55">
        <f t="shared" ref="AN11:AO11" si="24">SUM(J11+S11+AB11+AK11)</f>
        <v>300</v>
      </c>
      <c r="AO11" s="59">
        <f t="shared" si="24"/>
        <v>450</v>
      </c>
      <c r="AP11" s="59">
        <f t="shared" si="9"/>
        <v>-150</v>
      </c>
      <c r="AQ11" s="39"/>
    </row>
    <row r="12" spans="1:43">
      <c r="A12" s="1"/>
      <c r="B12" s="36"/>
      <c r="C12" s="54" t="s">
        <v>39</v>
      </c>
      <c r="D12" s="55">
        <v>100</v>
      </c>
      <c r="E12" s="56">
        <v>150</v>
      </c>
      <c r="F12" s="57">
        <v>100</v>
      </c>
      <c r="G12" s="56">
        <v>150</v>
      </c>
      <c r="H12" s="57">
        <v>100</v>
      </c>
      <c r="I12" s="58">
        <v>150</v>
      </c>
      <c r="J12" s="55">
        <f t="shared" ref="J12:K12" si="25">SUM(D12+F12+H12)</f>
        <v>300</v>
      </c>
      <c r="K12" s="59">
        <f t="shared" si="25"/>
        <v>450</v>
      </c>
      <c r="L12" s="58">
        <f t="shared" si="1"/>
        <v>-150</v>
      </c>
      <c r="M12" s="55"/>
      <c r="N12" s="56"/>
      <c r="O12" s="57"/>
      <c r="P12" s="56"/>
      <c r="Q12" s="57"/>
      <c r="R12" s="58"/>
      <c r="S12" s="55">
        <f t="shared" ref="S12:T12" si="26">SUM(M12+O12+Q12)</f>
        <v>0</v>
      </c>
      <c r="T12" s="59">
        <f t="shared" si="26"/>
        <v>0</v>
      </c>
      <c r="U12" s="58">
        <f t="shared" si="3"/>
        <v>0</v>
      </c>
      <c r="V12" s="55"/>
      <c r="W12" s="56"/>
      <c r="X12" s="57"/>
      <c r="Y12" s="56"/>
      <c r="Z12" s="57"/>
      <c r="AA12" s="58"/>
      <c r="AB12" s="55">
        <f t="shared" ref="AB12:AC12" si="27">SUM(V12+X12+Z12)</f>
        <v>0</v>
      </c>
      <c r="AC12" s="59">
        <f t="shared" si="27"/>
        <v>0</v>
      </c>
      <c r="AD12" s="58">
        <f t="shared" si="5"/>
        <v>0</v>
      </c>
      <c r="AE12" s="55"/>
      <c r="AF12" s="56"/>
      <c r="AG12" s="57"/>
      <c r="AH12" s="56"/>
      <c r="AI12" s="57"/>
      <c r="AJ12" s="58"/>
      <c r="AK12" s="55">
        <f t="shared" ref="AK12:AL12" si="28">SUM(AE12+AG12+AI12)</f>
        <v>0</v>
      </c>
      <c r="AL12" s="59">
        <f t="shared" si="28"/>
        <v>0</v>
      </c>
      <c r="AM12" s="58">
        <f t="shared" si="7"/>
        <v>0</v>
      </c>
      <c r="AN12" s="55">
        <f t="shared" ref="AN12:AO12" si="29">SUM(J12+S12+AB12+AK12)</f>
        <v>300</v>
      </c>
      <c r="AO12" s="59">
        <f t="shared" si="29"/>
        <v>450</v>
      </c>
      <c r="AP12" s="59">
        <f t="shared" si="9"/>
        <v>-150</v>
      </c>
      <c r="AQ12" s="39"/>
    </row>
    <row r="13" spans="1:43">
      <c r="A13" s="1"/>
      <c r="B13" s="36"/>
      <c r="C13" s="54" t="s">
        <v>40</v>
      </c>
      <c r="D13" s="55">
        <v>100</v>
      </c>
      <c r="E13" s="56">
        <v>150</v>
      </c>
      <c r="F13" s="57">
        <v>100</v>
      </c>
      <c r="G13" s="56">
        <v>150</v>
      </c>
      <c r="H13" s="57">
        <v>100</v>
      </c>
      <c r="I13" s="58">
        <v>150</v>
      </c>
      <c r="J13" s="55">
        <f t="shared" ref="J13:K13" si="30">SUM(D13+F13+H13)</f>
        <v>300</v>
      </c>
      <c r="K13" s="59">
        <f t="shared" si="30"/>
        <v>450</v>
      </c>
      <c r="L13" s="58">
        <f t="shared" si="1"/>
        <v>-150</v>
      </c>
      <c r="M13" s="55"/>
      <c r="N13" s="56"/>
      <c r="O13" s="57"/>
      <c r="P13" s="56"/>
      <c r="Q13" s="57"/>
      <c r="R13" s="58"/>
      <c r="S13" s="55">
        <f t="shared" ref="S13:T13" si="31">SUM(M13+O13+Q13)</f>
        <v>0</v>
      </c>
      <c r="T13" s="59">
        <f t="shared" si="31"/>
        <v>0</v>
      </c>
      <c r="U13" s="58">
        <f t="shared" si="3"/>
        <v>0</v>
      </c>
      <c r="V13" s="55"/>
      <c r="W13" s="56"/>
      <c r="X13" s="57"/>
      <c r="Y13" s="56"/>
      <c r="Z13" s="57"/>
      <c r="AA13" s="58"/>
      <c r="AB13" s="55">
        <f t="shared" ref="AB13:AC13" si="32">SUM(V13+X13+Z13)</f>
        <v>0</v>
      </c>
      <c r="AC13" s="59">
        <f t="shared" si="32"/>
        <v>0</v>
      </c>
      <c r="AD13" s="58">
        <f t="shared" si="5"/>
        <v>0</v>
      </c>
      <c r="AE13" s="55"/>
      <c r="AF13" s="56"/>
      <c r="AG13" s="57"/>
      <c r="AH13" s="56"/>
      <c r="AI13" s="57"/>
      <c r="AJ13" s="58"/>
      <c r="AK13" s="55">
        <f t="shared" ref="AK13:AL13" si="33">SUM(AE13+AG13+AI13)</f>
        <v>0</v>
      </c>
      <c r="AL13" s="59">
        <f t="shared" si="33"/>
        <v>0</v>
      </c>
      <c r="AM13" s="58">
        <f t="shared" si="7"/>
        <v>0</v>
      </c>
      <c r="AN13" s="55">
        <f t="shared" ref="AN13:AO13" si="34">SUM(J13+S13+AB13+AK13)</f>
        <v>300</v>
      </c>
      <c r="AO13" s="59">
        <f t="shared" si="34"/>
        <v>450</v>
      </c>
      <c r="AP13" s="59">
        <f t="shared" si="9"/>
        <v>-150</v>
      </c>
      <c r="AQ13" s="39"/>
    </row>
    <row r="14" spans="1:43">
      <c r="A14" s="1"/>
      <c r="B14" s="36"/>
      <c r="C14" s="60" t="s">
        <v>41</v>
      </c>
      <c r="D14" s="55">
        <v>100</v>
      </c>
      <c r="E14" s="56">
        <v>150</v>
      </c>
      <c r="F14" s="57">
        <v>100</v>
      </c>
      <c r="G14" s="56">
        <v>150</v>
      </c>
      <c r="H14" s="57">
        <v>100</v>
      </c>
      <c r="I14" s="58">
        <v>150</v>
      </c>
      <c r="J14" s="55">
        <f t="shared" ref="J14:K14" si="35">SUM(D14+F14+H14)</f>
        <v>300</v>
      </c>
      <c r="K14" s="59">
        <f t="shared" si="35"/>
        <v>450</v>
      </c>
      <c r="L14" s="58">
        <f t="shared" si="1"/>
        <v>-150</v>
      </c>
      <c r="M14" s="55"/>
      <c r="N14" s="56"/>
      <c r="O14" s="57"/>
      <c r="P14" s="56"/>
      <c r="Q14" s="57"/>
      <c r="R14" s="58"/>
      <c r="S14" s="55">
        <f t="shared" ref="S14:T14" si="36">SUM(M14+O14+Q14)</f>
        <v>0</v>
      </c>
      <c r="T14" s="59">
        <f t="shared" si="36"/>
        <v>0</v>
      </c>
      <c r="U14" s="58">
        <f t="shared" si="3"/>
        <v>0</v>
      </c>
      <c r="V14" s="55"/>
      <c r="W14" s="56"/>
      <c r="X14" s="57"/>
      <c r="Y14" s="56"/>
      <c r="Z14" s="57"/>
      <c r="AA14" s="58"/>
      <c r="AB14" s="55">
        <f t="shared" ref="AB14:AC14" si="37">SUM(V14+X14+Z14)</f>
        <v>0</v>
      </c>
      <c r="AC14" s="59">
        <f t="shared" si="37"/>
        <v>0</v>
      </c>
      <c r="AD14" s="58">
        <f t="shared" si="5"/>
        <v>0</v>
      </c>
      <c r="AE14" s="55"/>
      <c r="AF14" s="56"/>
      <c r="AG14" s="57"/>
      <c r="AH14" s="56"/>
      <c r="AI14" s="57"/>
      <c r="AJ14" s="58"/>
      <c r="AK14" s="55">
        <f t="shared" ref="AK14:AL14" si="38">SUM(AE14+AG14+AI14)</f>
        <v>0</v>
      </c>
      <c r="AL14" s="59">
        <f t="shared" si="38"/>
        <v>0</v>
      </c>
      <c r="AM14" s="58">
        <f t="shared" si="7"/>
        <v>0</v>
      </c>
      <c r="AN14" s="55">
        <f t="shared" ref="AN14:AO14" si="39">SUM(J14+S14+AB14+AK14)</f>
        <v>300</v>
      </c>
      <c r="AO14" s="59">
        <f t="shared" si="39"/>
        <v>450</v>
      </c>
      <c r="AP14" s="59">
        <f t="shared" si="9"/>
        <v>-150</v>
      </c>
      <c r="AQ14" s="39"/>
    </row>
    <row r="15" spans="1:43">
      <c r="A15" s="1"/>
      <c r="B15" s="36"/>
      <c r="C15" s="61" t="s">
        <v>42</v>
      </c>
      <c r="D15" s="62">
        <f t="shared" ref="D15:AP15" si="40">SUM(D8:D14)</f>
        <v>700</v>
      </c>
      <c r="E15" s="63">
        <f t="shared" si="40"/>
        <v>1050</v>
      </c>
      <c r="F15" s="64">
        <f t="shared" si="40"/>
        <v>700</v>
      </c>
      <c r="G15" s="63">
        <f t="shared" si="40"/>
        <v>1050</v>
      </c>
      <c r="H15" s="64">
        <f t="shared" si="40"/>
        <v>700</v>
      </c>
      <c r="I15" s="65">
        <f t="shared" si="40"/>
        <v>1050</v>
      </c>
      <c r="J15" s="66">
        <f t="shared" si="40"/>
        <v>2100</v>
      </c>
      <c r="K15" s="67">
        <f t="shared" si="40"/>
        <v>3150</v>
      </c>
      <c r="L15" s="68">
        <f t="shared" si="40"/>
        <v>-1050</v>
      </c>
      <c r="M15" s="62">
        <f t="shared" si="40"/>
        <v>0</v>
      </c>
      <c r="N15" s="63">
        <f t="shared" si="40"/>
        <v>0</v>
      </c>
      <c r="O15" s="64">
        <f t="shared" si="40"/>
        <v>0</v>
      </c>
      <c r="P15" s="63">
        <f t="shared" si="40"/>
        <v>0</v>
      </c>
      <c r="Q15" s="64">
        <f t="shared" si="40"/>
        <v>0</v>
      </c>
      <c r="R15" s="65">
        <f t="shared" si="40"/>
        <v>0</v>
      </c>
      <c r="S15" s="66">
        <f t="shared" si="40"/>
        <v>0</v>
      </c>
      <c r="T15" s="67">
        <f t="shared" si="40"/>
        <v>0</v>
      </c>
      <c r="U15" s="68">
        <f t="shared" si="40"/>
        <v>0</v>
      </c>
      <c r="V15" s="62">
        <f t="shared" si="40"/>
        <v>0</v>
      </c>
      <c r="W15" s="63">
        <f t="shared" si="40"/>
        <v>0</v>
      </c>
      <c r="X15" s="64">
        <f t="shared" si="40"/>
        <v>0</v>
      </c>
      <c r="Y15" s="63">
        <f t="shared" si="40"/>
        <v>0</v>
      </c>
      <c r="Z15" s="64">
        <f t="shared" si="40"/>
        <v>0</v>
      </c>
      <c r="AA15" s="65">
        <f t="shared" si="40"/>
        <v>0</v>
      </c>
      <c r="AB15" s="66">
        <f t="shared" si="40"/>
        <v>0</v>
      </c>
      <c r="AC15" s="67">
        <f t="shared" si="40"/>
        <v>0</v>
      </c>
      <c r="AD15" s="68">
        <f t="shared" si="40"/>
        <v>0</v>
      </c>
      <c r="AE15" s="62">
        <f t="shared" si="40"/>
        <v>0</v>
      </c>
      <c r="AF15" s="63">
        <f t="shared" si="40"/>
        <v>0</v>
      </c>
      <c r="AG15" s="64">
        <f t="shared" si="40"/>
        <v>0</v>
      </c>
      <c r="AH15" s="63">
        <f t="shared" si="40"/>
        <v>0</v>
      </c>
      <c r="AI15" s="64">
        <f t="shared" si="40"/>
        <v>0</v>
      </c>
      <c r="AJ15" s="65">
        <f t="shared" si="40"/>
        <v>0</v>
      </c>
      <c r="AK15" s="66">
        <f t="shared" si="40"/>
        <v>0</v>
      </c>
      <c r="AL15" s="67">
        <f t="shared" si="40"/>
        <v>0</v>
      </c>
      <c r="AM15" s="68">
        <f t="shared" si="40"/>
        <v>0</v>
      </c>
      <c r="AN15" s="66">
        <f t="shared" si="40"/>
        <v>2100</v>
      </c>
      <c r="AO15" s="67">
        <f t="shared" si="40"/>
        <v>3150</v>
      </c>
      <c r="AP15" s="67">
        <f t="shared" si="40"/>
        <v>-1050</v>
      </c>
      <c r="AQ15" s="39"/>
    </row>
    <row r="16" spans="1:43" ht="31.5" customHeight="1">
      <c r="A16" s="1"/>
      <c r="B16" s="36"/>
      <c r="C16" s="3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39"/>
    </row>
    <row r="17" spans="1:43" ht="31.5" customHeight="1">
      <c r="A17" s="1"/>
      <c r="B17" s="36"/>
      <c r="C17" s="3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39"/>
    </row>
    <row r="18" spans="1:43" ht="30">
      <c r="A18" s="1"/>
      <c r="B18" s="36"/>
      <c r="C18" s="69" t="s">
        <v>43</v>
      </c>
      <c r="D18" s="70" t="s">
        <v>32</v>
      </c>
      <c r="E18" s="71" t="s">
        <v>33</v>
      </c>
      <c r="F18" s="72" t="s">
        <v>44</v>
      </c>
      <c r="G18" s="73" t="s">
        <v>45</v>
      </c>
      <c r="H18" s="74" t="s">
        <v>46</v>
      </c>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39"/>
    </row>
    <row r="19" spans="1:43">
      <c r="A19" s="1"/>
      <c r="B19" s="36"/>
      <c r="C19" s="75" t="s">
        <v>15</v>
      </c>
      <c r="D19" s="76">
        <f t="shared" ref="D19:E19" si="41">D15</f>
        <v>700</v>
      </c>
      <c r="E19" s="77">
        <f t="shared" si="41"/>
        <v>1050</v>
      </c>
      <c r="F19" s="78">
        <f t="shared" ref="F19:F30" si="42">D19-E19</f>
        <v>-350</v>
      </c>
      <c r="G19" s="76">
        <f t="shared" ref="G19:H19" si="43">D19</f>
        <v>700</v>
      </c>
      <c r="H19" s="77">
        <f t="shared" si="43"/>
        <v>1050</v>
      </c>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39"/>
    </row>
    <row r="20" spans="1:43">
      <c r="A20" s="1"/>
      <c r="B20" s="36"/>
      <c r="C20" s="75" t="s">
        <v>16</v>
      </c>
      <c r="D20" s="76">
        <f t="shared" ref="D20:E20" si="44">F15</f>
        <v>700</v>
      </c>
      <c r="E20" s="77">
        <f t="shared" si="44"/>
        <v>1050</v>
      </c>
      <c r="F20" s="78">
        <f t="shared" si="42"/>
        <v>-350</v>
      </c>
      <c r="G20" s="76">
        <f t="shared" ref="G20:H20" si="45">SUM(D19:D20)</f>
        <v>1400</v>
      </c>
      <c r="H20" s="77">
        <f t="shared" si="45"/>
        <v>2100</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39"/>
    </row>
    <row r="21" spans="1:43" ht="15.75" customHeight="1">
      <c r="A21" s="1"/>
      <c r="B21" s="36"/>
      <c r="C21" s="75" t="s">
        <v>17</v>
      </c>
      <c r="D21" s="76">
        <f t="shared" ref="D21:E21" si="46">H15</f>
        <v>700</v>
      </c>
      <c r="E21" s="77">
        <f t="shared" si="46"/>
        <v>1050</v>
      </c>
      <c r="F21" s="78">
        <f t="shared" si="42"/>
        <v>-350</v>
      </c>
      <c r="G21" s="76">
        <f t="shared" ref="G21:H21" si="47">SUM(D19:D21)</f>
        <v>2100</v>
      </c>
      <c r="H21" s="77">
        <f t="shared" si="47"/>
        <v>3150</v>
      </c>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39"/>
    </row>
    <row r="22" spans="1:43" ht="15.75" customHeight="1">
      <c r="A22" s="1"/>
      <c r="B22" s="36"/>
      <c r="C22" s="75" t="s">
        <v>19</v>
      </c>
      <c r="D22" s="76">
        <f t="shared" ref="D22:E22" si="48">M15</f>
        <v>0</v>
      </c>
      <c r="E22" s="77">
        <f t="shared" si="48"/>
        <v>0</v>
      </c>
      <c r="F22" s="78">
        <f t="shared" si="42"/>
        <v>0</v>
      </c>
      <c r="G22" s="76">
        <f t="shared" ref="G22:H22" si="49">SUM(D19:D22)</f>
        <v>2100</v>
      </c>
      <c r="H22" s="77">
        <f t="shared" si="49"/>
        <v>3150</v>
      </c>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39"/>
    </row>
    <row r="23" spans="1:43" ht="15.75" customHeight="1">
      <c r="A23" s="1"/>
      <c r="B23" s="36"/>
      <c r="C23" s="75" t="s">
        <v>20</v>
      </c>
      <c r="D23" s="76">
        <f>O15+D22</f>
        <v>0</v>
      </c>
      <c r="E23" s="77">
        <f>P15</f>
        <v>0</v>
      </c>
      <c r="F23" s="78">
        <f t="shared" si="42"/>
        <v>0</v>
      </c>
      <c r="G23" s="76">
        <f t="shared" ref="G23:H23" si="50">SUM(D19:D23)</f>
        <v>2100</v>
      </c>
      <c r="H23" s="77">
        <f t="shared" si="50"/>
        <v>3150</v>
      </c>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39"/>
    </row>
    <row r="24" spans="1:43" ht="15.75" customHeight="1">
      <c r="A24" s="1"/>
      <c r="B24" s="36"/>
      <c r="C24" s="75" t="s">
        <v>21</v>
      </c>
      <c r="D24" s="76">
        <f t="shared" ref="D24:E24" si="51">Q15</f>
        <v>0</v>
      </c>
      <c r="E24" s="77">
        <f t="shared" si="51"/>
        <v>0</v>
      </c>
      <c r="F24" s="78">
        <f t="shared" si="42"/>
        <v>0</v>
      </c>
      <c r="G24" s="76">
        <f t="shared" ref="G24:H24" si="52">SUM(D19:D24)</f>
        <v>2100</v>
      </c>
      <c r="H24" s="77">
        <f t="shared" si="52"/>
        <v>3150</v>
      </c>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39"/>
    </row>
    <row r="25" spans="1:43" ht="15.75" customHeight="1">
      <c r="A25" s="1"/>
      <c r="B25" s="36"/>
      <c r="C25" s="75" t="s">
        <v>23</v>
      </c>
      <c r="D25" s="76">
        <f t="shared" ref="D25:E25" si="53">V15</f>
        <v>0</v>
      </c>
      <c r="E25" s="77">
        <f t="shared" si="53"/>
        <v>0</v>
      </c>
      <c r="F25" s="78">
        <f t="shared" si="42"/>
        <v>0</v>
      </c>
      <c r="G25" s="76">
        <f t="shared" ref="G25:H25" si="54">SUM(D19:D25)</f>
        <v>2100</v>
      </c>
      <c r="H25" s="77">
        <f t="shared" si="54"/>
        <v>3150</v>
      </c>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39"/>
    </row>
    <row r="26" spans="1:43" ht="15.75" customHeight="1">
      <c r="A26" s="1"/>
      <c r="B26" s="36"/>
      <c r="C26" s="75" t="s">
        <v>24</v>
      </c>
      <c r="D26" s="76">
        <f t="shared" ref="D26:E26" si="55">X15</f>
        <v>0</v>
      </c>
      <c r="E26" s="77">
        <f t="shared" si="55"/>
        <v>0</v>
      </c>
      <c r="F26" s="78">
        <f t="shared" si="42"/>
        <v>0</v>
      </c>
      <c r="G26" s="76">
        <f t="shared" ref="G26:H26" si="56">SUM(D19:D26)</f>
        <v>2100</v>
      </c>
      <c r="H26" s="77">
        <f t="shared" si="56"/>
        <v>3150</v>
      </c>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39"/>
    </row>
    <row r="27" spans="1:43" ht="15.75" customHeight="1">
      <c r="A27" s="1"/>
      <c r="B27" s="36"/>
      <c r="C27" s="75" t="s">
        <v>25</v>
      </c>
      <c r="D27" s="76">
        <f t="shared" ref="D27:E27" si="57">Z15</f>
        <v>0</v>
      </c>
      <c r="E27" s="77">
        <f t="shared" si="57"/>
        <v>0</v>
      </c>
      <c r="F27" s="78">
        <f t="shared" si="42"/>
        <v>0</v>
      </c>
      <c r="G27" s="76">
        <f t="shared" ref="G27:H27" si="58">SUM(D19:D27)</f>
        <v>2100</v>
      </c>
      <c r="H27" s="77">
        <f t="shared" si="58"/>
        <v>3150</v>
      </c>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39"/>
    </row>
    <row r="28" spans="1:43" ht="15.75" customHeight="1">
      <c r="A28" s="1"/>
      <c r="B28" s="36"/>
      <c r="C28" s="75" t="s">
        <v>27</v>
      </c>
      <c r="D28" s="76">
        <f t="shared" ref="D28:E28" si="59">AE15</f>
        <v>0</v>
      </c>
      <c r="E28" s="77">
        <f t="shared" si="59"/>
        <v>0</v>
      </c>
      <c r="F28" s="78">
        <f t="shared" si="42"/>
        <v>0</v>
      </c>
      <c r="G28" s="76">
        <f t="shared" ref="G28:H28" si="60">SUM(D19:D28)</f>
        <v>2100</v>
      </c>
      <c r="H28" s="77">
        <f t="shared" si="60"/>
        <v>3150</v>
      </c>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39"/>
    </row>
    <row r="29" spans="1:43" ht="15.75" customHeight="1">
      <c r="A29" s="1"/>
      <c r="B29" s="36"/>
      <c r="C29" s="75" t="s">
        <v>28</v>
      </c>
      <c r="D29" s="76">
        <f t="shared" ref="D29:E29" si="61">AG15</f>
        <v>0</v>
      </c>
      <c r="E29" s="77">
        <f t="shared" si="61"/>
        <v>0</v>
      </c>
      <c r="F29" s="78">
        <f t="shared" si="42"/>
        <v>0</v>
      </c>
      <c r="G29" s="76">
        <f t="shared" ref="G29:H29" si="62">SUM(D19:D29)</f>
        <v>2100</v>
      </c>
      <c r="H29" s="77">
        <f t="shared" si="62"/>
        <v>3150</v>
      </c>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39"/>
    </row>
    <row r="30" spans="1:43" ht="15.75" customHeight="1">
      <c r="A30" s="1"/>
      <c r="B30" s="36"/>
      <c r="C30" s="79" t="s">
        <v>29</v>
      </c>
      <c r="D30" s="80">
        <f>AJ15</f>
        <v>0</v>
      </c>
      <c r="E30" s="81">
        <f>AJ15</f>
        <v>0</v>
      </c>
      <c r="F30" s="82">
        <f t="shared" si="42"/>
        <v>0</v>
      </c>
      <c r="G30" s="80">
        <f t="shared" ref="G30:H30" si="63">SUM(D19:D30)</f>
        <v>2100</v>
      </c>
      <c r="H30" s="81">
        <f t="shared" si="63"/>
        <v>3150</v>
      </c>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39"/>
    </row>
    <row r="31" spans="1:43" ht="15.75" customHeight="1">
      <c r="A31" s="1"/>
      <c r="B31" s="36"/>
      <c r="C31" s="83" t="s">
        <v>42</v>
      </c>
      <c r="D31" s="84">
        <f t="shared" ref="D31:H31" si="64">SUM(D19:D30)</f>
        <v>2100</v>
      </c>
      <c r="E31" s="85">
        <f t="shared" si="64"/>
        <v>3150</v>
      </c>
      <c r="F31" s="86">
        <f t="shared" si="64"/>
        <v>-1050</v>
      </c>
      <c r="G31" s="87">
        <f t="shared" si="64"/>
        <v>23100</v>
      </c>
      <c r="H31" s="87">
        <f t="shared" si="64"/>
        <v>34650</v>
      </c>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39"/>
    </row>
    <row r="32" spans="1:43" ht="15.75" customHeight="1">
      <c r="A32" s="1"/>
      <c r="B32" s="36"/>
      <c r="C32" s="3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39"/>
    </row>
    <row r="33" spans="1:43" ht="15.75" customHeight="1">
      <c r="A33" s="1"/>
      <c r="B33" s="36"/>
      <c r="C33" s="3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39"/>
    </row>
    <row r="34" spans="1:43" ht="15.75" customHeight="1">
      <c r="A34" s="1"/>
      <c r="B34" s="36"/>
      <c r="C34" s="3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39"/>
    </row>
    <row r="35" spans="1:43" ht="15.75" customHeight="1">
      <c r="A35" s="1"/>
      <c r="B35" s="36"/>
      <c r="C35" s="3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39"/>
    </row>
    <row r="36" spans="1:43" ht="15.75" customHeight="1">
      <c r="A36" s="1"/>
      <c r="B36" s="36"/>
      <c r="C36" s="3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39"/>
    </row>
    <row r="37" spans="1:43" ht="15.75" customHeight="1">
      <c r="A37" s="1"/>
      <c r="B37" s="36"/>
      <c r="C37" s="3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39"/>
    </row>
    <row r="38" spans="1:43" ht="15.75" customHeight="1">
      <c r="A38" s="1"/>
      <c r="B38" s="36"/>
      <c r="C38" s="3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39"/>
    </row>
    <row r="39" spans="1:43" ht="15.75" customHeight="1">
      <c r="A39" s="1"/>
      <c r="B39" s="36"/>
      <c r="C39" s="3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39"/>
    </row>
    <row r="40" spans="1:43" ht="15.75" customHeight="1">
      <c r="A40" s="1"/>
      <c r="B40" s="36"/>
      <c r="C40" s="3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39"/>
    </row>
    <row r="41" spans="1:43" ht="15.75" customHeight="1">
      <c r="A41" s="1"/>
      <c r="B41" s="36"/>
      <c r="C41" s="3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39"/>
    </row>
    <row r="42" spans="1:43" ht="15.75" customHeight="1">
      <c r="A42" s="1"/>
      <c r="B42" s="36"/>
      <c r="C42" s="3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39"/>
    </row>
    <row r="43" spans="1:43" ht="15.75" customHeight="1">
      <c r="A43" s="1"/>
      <c r="B43" s="36"/>
      <c r="C43" s="3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39"/>
    </row>
    <row r="44" spans="1:43" ht="15.75" customHeight="1">
      <c r="A44" s="1"/>
      <c r="B44" s="36"/>
      <c r="C44" s="3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39"/>
    </row>
    <row r="45" spans="1:43" ht="15.75" customHeight="1">
      <c r="A45" s="1"/>
      <c r="B45" s="36"/>
      <c r="C45" s="3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39"/>
    </row>
    <row r="46" spans="1:43" ht="15.75" customHeight="1">
      <c r="A46" s="1"/>
      <c r="B46" s="36"/>
      <c r="C46" s="3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39"/>
    </row>
    <row r="47" spans="1:43" ht="15.75" customHeight="1">
      <c r="A47" s="1"/>
      <c r="B47" s="36"/>
      <c r="C47" s="3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39"/>
    </row>
    <row r="48" spans="1:43" ht="15.75" customHeight="1">
      <c r="A48" s="1"/>
      <c r="B48" s="36"/>
      <c r="C48" s="3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39"/>
    </row>
    <row r="49" spans="1:43" ht="15.75" customHeight="1">
      <c r="A49" s="1"/>
      <c r="B49" s="36"/>
      <c r="C49" s="3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39"/>
    </row>
    <row r="50" spans="1:43" ht="15.75" customHeight="1">
      <c r="A50" s="1"/>
      <c r="B50" s="36"/>
      <c r="C50" s="3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39"/>
    </row>
    <row r="51" spans="1:43" ht="15.75" customHeight="1">
      <c r="A51" s="1"/>
      <c r="B51" s="36"/>
      <c r="C51" s="3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39"/>
    </row>
    <row r="52" spans="1:43" ht="15.75" customHeight="1">
      <c r="A52" s="1"/>
      <c r="B52" s="36"/>
      <c r="C52" s="3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39"/>
    </row>
    <row r="53" spans="1:43" ht="15.75" customHeight="1">
      <c r="A53" s="1"/>
      <c r="B53" s="36"/>
      <c r="C53" s="3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39"/>
    </row>
    <row r="54" spans="1:43" ht="15.75" customHeight="1">
      <c r="A54" s="1"/>
      <c r="B54" s="36"/>
      <c r="C54" s="3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39"/>
    </row>
    <row r="55" spans="1:43" ht="15.75" customHeight="1">
      <c r="A55" s="1"/>
      <c r="B55" s="36"/>
      <c r="C55" s="3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39"/>
    </row>
    <row r="56" spans="1:43" ht="15.75" customHeight="1">
      <c r="A56" s="1"/>
      <c r="B56" s="36"/>
      <c r="C56" s="3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39"/>
    </row>
    <row r="57" spans="1:43" ht="15.75" customHeight="1">
      <c r="A57" s="1"/>
      <c r="B57" s="36"/>
      <c r="C57" s="3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39"/>
    </row>
    <row r="58" spans="1:43" ht="15.75" customHeight="1">
      <c r="A58" s="1"/>
      <c r="B58" s="36"/>
      <c r="C58" s="3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39"/>
    </row>
    <row r="59" spans="1:43" ht="15.75" customHeight="1">
      <c r="A59" s="1"/>
      <c r="B59" s="36"/>
      <c r="C59" s="3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39"/>
    </row>
    <row r="60" spans="1:43" ht="15.75" customHeight="1">
      <c r="A60" s="1"/>
      <c r="B60" s="36"/>
      <c r="C60" s="3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39"/>
    </row>
    <row r="61" spans="1:43" ht="15.75" customHeight="1">
      <c r="A61" s="1"/>
      <c r="B61" s="88"/>
      <c r="C61" s="89"/>
      <c r="D61" s="90"/>
      <c r="E61" s="90"/>
      <c r="F61" s="90"/>
      <c r="G61" s="90"/>
      <c r="H61" s="90"/>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1"/>
    </row>
    <row r="62" spans="1:43" ht="15.75" customHeight="1">
      <c r="A62" s="1"/>
      <c r="B62" s="1"/>
      <c r="C62" s="3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row>
    <row r="63" spans="1:43" ht="15.75" customHeight="1">
      <c r="A63" s="1"/>
      <c r="B63" s="1"/>
      <c r="C63" s="3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row>
    <row r="64" spans="1:43" ht="15.75" customHeight="1">
      <c r="A64" s="1"/>
      <c r="B64" s="1"/>
      <c r="C64" s="3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row>
    <row r="65" spans="1:43" ht="15.75" customHeight="1">
      <c r="A65" s="1"/>
      <c r="B65" s="1"/>
      <c r="C65" s="3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row>
    <row r="66" spans="1:43" ht="15.75" customHeight="1">
      <c r="A66" s="1"/>
      <c r="B66" s="1"/>
      <c r="C66" s="3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row>
    <row r="67" spans="1:43" ht="15.75" customHeight="1">
      <c r="A67" s="1"/>
      <c r="B67" s="1"/>
      <c r="C67" s="3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row>
    <row r="68" spans="1:43" ht="15.75" customHeight="1">
      <c r="A68" s="1"/>
      <c r="B68" s="1"/>
      <c r="C68" s="3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row>
    <row r="69" spans="1:43" ht="15.75" customHeight="1">
      <c r="A69" s="1"/>
      <c r="B69" s="1"/>
      <c r="C69" s="3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row>
    <row r="70" spans="1:43" ht="15.75" customHeight="1">
      <c r="A70" s="1"/>
      <c r="B70" s="1"/>
      <c r="C70" s="3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row>
    <row r="71" spans="1:43" ht="15.75" customHeight="1">
      <c r="A71" s="1"/>
      <c r="B71" s="1"/>
      <c r="C71" s="3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row>
    <row r="72" spans="1:43" ht="15.75" customHeight="1">
      <c r="A72" s="1"/>
      <c r="B72" s="1"/>
      <c r="C72" s="3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row>
    <row r="73" spans="1:43" ht="15.75" customHeight="1">
      <c r="A73" s="1"/>
      <c r="B73" s="1"/>
      <c r="C73" s="3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row>
    <row r="74" spans="1:43" ht="15.75" customHeight="1">
      <c r="A74" s="1"/>
      <c r="B74" s="1"/>
      <c r="C74" s="3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row>
    <row r="75" spans="1:43" ht="15.75" customHeight="1">
      <c r="A75" s="1"/>
      <c r="B75" s="1"/>
      <c r="C75" s="3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row>
    <row r="76" spans="1:43" ht="15.75" customHeight="1">
      <c r="A76" s="1"/>
      <c r="B76" s="1"/>
      <c r="C76" s="3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row>
    <row r="77" spans="1:43" ht="15.75" customHeight="1">
      <c r="A77" s="1"/>
      <c r="B77" s="1"/>
      <c r="C77" s="3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row>
    <row r="78" spans="1:43" ht="15.75" customHeight="1">
      <c r="A78" s="1"/>
      <c r="B78" s="1"/>
      <c r="C78" s="3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row>
    <row r="79" spans="1:43" ht="15.75" customHeight="1">
      <c r="A79" s="1"/>
      <c r="B79" s="1"/>
      <c r="C79" s="3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row>
    <row r="80" spans="1:43" ht="15.75" customHeight="1">
      <c r="A80" s="1"/>
      <c r="B80" s="1"/>
      <c r="C80" s="3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row>
    <row r="81" spans="1:43" ht="15.75" customHeight="1">
      <c r="A81" s="1"/>
      <c r="B81" s="1"/>
      <c r="C81" s="3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row>
    <row r="82" spans="1:43" ht="15.75" customHeight="1">
      <c r="A82" s="1"/>
      <c r="B82" s="1"/>
      <c r="C82" s="3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row>
    <row r="83" spans="1:43" ht="15.75" customHeight="1">
      <c r="A83" s="1"/>
      <c r="B83" s="1"/>
      <c r="C83" s="3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row>
    <row r="84" spans="1:43" ht="15.75" customHeight="1">
      <c r="A84" s="1"/>
      <c r="B84" s="1"/>
      <c r="C84" s="3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row>
    <row r="85" spans="1:43" ht="15.75" customHeight="1">
      <c r="A85" s="1"/>
      <c r="B85" s="1"/>
      <c r="C85" s="3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row>
    <row r="86" spans="1:43" ht="15.75" customHeight="1">
      <c r="A86" s="1"/>
      <c r="B86" s="1"/>
      <c r="C86" s="3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row>
    <row r="87" spans="1:43" ht="15.75" customHeight="1">
      <c r="A87" s="1"/>
      <c r="B87" s="1"/>
      <c r="C87" s="3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row>
    <row r="88" spans="1:43" ht="15.75" customHeight="1">
      <c r="A88" s="1"/>
      <c r="B88" s="1"/>
      <c r="C88" s="3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row>
    <row r="89" spans="1:43" ht="15.75" customHeight="1">
      <c r="A89" s="1"/>
      <c r="B89" s="1"/>
      <c r="C89" s="3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row>
    <row r="90" spans="1:43" ht="15.75" customHeight="1">
      <c r="A90" s="1"/>
      <c r="B90" s="1"/>
      <c r="C90" s="3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row>
    <row r="91" spans="1:43" ht="15.75" customHeight="1">
      <c r="A91" s="1"/>
      <c r="B91" s="1"/>
      <c r="C91" s="3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row>
    <row r="92" spans="1:43" ht="15.75" customHeight="1">
      <c r="A92" s="1"/>
      <c r="B92" s="1"/>
      <c r="C92" s="3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row>
    <row r="93" spans="1:43" ht="15.75" customHeight="1">
      <c r="A93" s="1"/>
      <c r="B93" s="1"/>
      <c r="C93" s="3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row>
    <row r="94" spans="1:43" ht="15.75" customHeight="1">
      <c r="A94" s="1"/>
      <c r="B94" s="1"/>
      <c r="C94" s="3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row>
    <row r="95" spans="1:43" ht="15.75" customHeight="1">
      <c r="A95" s="1"/>
      <c r="B95" s="1"/>
      <c r="C95" s="3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row>
    <row r="96" spans="1:43" ht="15.75" customHeight="1">
      <c r="A96" s="1"/>
      <c r="B96" s="1"/>
      <c r="C96" s="3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row>
    <row r="97" spans="1:43" ht="15.75" customHeight="1">
      <c r="A97" s="1"/>
      <c r="B97" s="1"/>
      <c r="C97" s="3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row>
    <row r="98" spans="1:43" ht="15.75" customHeight="1">
      <c r="A98" s="1"/>
      <c r="B98" s="1"/>
      <c r="C98" s="3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row>
    <row r="99" spans="1:43" ht="15.75" customHeight="1">
      <c r="A99" s="1"/>
      <c r="B99" s="1"/>
      <c r="C99" s="3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row>
    <row r="100" spans="1:43" ht="15.75" customHeight="1">
      <c r="A100" s="1"/>
      <c r="B100" s="1"/>
      <c r="C100" s="3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row>
    <row r="101" spans="1:43" ht="15.75" customHeight="1">
      <c r="A101" s="1"/>
      <c r="B101" s="1"/>
      <c r="C101" s="3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row>
    <row r="102" spans="1:43" ht="15.75" customHeight="1">
      <c r="A102" s="1"/>
      <c r="B102" s="1"/>
      <c r="C102" s="3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spans="1:43" ht="15.75" customHeight="1">
      <c r="A103" s="1"/>
      <c r="B103" s="1"/>
      <c r="C103" s="3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row>
    <row r="104" spans="1:43" ht="15.75" customHeight="1">
      <c r="A104" s="1"/>
      <c r="B104" s="1"/>
      <c r="C104" s="3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row>
    <row r="105" spans="1:43" ht="15.75" customHeight="1">
      <c r="A105" s="1"/>
      <c r="B105" s="1"/>
      <c r="C105" s="3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spans="1:43" ht="15.75" customHeight="1">
      <c r="A106" s="1"/>
      <c r="B106" s="1"/>
      <c r="C106" s="3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spans="1:43" ht="15.75" customHeight="1">
      <c r="A107" s="1"/>
      <c r="B107" s="1"/>
      <c r="C107" s="3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row>
    <row r="108" spans="1:43" ht="15.75" customHeight="1">
      <c r="A108" s="1"/>
      <c r="B108" s="1"/>
      <c r="C108" s="3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row>
    <row r="109" spans="1:43" ht="15.75" customHeight="1">
      <c r="A109" s="1"/>
      <c r="B109" s="1"/>
      <c r="C109" s="3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spans="1:43" ht="15.75" customHeight="1">
      <c r="A110" s="1"/>
      <c r="B110" s="1"/>
      <c r="C110" s="3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row>
    <row r="111" spans="1:43" ht="15.75" customHeight="1">
      <c r="A111" s="1"/>
      <c r="B111" s="1"/>
      <c r="C111" s="3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row>
    <row r="112" spans="1:43" ht="15.75" customHeight="1">
      <c r="A112" s="1"/>
      <c r="B112" s="1"/>
      <c r="C112" s="3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spans="1:43" ht="15.75" customHeight="1">
      <c r="A113" s="1"/>
      <c r="B113" s="1"/>
      <c r="C113" s="3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row>
    <row r="114" spans="1:43" ht="15.75" customHeight="1">
      <c r="A114" s="1"/>
      <c r="B114" s="1"/>
      <c r="C114" s="3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row>
    <row r="115" spans="1:43" ht="15.75" customHeight="1">
      <c r="A115" s="1"/>
      <c r="B115" s="1"/>
      <c r="C115" s="3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row>
    <row r="116" spans="1:43" ht="15.75" customHeight="1">
      <c r="A116" s="1"/>
      <c r="B116" s="1"/>
      <c r="C116" s="3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row>
    <row r="117" spans="1:43" ht="15.75" customHeight="1">
      <c r="A117" s="1"/>
      <c r="B117" s="1"/>
      <c r="C117" s="3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spans="1:43" ht="15.75" customHeight="1">
      <c r="A118" s="1"/>
      <c r="B118" s="1"/>
      <c r="C118" s="3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spans="1:43" ht="15.75" customHeight="1">
      <c r="A119" s="1"/>
      <c r="B119" s="1"/>
      <c r="C119" s="3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row>
    <row r="120" spans="1:43" ht="15.75" customHeight="1">
      <c r="A120" s="1"/>
      <c r="B120" s="1"/>
      <c r="C120" s="3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spans="1:43" ht="15.75" customHeight="1">
      <c r="A121" s="1"/>
      <c r="B121" s="1"/>
      <c r="C121" s="3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spans="1:43" ht="15.75" customHeight="1">
      <c r="A122" s="1"/>
      <c r="B122" s="1"/>
      <c r="C122" s="3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spans="1:43" ht="15.75" customHeight="1">
      <c r="A123" s="1"/>
      <c r="B123" s="1"/>
      <c r="C123" s="3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spans="1:43" ht="15.75" customHeight="1">
      <c r="A124" s="1"/>
      <c r="B124" s="1"/>
      <c r="C124" s="3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spans="1:43" ht="15.75" customHeight="1">
      <c r="A125" s="1"/>
      <c r="B125" s="1"/>
      <c r="C125" s="3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spans="1:43" ht="15.75" customHeight="1">
      <c r="A126" s="1"/>
      <c r="B126" s="1"/>
      <c r="C126" s="3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spans="1:43" ht="15.75" customHeight="1">
      <c r="A127" s="1"/>
      <c r="B127" s="1"/>
      <c r="C127" s="3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spans="1:43" ht="15.75" customHeight="1">
      <c r="A128" s="1"/>
      <c r="B128" s="1"/>
      <c r="C128" s="3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spans="1:43" ht="15.75" customHeight="1">
      <c r="A129" s="1"/>
      <c r="B129" s="1"/>
      <c r="C129" s="3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spans="1:43" ht="15.75" customHeight="1">
      <c r="A130" s="1"/>
      <c r="B130" s="1"/>
      <c r="C130" s="3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spans="1:43" ht="15.75" customHeight="1">
      <c r="A131" s="1"/>
      <c r="B131" s="1"/>
      <c r="C131" s="3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spans="1:43" ht="15.75" customHeight="1">
      <c r="A132" s="1"/>
      <c r="B132" s="1"/>
      <c r="C132" s="3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spans="1:43" ht="15.75" customHeight="1">
      <c r="A133" s="1"/>
      <c r="B133" s="1"/>
      <c r="C133" s="3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spans="1:43" ht="15.75" customHeight="1">
      <c r="A134" s="1"/>
      <c r="B134" s="1"/>
      <c r="C134" s="3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spans="1:43" ht="15.75" customHeight="1">
      <c r="A135" s="1"/>
      <c r="B135" s="1"/>
      <c r="C135" s="3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spans="1:43" ht="15.75" customHeight="1">
      <c r="A136" s="1"/>
      <c r="B136" s="1"/>
      <c r="C136" s="3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spans="1:43" ht="15.75" customHeight="1">
      <c r="A137" s="1"/>
      <c r="B137" s="1"/>
      <c r="C137" s="3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spans="1:43" ht="15.75" customHeight="1">
      <c r="A138" s="1"/>
      <c r="B138" s="1"/>
      <c r="C138" s="3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spans="1:43" ht="15.75" customHeight="1">
      <c r="A139" s="1"/>
      <c r="B139" s="1"/>
      <c r="C139" s="3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spans="1:43" ht="15.75" customHeight="1">
      <c r="A140" s="1"/>
      <c r="B140" s="1"/>
      <c r="C140" s="3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spans="1:43" ht="15.75" customHeight="1">
      <c r="A141" s="1"/>
      <c r="B141" s="1"/>
      <c r="C141" s="3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spans="1:43" ht="15.75" customHeight="1">
      <c r="A142" s="1"/>
      <c r="B142" s="1"/>
      <c r="C142" s="3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spans="1:43" ht="15.75" customHeight="1">
      <c r="A143" s="1"/>
      <c r="B143" s="1"/>
      <c r="C143" s="3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spans="1:43" ht="15.75" customHeight="1">
      <c r="A144" s="1"/>
      <c r="B144" s="1"/>
      <c r="C144" s="3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spans="1:43" ht="15.75" customHeight="1">
      <c r="A145" s="1"/>
      <c r="B145" s="1"/>
      <c r="C145" s="3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spans="1:43" ht="15.75" customHeight="1">
      <c r="A146" s="1"/>
      <c r="B146" s="1"/>
      <c r="C146" s="3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spans="1:43" ht="15.75" customHeight="1">
      <c r="A147" s="1"/>
      <c r="B147" s="1"/>
      <c r="C147" s="3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spans="1:43" ht="15.75" customHeight="1">
      <c r="A148" s="1"/>
      <c r="B148" s="1"/>
      <c r="C148" s="3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spans="1:43" ht="15.75" customHeight="1">
      <c r="A149" s="1"/>
      <c r="B149" s="1"/>
      <c r="C149" s="3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spans="1:43" ht="15.75" customHeight="1">
      <c r="A150" s="1"/>
      <c r="B150" s="1"/>
      <c r="C150" s="3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spans="1:43" ht="15.75" customHeight="1">
      <c r="A151" s="1"/>
      <c r="B151" s="1"/>
      <c r="C151" s="3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spans="1:43" ht="15.75" customHeight="1">
      <c r="A152" s="1"/>
      <c r="B152" s="1"/>
      <c r="C152" s="3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spans="1:43" ht="15.75" customHeight="1">
      <c r="A153" s="1"/>
      <c r="B153" s="1"/>
      <c r="C153" s="3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spans="1:43" ht="15.75" customHeight="1">
      <c r="A154" s="1"/>
      <c r="B154" s="1"/>
      <c r="C154" s="3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spans="1:43" ht="15.75" customHeight="1">
      <c r="A155" s="1"/>
      <c r="B155" s="1"/>
      <c r="C155" s="3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spans="1:43" ht="15.75" customHeight="1">
      <c r="A156" s="1"/>
      <c r="B156" s="1"/>
      <c r="C156" s="3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spans="1:43" ht="15.75" customHeight="1">
      <c r="A157" s="1"/>
      <c r="B157" s="1"/>
      <c r="C157" s="3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spans="1:43" ht="15.75" customHeight="1">
      <c r="A158" s="1"/>
      <c r="B158" s="1"/>
      <c r="C158" s="3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spans="1:43" ht="15.75" customHeight="1">
      <c r="A159" s="1"/>
      <c r="B159" s="1"/>
      <c r="C159" s="3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spans="1:43" ht="15.75" customHeight="1">
      <c r="A160" s="1"/>
      <c r="B160" s="1"/>
      <c r="C160" s="3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spans="1:43" ht="15.75" customHeight="1">
      <c r="A161" s="1"/>
      <c r="B161" s="1"/>
      <c r="C161" s="3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spans="1:43" ht="15.75" customHeight="1">
      <c r="A162" s="1"/>
      <c r="B162" s="1"/>
      <c r="C162" s="3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spans="1:43" ht="15.75" customHeight="1">
      <c r="A163" s="1"/>
      <c r="B163" s="1"/>
      <c r="C163" s="3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spans="1:43" ht="15.75" customHeight="1">
      <c r="A164" s="1"/>
      <c r="B164" s="1"/>
      <c r="C164" s="3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spans="1:43" ht="15.75" customHeight="1">
      <c r="A165" s="1"/>
      <c r="B165" s="1"/>
      <c r="C165" s="3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spans="1:43" ht="15.75" customHeight="1">
      <c r="A166" s="1"/>
      <c r="B166" s="1"/>
      <c r="C166" s="3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spans="1:43" ht="15.75" customHeight="1">
      <c r="A167" s="1"/>
      <c r="B167" s="1"/>
      <c r="C167" s="3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spans="1:43" ht="15.75" customHeight="1">
      <c r="A168" s="1"/>
      <c r="B168" s="1"/>
      <c r="C168" s="3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spans="1:43" ht="15.75" customHeight="1">
      <c r="A169" s="1"/>
      <c r="B169" s="1"/>
      <c r="C169" s="3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spans="1:43" ht="15.75" customHeight="1">
      <c r="A170" s="1"/>
      <c r="B170" s="1"/>
      <c r="C170" s="3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spans="1:43" ht="15.75" customHeight="1">
      <c r="A171" s="1"/>
      <c r="B171" s="1"/>
      <c r="C171" s="3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spans="1:43" ht="15.75" customHeight="1">
      <c r="A172" s="1"/>
      <c r="B172" s="1"/>
      <c r="C172" s="3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spans="1:43" ht="15.75" customHeight="1">
      <c r="A173" s="1"/>
      <c r="B173" s="1"/>
      <c r="C173" s="3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spans="1:43" ht="15.75" customHeight="1">
      <c r="A174" s="1"/>
      <c r="B174" s="1"/>
      <c r="C174" s="3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spans="1:43" ht="15.75" customHeight="1">
      <c r="A175" s="1"/>
      <c r="B175" s="1"/>
      <c r="C175" s="3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spans="1:43" ht="15.75" customHeight="1">
      <c r="A176" s="1"/>
      <c r="B176" s="1"/>
      <c r="C176" s="3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spans="1:43" ht="15.75" customHeight="1">
      <c r="A177" s="1"/>
      <c r="B177" s="1"/>
      <c r="C177" s="3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spans="1:43" ht="15.75" customHeight="1">
      <c r="A178" s="1"/>
      <c r="B178" s="1"/>
      <c r="C178" s="3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spans="1:43" ht="15.75" customHeight="1">
      <c r="A179" s="1"/>
      <c r="B179" s="1"/>
      <c r="C179" s="3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spans="1:43" ht="15.75" customHeight="1">
      <c r="A180" s="1"/>
      <c r="B180" s="1"/>
      <c r="C180" s="3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spans="1:43" ht="15.75" customHeight="1">
      <c r="A181" s="1"/>
      <c r="B181" s="1"/>
      <c r="C181" s="3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spans="1:43" ht="15.75" customHeight="1">
      <c r="A182" s="1"/>
      <c r="B182" s="1"/>
      <c r="C182" s="3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spans="1:43" ht="15.75" customHeight="1">
      <c r="A183" s="1"/>
      <c r="B183" s="1"/>
      <c r="C183" s="3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spans="1:43" ht="15.75" customHeight="1">
      <c r="A184" s="1"/>
      <c r="B184" s="1"/>
      <c r="C184" s="3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spans="1:43" ht="15.75" customHeight="1">
      <c r="A185" s="1"/>
      <c r="B185" s="1"/>
      <c r="C185" s="3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spans="1:43" ht="15.75" customHeight="1">
      <c r="A186" s="1"/>
      <c r="B186" s="1"/>
      <c r="C186" s="3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spans="1:43" ht="15.75" customHeight="1">
      <c r="A187" s="1"/>
      <c r="B187" s="1"/>
      <c r="C187" s="3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spans="1:43" ht="15.75" customHeight="1">
      <c r="A188" s="1"/>
      <c r="B188" s="1"/>
      <c r="C188" s="3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spans="1:43" ht="15.75" customHeight="1">
      <c r="A189" s="1"/>
      <c r="B189" s="1"/>
      <c r="C189" s="3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spans="1:43" ht="15.75" customHeight="1">
      <c r="A190" s="1"/>
      <c r="B190" s="1"/>
      <c r="C190" s="3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spans="1:43" ht="15.75" customHeight="1">
      <c r="A191" s="1"/>
      <c r="B191" s="1"/>
      <c r="C191" s="3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spans="1:43" ht="15.75" customHeight="1">
      <c r="A192" s="1"/>
      <c r="B192" s="1"/>
      <c r="C192" s="3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spans="1:43" ht="15.75" customHeight="1">
      <c r="A193" s="1"/>
      <c r="B193" s="1"/>
      <c r="C193" s="3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spans="1:43" ht="15.75" customHeight="1">
      <c r="A194" s="1"/>
      <c r="B194" s="1"/>
      <c r="C194" s="3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spans="1:43" ht="15.75" customHeight="1">
      <c r="A195" s="1"/>
      <c r="B195" s="1"/>
      <c r="C195" s="3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spans="1:43" ht="15.75" customHeight="1">
      <c r="A196" s="1"/>
      <c r="B196" s="1"/>
      <c r="C196" s="3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spans="1:43" ht="15.75" customHeight="1">
      <c r="A197" s="1"/>
      <c r="B197" s="1"/>
      <c r="C197" s="3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spans="1:43" ht="15.75" customHeight="1">
      <c r="A198" s="1"/>
      <c r="B198" s="1"/>
      <c r="C198" s="3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spans="1:43" ht="15.75" customHeight="1">
      <c r="A199" s="1"/>
      <c r="B199" s="1"/>
      <c r="C199" s="3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spans="1:43" ht="15.75" customHeight="1">
      <c r="A200" s="1"/>
      <c r="B200" s="1"/>
      <c r="C200" s="3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spans="1:43" ht="15.75" customHeight="1">
      <c r="A201" s="1"/>
      <c r="B201" s="1"/>
      <c r="C201" s="3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spans="1:43" ht="15.75" customHeight="1">
      <c r="A202" s="1"/>
      <c r="B202" s="1"/>
      <c r="C202" s="3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spans="1:43" ht="15.75" customHeight="1">
      <c r="A203" s="1"/>
      <c r="B203" s="1"/>
      <c r="C203" s="3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spans="1:43" ht="15.75" customHeight="1">
      <c r="A204" s="1"/>
      <c r="B204" s="1"/>
      <c r="C204" s="3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spans="1:43" ht="15.75" customHeight="1">
      <c r="A205" s="1"/>
      <c r="B205" s="1"/>
      <c r="C205" s="3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spans="1:43" ht="15.75" customHeight="1">
      <c r="A206" s="1"/>
      <c r="B206" s="1"/>
      <c r="C206" s="3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spans="1:43" ht="15.75" customHeight="1">
      <c r="A207" s="1"/>
      <c r="B207" s="1"/>
      <c r="C207" s="3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spans="1:43" ht="15.75" customHeight="1">
      <c r="A208" s="1"/>
      <c r="B208" s="1"/>
      <c r="C208" s="3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spans="1:43" ht="15.75" customHeight="1">
      <c r="A209" s="1"/>
      <c r="B209" s="1"/>
      <c r="C209" s="3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spans="1:43" ht="15.75" customHeight="1">
      <c r="A210" s="1"/>
      <c r="B210" s="1"/>
      <c r="C210" s="3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spans="1:43" ht="15.75" customHeight="1">
      <c r="A211" s="1"/>
      <c r="B211" s="1"/>
      <c r="C211" s="3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spans="1:43" ht="15.75" customHeight="1">
      <c r="A212" s="1"/>
      <c r="B212" s="1"/>
      <c r="C212" s="3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spans="1:43" ht="15.75" customHeight="1">
      <c r="A213" s="1"/>
      <c r="B213" s="1"/>
      <c r="C213" s="3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spans="1:43" ht="15.75" customHeight="1">
      <c r="A214" s="1"/>
      <c r="B214" s="1"/>
      <c r="C214" s="3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spans="1:43" ht="15.75" customHeight="1">
      <c r="A215" s="1"/>
      <c r="B215" s="1"/>
      <c r="C215" s="3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spans="1:43" ht="15.75" customHeight="1">
      <c r="A216" s="1"/>
      <c r="B216" s="1"/>
      <c r="C216" s="3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spans="1:43" ht="15.75" customHeight="1">
      <c r="A217" s="1"/>
      <c r="B217" s="1"/>
      <c r="C217" s="3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spans="1:43" ht="15.75" customHeight="1">
      <c r="A218" s="1"/>
      <c r="B218" s="1"/>
      <c r="C218" s="3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spans="1:43" ht="15.75" customHeight="1">
      <c r="A219" s="1"/>
      <c r="B219" s="1"/>
      <c r="C219" s="3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spans="1:43" ht="15.75" customHeight="1">
      <c r="A220" s="1"/>
      <c r="B220" s="1"/>
      <c r="C220" s="3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spans="1:43" ht="15.75" customHeight="1">
      <c r="A221" s="1"/>
      <c r="B221" s="1"/>
      <c r="C221" s="3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spans="1:43" ht="15.75" customHeight="1">
      <c r="A222" s="1"/>
      <c r="B222" s="1"/>
      <c r="C222" s="3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spans="1:43" ht="15.75" customHeight="1">
      <c r="A223" s="1"/>
      <c r="B223" s="1"/>
      <c r="C223" s="3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spans="1:43" ht="15.75" customHeight="1">
      <c r="A224" s="1"/>
      <c r="B224" s="1"/>
      <c r="C224" s="3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spans="1:43" ht="15.75" customHeight="1">
      <c r="A225" s="1"/>
      <c r="B225" s="1"/>
      <c r="C225" s="3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spans="1:43" ht="15.75" customHeight="1">
      <c r="A226" s="1"/>
      <c r="B226" s="1"/>
      <c r="C226" s="3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spans="1:43" ht="15.75" customHeight="1">
      <c r="A227" s="1"/>
      <c r="B227" s="1"/>
      <c r="C227" s="3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spans="1:43" ht="15.75" customHeight="1">
      <c r="A228" s="1"/>
      <c r="B228" s="1"/>
      <c r="C228" s="3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spans="1:43" ht="15.75" customHeight="1">
      <c r="A229" s="1"/>
      <c r="B229" s="1"/>
      <c r="C229" s="3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spans="1:43" ht="15.75" customHeight="1">
      <c r="A230" s="1"/>
      <c r="B230" s="1"/>
      <c r="C230" s="3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spans="1:43" ht="15.75" customHeight="1">
      <c r="A231" s="1"/>
      <c r="B231" s="1"/>
      <c r="C231" s="3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spans="1:43" ht="15.75" customHeight="1"/>
    <row r="233" spans="1:43" ht="15.75" customHeight="1"/>
    <row r="234" spans="1:43" ht="15.75" customHeight="1"/>
    <row r="235" spans="1:43" ht="15.75" customHeight="1"/>
    <row r="236" spans="1:43" ht="15.75" customHeight="1"/>
    <row r="237" spans="1:43" ht="15.75" customHeight="1"/>
    <row r="238" spans="1:43" ht="15.75" customHeight="1"/>
    <row r="239" spans="1:43" ht="15.75" customHeight="1"/>
    <row r="240" spans="1:43"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N6:AP6"/>
    <mergeCell ref="Q6:R6"/>
    <mergeCell ref="S6:U6"/>
    <mergeCell ref="V6:W6"/>
    <mergeCell ref="X6:Y6"/>
    <mergeCell ref="Z6:AA6"/>
    <mergeCell ref="AB6:AD6"/>
    <mergeCell ref="AE6:AF6"/>
    <mergeCell ref="M6:N6"/>
    <mergeCell ref="O6:P6"/>
    <mergeCell ref="AG6:AH6"/>
    <mergeCell ref="AI6:AJ6"/>
    <mergeCell ref="AK6:AM6"/>
    <mergeCell ref="C4:H4"/>
    <mergeCell ref="D6:E6"/>
    <mergeCell ref="F6:G6"/>
    <mergeCell ref="H6:I6"/>
    <mergeCell ref="J6:L6"/>
  </mergeCells>
  <conditionalFormatting sqref="L8:L14 U8:U14 AD8:AD14 AM8:AM14 AP8:AP14">
    <cfRule type="cellIs" dxfId="7" priority="1" operator="lessThan">
      <formula>0</formula>
    </cfRule>
  </conditionalFormatting>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1000"/>
  <sheetViews>
    <sheetView showGridLines="0" topLeftCell="A4" workbookViewId="0"/>
  </sheetViews>
  <sheetFormatPr defaultColWidth="12.625" defaultRowHeight="15" customHeight="1"/>
  <cols>
    <col min="1" max="2" width="3.125" customWidth="1"/>
    <col min="3" max="3" width="26.125" customWidth="1"/>
    <col min="4" max="4" width="16" customWidth="1"/>
    <col min="5" max="43" width="11" customWidth="1"/>
    <col min="44" max="44" width="3.125" customWidth="1"/>
  </cols>
  <sheetData>
    <row r="1" spans="1:44" ht="15.75" customHeight="1">
      <c r="A1" s="92"/>
      <c r="B1" s="92"/>
      <c r="C1" s="9"/>
      <c r="D1" s="9"/>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row>
    <row r="2" spans="1:44" ht="15.75" customHeight="1">
      <c r="A2" s="92"/>
      <c r="B2" s="93"/>
      <c r="C2" s="94"/>
      <c r="D2" s="94"/>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6"/>
    </row>
    <row r="3" spans="1:44" ht="46.5" customHeight="1">
      <c r="A3" s="92"/>
      <c r="B3" s="97"/>
      <c r="C3" s="98"/>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99"/>
    </row>
    <row r="4" spans="1:44" ht="31.5" customHeight="1">
      <c r="A4" s="92"/>
      <c r="B4" s="97"/>
      <c r="C4" s="276" t="s">
        <v>47</v>
      </c>
      <c r="D4" s="267"/>
      <c r="E4" s="267"/>
      <c r="F4" s="267"/>
      <c r="G4" s="267"/>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9"/>
    </row>
    <row r="5" spans="1:44" ht="31.5" customHeight="1">
      <c r="A5" s="92"/>
      <c r="B5" s="97"/>
      <c r="C5" s="100"/>
      <c r="D5" s="100"/>
      <c r="E5" s="92"/>
      <c r="F5" s="92"/>
      <c r="G5" s="92"/>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9"/>
    </row>
    <row r="6" spans="1:44" ht="14.25" customHeight="1">
      <c r="A6" s="101"/>
      <c r="B6" s="102"/>
      <c r="C6" s="103"/>
      <c r="D6" s="103"/>
      <c r="E6" s="283" t="s">
        <v>15</v>
      </c>
      <c r="F6" s="280"/>
      <c r="G6" s="283" t="s">
        <v>16</v>
      </c>
      <c r="H6" s="280"/>
      <c r="I6" s="283" t="s">
        <v>17</v>
      </c>
      <c r="J6" s="280"/>
      <c r="K6" s="284" t="s">
        <v>18</v>
      </c>
      <c r="L6" s="282"/>
      <c r="M6" s="280"/>
      <c r="N6" s="283" t="s">
        <v>19</v>
      </c>
      <c r="O6" s="280"/>
      <c r="P6" s="283" t="s">
        <v>20</v>
      </c>
      <c r="Q6" s="280"/>
      <c r="R6" s="283" t="s">
        <v>21</v>
      </c>
      <c r="S6" s="280"/>
      <c r="T6" s="284" t="s">
        <v>22</v>
      </c>
      <c r="U6" s="282"/>
      <c r="V6" s="280"/>
      <c r="W6" s="283" t="s">
        <v>23</v>
      </c>
      <c r="X6" s="280"/>
      <c r="Y6" s="283" t="s">
        <v>24</v>
      </c>
      <c r="Z6" s="280"/>
      <c r="AA6" s="283" t="s">
        <v>25</v>
      </c>
      <c r="AB6" s="280"/>
      <c r="AC6" s="284" t="s">
        <v>26</v>
      </c>
      <c r="AD6" s="282"/>
      <c r="AE6" s="280"/>
      <c r="AF6" s="283" t="s">
        <v>27</v>
      </c>
      <c r="AG6" s="280"/>
      <c r="AH6" s="283" t="s">
        <v>28</v>
      </c>
      <c r="AI6" s="280"/>
      <c r="AJ6" s="283" t="s">
        <v>29</v>
      </c>
      <c r="AK6" s="280"/>
      <c r="AL6" s="284" t="s">
        <v>30</v>
      </c>
      <c r="AM6" s="282"/>
      <c r="AN6" s="280"/>
      <c r="AO6" s="284" t="s">
        <v>48</v>
      </c>
      <c r="AP6" s="282"/>
      <c r="AQ6" s="282"/>
      <c r="AR6" s="99"/>
    </row>
    <row r="7" spans="1:44" ht="30" customHeight="1">
      <c r="A7" s="104"/>
      <c r="B7" s="105"/>
      <c r="C7" s="44"/>
      <c r="D7" s="44"/>
      <c r="E7" s="45" t="s">
        <v>32</v>
      </c>
      <c r="F7" s="48" t="s">
        <v>33</v>
      </c>
      <c r="G7" s="45" t="s">
        <v>32</v>
      </c>
      <c r="H7" s="48" t="s">
        <v>33</v>
      </c>
      <c r="I7" s="45" t="s">
        <v>32</v>
      </c>
      <c r="J7" s="48" t="s">
        <v>33</v>
      </c>
      <c r="K7" s="49" t="s">
        <v>32</v>
      </c>
      <c r="L7" s="50" t="s">
        <v>33</v>
      </c>
      <c r="M7" s="51" t="s">
        <v>34</v>
      </c>
      <c r="N7" s="45" t="s">
        <v>32</v>
      </c>
      <c r="O7" s="48" t="s">
        <v>33</v>
      </c>
      <c r="P7" s="45" t="s">
        <v>32</v>
      </c>
      <c r="Q7" s="48" t="s">
        <v>33</v>
      </c>
      <c r="R7" s="45" t="s">
        <v>32</v>
      </c>
      <c r="S7" s="48" t="s">
        <v>33</v>
      </c>
      <c r="T7" s="49" t="s">
        <v>32</v>
      </c>
      <c r="U7" s="50" t="s">
        <v>33</v>
      </c>
      <c r="V7" s="51" t="s">
        <v>34</v>
      </c>
      <c r="W7" s="45" t="s">
        <v>32</v>
      </c>
      <c r="X7" s="48" t="s">
        <v>33</v>
      </c>
      <c r="Y7" s="45" t="s">
        <v>32</v>
      </c>
      <c r="Z7" s="48" t="s">
        <v>33</v>
      </c>
      <c r="AA7" s="45" t="s">
        <v>32</v>
      </c>
      <c r="AB7" s="48" t="s">
        <v>33</v>
      </c>
      <c r="AC7" s="49" t="s">
        <v>32</v>
      </c>
      <c r="AD7" s="50" t="s">
        <v>33</v>
      </c>
      <c r="AE7" s="51" t="s">
        <v>34</v>
      </c>
      <c r="AF7" s="45" t="s">
        <v>32</v>
      </c>
      <c r="AG7" s="48" t="s">
        <v>33</v>
      </c>
      <c r="AH7" s="45" t="s">
        <v>32</v>
      </c>
      <c r="AI7" s="48" t="s">
        <v>33</v>
      </c>
      <c r="AJ7" s="45" t="s">
        <v>32</v>
      </c>
      <c r="AK7" s="48" t="s">
        <v>33</v>
      </c>
      <c r="AL7" s="49" t="s">
        <v>32</v>
      </c>
      <c r="AM7" s="50" t="s">
        <v>33</v>
      </c>
      <c r="AN7" s="51" t="s">
        <v>34</v>
      </c>
      <c r="AO7" s="49" t="s">
        <v>32</v>
      </c>
      <c r="AP7" s="50" t="s">
        <v>33</v>
      </c>
      <c r="AQ7" s="52" t="s">
        <v>34</v>
      </c>
      <c r="AR7" s="106"/>
    </row>
    <row r="8" spans="1:44" ht="15.75" customHeight="1">
      <c r="A8" s="92"/>
      <c r="B8" s="97"/>
      <c r="C8" s="285" t="s">
        <v>49</v>
      </c>
      <c r="D8" s="286"/>
      <c r="E8" s="107"/>
      <c r="F8" s="108"/>
      <c r="G8" s="107"/>
      <c r="H8" s="108"/>
      <c r="I8" s="107"/>
      <c r="J8" s="108"/>
      <c r="K8" s="107"/>
      <c r="L8" s="109"/>
      <c r="M8" s="108"/>
      <c r="N8" s="107"/>
      <c r="O8" s="108"/>
      <c r="P8" s="107"/>
      <c r="Q8" s="108"/>
      <c r="R8" s="107"/>
      <c r="S8" s="108"/>
      <c r="T8" s="107"/>
      <c r="U8" s="109"/>
      <c r="V8" s="110"/>
      <c r="W8" s="107"/>
      <c r="X8" s="108"/>
      <c r="Y8" s="107"/>
      <c r="Z8" s="108"/>
      <c r="AA8" s="107"/>
      <c r="AB8" s="108"/>
      <c r="AC8" s="107"/>
      <c r="AD8" s="109"/>
      <c r="AE8" s="108"/>
      <c r="AF8" s="111"/>
      <c r="AG8" s="112"/>
      <c r="AH8" s="111"/>
      <c r="AI8" s="112"/>
      <c r="AJ8" s="111"/>
      <c r="AK8" s="112"/>
      <c r="AL8" s="111"/>
      <c r="AM8" s="113"/>
      <c r="AN8" s="110"/>
      <c r="AO8" s="107"/>
      <c r="AP8" s="114"/>
      <c r="AQ8" s="114"/>
      <c r="AR8" s="99"/>
    </row>
    <row r="9" spans="1:44" ht="15.75" customHeight="1">
      <c r="A9" s="115"/>
      <c r="B9" s="116"/>
      <c r="C9" s="287" t="s">
        <v>50</v>
      </c>
      <c r="D9" s="267"/>
      <c r="E9" s="117">
        <v>100</v>
      </c>
      <c r="F9" s="118">
        <v>100</v>
      </c>
      <c r="G9" s="117">
        <v>100</v>
      </c>
      <c r="H9" s="118">
        <v>100</v>
      </c>
      <c r="I9" s="117">
        <v>100</v>
      </c>
      <c r="J9" s="118">
        <v>100</v>
      </c>
      <c r="K9" s="117">
        <f t="shared" ref="K9:L9" si="0">SUM(E9+G9+I9)</f>
        <v>300</v>
      </c>
      <c r="L9" s="119">
        <f t="shared" si="0"/>
        <v>300</v>
      </c>
      <c r="M9" s="118">
        <f t="shared" ref="M9:M11" si="1">K9-L9</f>
        <v>0</v>
      </c>
      <c r="N9" s="117"/>
      <c r="O9" s="118"/>
      <c r="P9" s="117"/>
      <c r="Q9" s="118"/>
      <c r="R9" s="117"/>
      <c r="S9" s="118"/>
      <c r="T9" s="117">
        <f t="shared" ref="T9:U9" si="2">SUM(N9+P9+R9)</f>
        <v>0</v>
      </c>
      <c r="U9" s="119">
        <f t="shared" si="2"/>
        <v>0</v>
      </c>
      <c r="V9" s="118">
        <f t="shared" ref="V9:V11" si="3">T9-U9</f>
        <v>0</v>
      </c>
      <c r="W9" s="117"/>
      <c r="X9" s="118"/>
      <c r="Y9" s="117"/>
      <c r="Z9" s="118"/>
      <c r="AA9" s="117"/>
      <c r="AB9" s="118"/>
      <c r="AC9" s="117">
        <f t="shared" ref="AC9:AD9" si="4">SUM(W9+Y9+AA9)</f>
        <v>0</v>
      </c>
      <c r="AD9" s="119">
        <f t="shared" si="4"/>
        <v>0</v>
      </c>
      <c r="AE9" s="118">
        <f t="shared" ref="AE9:AE11" si="5">AC9-AD9</f>
        <v>0</v>
      </c>
      <c r="AF9" s="117"/>
      <c r="AG9" s="118"/>
      <c r="AH9" s="117"/>
      <c r="AI9" s="118"/>
      <c r="AJ9" s="117"/>
      <c r="AK9" s="118"/>
      <c r="AL9" s="117">
        <f t="shared" ref="AL9:AM9" si="6">SUM(AF9+AH9+AJ9)</f>
        <v>0</v>
      </c>
      <c r="AM9" s="119">
        <f t="shared" si="6"/>
        <v>0</v>
      </c>
      <c r="AN9" s="118">
        <f t="shared" ref="AN9:AN11" si="7">AL9-AM9</f>
        <v>0</v>
      </c>
      <c r="AO9" s="117">
        <f t="shared" ref="AO9:AP9" si="8">SUM(K9+T9+AC9+AL9)</f>
        <v>300</v>
      </c>
      <c r="AP9" s="119">
        <f t="shared" si="8"/>
        <v>300</v>
      </c>
      <c r="AQ9" s="119">
        <f t="shared" ref="AQ9:AQ11" si="9">AO9-AP9</f>
        <v>0</v>
      </c>
      <c r="AR9" s="99"/>
    </row>
    <row r="10" spans="1:44" ht="15.75" customHeight="1">
      <c r="A10" s="115"/>
      <c r="B10" s="116"/>
      <c r="C10" s="287" t="s">
        <v>51</v>
      </c>
      <c r="D10" s="267"/>
      <c r="E10" s="117">
        <v>100</v>
      </c>
      <c r="F10" s="118">
        <v>100</v>
      </c>
      <c r="G10" s="117">
        <v>100</v>
      </c>
      <c r="H10" s="118">
        <v>100</v>
      </c>
      <c r="I10" s="117">
        <v>100</v>
      </c>
      <c r="J10" s="118">
        <v>100</v>
      </c>
      <c r="K10" s="117">
        <f t="shared" ref="K10:L10" si="10">SUM(E10+G10+I10)</f>
        <v>300</v>
      </c>
      <c r="L10" s="119">
        <f t="shared" si="10"/>
        <v>300</v>
      </c>
      <c r="M10" s="118">
        <f t="shared" si="1"/>
        <v>0</v>
      </c>
      <c r="N10" s="117"/>
      <c r="O10" s="118"/>
      <c r="P10" s="117"/>
      <c r="Q10" s="118"/>
      <c r="R10" s="117"/>
      <c r="S10" s="118"/>
      <c r="T10" s="117">
        <f t="shared" ref="T10:U10" si="11">SUM(N10+P10+R10)</f>
        <v>0</v>
      </c>
      <c r="U10" s="119">
        <f t="shared" si="11"/>
        <v>0</v>
      </c>
      <c r="V10" s="118">
        <f t="shared" si="3"/>
        <v>0</v>
      </c>
      <c r="W10" s="117"/>
      <c r="X10" s="118"/>
      <c r="Y10" s="117"/>
      <c r="Z10" s="118"/>
      <c r="AA10" s="117"/>
      <c r="AB10" s="118"/>
      <c r="AC10" s="117">
        <f t="shared" ref="AC10:AD10" si="12">SUM(W10+Y10+AA10)</f>
        <v>0</v>
      </c>
      <c r="AD10" s="119">
        <f t="shared" si="12"/>
        <v>0</v>
      </c>
      <c r="AE10" s="118">
        <f t="shared" si="5"/>
        <v>0</v>
      </c>
      <c r="AF10" s="117"/>
      <c r="AG10" s="118"/>
      <c r="AH10" s="117"/>
      <c r="AI10" s="118"/>
      <c r="AJ10" s="117"/>
      <c r="AK10" s="118"/>
      <c r="AL10" s="117">
        <f t="shared" ref="AL10:AM10" si="13">SUM(AF10+AH10+AJ10)</f>
        <v>0</v>
      </c>
      <c r="AM10" s="119">
        <f t="shared" si="13"/>
        <v>0</v>
      </c>
      <c r="AN10" s="118">
        <f t="shared" si="7"/>
        <v>0</v>
      </c>
      <c r="AO10" s="117">
        <f t="shared" ref="AO10:AP10" si="14">SUM(K10+T10+AC10+AL10)</f>
        <v>300</v>
      </c>
      <c r="AP10" s="119">
        <f t="shared" si="14"/>
        <v>300</v>
      </c>
      <c r="AQ10" s="119">
        <f t="shared" si="9"/>
        <v>0</v>
      </c>
      <c r="AR10" s="99"/>
    </row>
    <row r="11" spans="1:44" ht="15.75" customHeight="1">
      <c r="A11" s="115"/>
      <c r="B11" s="116"/>
      <c r="C11" s="288" t="s">
        <v>52</v>
      </c>
      <c r="D11" s="267"/>
      <c r="E11" s="117">
        <v>100</v>
      </c>
      <c r="F11" s="118">
        <v>100</v>
      </c>
      <c r="G11" s="117">
        <v>100</v>
      </c>
      <c r="H11" s="118">
        <v>100</v>
      </c>
      <c r="I11" s="117">
        <v>100</v>
      </c>
      <c r="J11" s="118">
        <v>100</v>
      </c>
      <c r="K11" s="117">
        <f>E11+G11+I11</f>
        <v>300</v>
      </c>
      <c r="L11" s="119">
        <f>SUM(F11+H11+J11)</f>
        <v>300</v>
      </c>
      <c r="M11" s="118">
        <f t="shared" si="1"/>
        <v>0</v>
      </c>
      <c r="N11" s="117"/>
      <c r="O11" s="118"/>
      <c r="P11" s="117"/>
      <c r="Q11" s="118"/>
      <c r="R11" s="117"/>
      <c r="S11" s="118"/>
      <c r="T11" s="117">
        <f t="shared" ref="T11:U11" si="15">SUM(N11+P11+R11)</f>
        <v>0</v>
      </c>
      <c r="U11" s="119">
        <f t="shared" si="15"/>
        <v>0</v>
      </c>
      <c r="V11" s="118">
        <f t="shared" si="3"/>
        <v>0</v>
      </c>
      <c r="W11" s="117"/>
      <c r="X11" s="118"/>
      <c r="Y11" s="117"/>
      <c r="Z11" s="118"/>
      <c r="AA11" s="117"/>
      <c r="AB11" s="118"/>
      <c r="AC11" s="117">
        <f t="shared" ref="AC11:AD11" si="16">SUM(W11+Y11+AA11)</f>
        <v>0</v>
      </c>
      <c r="AD11" s="119">
        <f t="shared" si="16"/>
        <v>0</v>
      </c>
      <c r="AE11" s="118">
        <f t="shared" si="5"/>
        <v>0</v>
      </c>
      <c r="AF11" s="117"/>
      <c r="AG11" s="118"/>
      <c r="AH11" s="117"/>
      <c r="AI11" s="118"/>
      <c r="AJ11" s="117"/>
      <c r="AK11" s="118"/>
      <c r="AL11" s="117">
        <f t="shared" ref="AL11:AM11" si="17">SUM(AF11+AH11+AJ11)</f>
        <v>0</v>
      </c>
      <c r="AM11" s="119">
        <f t="shared" si="17"/>
        <v>0</v>
      </c>
      <c r="AN11" s="118">
        <f t="shared" si="7"/>
        <v>0</v>
      </c>
      <c r="AO11" s="117">
        <f t="shared" ref="AO11:AP11" si="18">SUM(K11+T11+AC11+AL11)</f>
        <v>300</v>
      </c>
      <c r="AP11" s="119">
        <f t="shared" si="18"/>
        <v>300</v>
      </c>
      <c r="AQ11" s="119">
        <f t="shared" si="9"/>
        <v>0</v>
      </c>
      <c r="AR11" s="99"/>
    </row>
    <row r="12" spans="1:44" ht="15.75" customHeight="1">
      <c r="A12" s="92"/>
      <c r="B12" s="97"/>
      <c r="C12" s="289" t="s">
        <v>53</v>
      </c>
      <c r="D12" s="265"/>
      <c r="E12" s="120"/>
      <c r="F12" s="121"/>
      <c r="G12" s="120"/>
      <c r="H12" s="121"/>
      <c r="I12" s="120"/>
      <c r="J12" s="121"/>
      <c r="K12" s="120"/>
      <c r="L12" s="122"/>
      <c r="M12" s="121"/>
      <c r="N12" s="120"/>
      <c r="O12" s="121"/>
      <c r="P12" s="120"/>
      <c r="Q12" s="121"/>
      <c r="R12" s="120"/>
      <c r="S12" s="121"/>
      <c r="T12" s="120"/>
      <c r="U12" s="122"/>
      <c r="V12" s="121"/>
      <c r="W12" s="120"/>
      <c r="X12" s="121"/>
      <c r="Y12" s="120"/>
      <c r="Z12" s="121"/>
      <c r="AA12" s="120"/>
      <c r="AB12" s="121"/>
      <c r="AC12" s="120"/>
      <c r="AD12" s="122"/>
      <c r="AE12" s="121"/>
      <c r="AF12" s="120"/>
      <c r="AG12" s="121"/>
      <c r="AH12" s="120"/>
      <c r="AI12" s="121"/>
      <c r="AJ12" s="120"/>
      <c r="AK12" s="121"/>
      <c r="AL12" s="120"/>
      <c r="AM12" s="122"/>
      <c r="AN12" s="121"/>
      <c r="AO12" s="120"/>
      <c r="AP12" s="122"/>
      <c r="AQ12" s="122"/>
      <c r="AR12" s="99"/>
    </row>
    <row r="13" spans="1:44" ht="15.75" customHeight="1">
      <c r="A13" s="115"/>
      <c r="B13" s="116"/>
      <c r="C13" s="287" t="s">
        <v>54</v>
      </c>
      <c r="D13" s="267"/>
      <c r="E13" s="117">
        <v>100</v>
      </c>
      <c r="F13" s="118">
        <v>100</v>
      </c>
      <c r="G13" s="117">
        <v>100</v>
      </c>
      <c r="H13" s="118">
        <v>100</v>
      </c>
      <c r="I13" s="117">
        <v>100</v>
      </c>
      <c r="J13" s="118">
        <v>100</v>
      </c>
      <c r="K13" s="117">
        <f t="shared" ref="K13:L13" si="19">SUM(E13+G13+I13)</f>
        <v>300</v>
      </c>
      <c r="L13" s="119">
        <f t="shared" si="19"/>
        <v>300</v>
      </c>
      <c r="M13" s="118">
        <f t="shared" ref="M13:M14" si="20">K13-L13</f>
        <v>0</v>
      </c>
      <c r="N13" s="117"/>
      <c r="O13" s="118"/>
      <c r="P13" s="117"/>
      <c r="Q13" s="118"/>
      <c r="R13" s="117"/>
      <c r="S13" s="118"/>
      <c r="T13" s="117">
        <f t="shared" ref="T13:U13" si="21">SUM(N13+P13+R13)</f>
        <v>0</v>
      </c>
      <c r="U13" s="119">
        <f t="shared" si="21"/>
        <v>0</v>
      </c>
      <c r="V13" s="118">
        <f t="shared" ref="V13:V14" si="22">T13-U13</f>
        <v>0</v>
      </c>
      <c r="W13" s="117"/>
      <c r="X13" s="118"/>
      <c r="Y13" s="117"/>
      <c r="Z13" s="118"/>
      <c r="AA13" s="117"/>
      <c r="AB13" s="118"/>
      <c r="AC13" s="117">
        <f t="shared" ref="AC13:AD13" si="23">SUM(W13+Y13+AA13)</f>
        <v>0</v>
      </c>
      <c r="AD13" s="119">
        <f t="shared" si="23"/>
        <v>0</v>
      </c>
      <c r="AE13" s="118">
        <f t="shared" ref="AE13:AE14" si="24">AC13-AD13</f>
        <v>0</v>
      </c>
      <c r="AF13" s="117"/>
      <c r="AG13" s="118"/>
      <c r="AH13" s="117"/>
      <c r="AI13" s="118"/>
      <c r="AJ13" s="117"/>
      <c r="AK13" s="118"/>
      <c r="AL13" s="117">
        <f t="shared" ref="AL13:AM13" si="25">SUM(AF13+AH13+AJ13)</f>
        <v>0</v>
      </c>
      <c r="AM13" s="119">
        <f t="shared" si="25"/>
        <v>0</v>
      </c>
      <c r="AN13" s="118">
        <f t="shared" ref="AN13:AN14" si="26">AL13-AM13</f>
        <v>0</v>
      </c>
      <c r="AO13" s="117">
        <f t="shared" ref="AO13:AP13" si="27">SUM(K13+T13+AC13+AL13)</f>
        <v>300</v>
      </c>
      <c r="AP13" s="119">
        <f t="shared" si="27"/>
        <v>300</v>
      </c>
      <c r="AQ13" s="119">
        <f t="shared" ref="AQ13:AQ14" si="28">AO13-AP13</f>
        <v>0</v>
      </c>
      <c r="AR13" s="99"/>
    </row>
    <row r="14" spans="1:44" ht="15.75" customHeight="1">
      <c r="A14" s="115"/>
      <c r="B14" s="116"/>
      <c r="C14" s="287" t="s">
        <v>55</v>
      </c>
      <c r="D14" s="267"/>
      <c r="E14" s="117">
        <v>100</v>
      </c>
      <c r="F14" s="118">
        <v>100</v>
      </c>
      <c r="G14" s="117">
        <v>100</v>
      </c>
      <c r="H14" s="118">
        <v>100</v>
      </c>
      <c r="I14" s="117">
        <v>100</v>
      </c>
      <c r="J14" s="118">
        <v>100</v>
      </c>
      <c r="K14" s="117">
        <f t="shared" ref="K14:L14" si="29">SUM(E14+G14+I14)</f>
        <v>300</v>
      </c>
      <c r="L14" s="119">
        <f t="shared" si="29"/>
        <v>300</v>
      </c>
      <c r="M14" s="118">
        <f t="shared" si="20"/>
        <v>0</v>
      </c>
      <c r="N14" s="117"/>
      <c r="O14" s="118"/>
      <c r="P14" s="117"/>
      <c r="Q14" s="118"/>
      <c r="R14" s="117"/>
      <c r="S14" s="118"/>
      <c r="T14" s="117">
        <f t="shared" ref="T14:U14" si="30">SUM(N14+P14+R14)</f>
        <v>0</v>
      </c>
      <c r="U14" s="119">
        <f t="shared" si="30"/>
        <v>0</v>
      </c>
      <c r="V14" s="118">
        <f t="shared" si="22"/>
        <v>0</v>
      </c>
      <c r="W14" s="117"/>
      <c r="X14" s="118"/>
      <c r="Y14" s="117"/>
      <c r="Z14" s="118"/>
      <c r="AA14" s="117"/>
      <c r="AB14" s="118"/>
      <c r="AC14" s="117">
        <f t="shared" ref="AC14:AD14" si="31">SUM(W14+Y14+AA14)</f>
        <v>0</v>
      </c>
      <c r="AD14" s="119">
        <f t="shared" si="31"/>
        <v>0</v>
      </c>
      <c r="AE14" s="118">
        <f t="shared" si="24"/>
        <v>0</v>
      </c>
      <c r="AF14" s="117"/>
      <c r="AG14" s="118"/>
      <c r="AH14" s="117"/>
      <c r="AI14" s="118"/>
      <c r="AJ14" s="117"/>
      <c r="AK14" s="118"/>
      <c r="AL14" s="117">
        <f t="shared" ref="AL14:AM14" si="32">SUM(AF14+AH14+AJ14)</f>
        <v>0</v>
      </c>
      <c r="AM14" s="119">
        <f t="shared" si="32"/>
        <v>0</v>
      </c>
      <c r="AN14" s="118">
        <f t="shared" si="26"/>
        <v>0</v>
      </c>
      <c r="AO14" s="117">
        <f t="shared" ref="AO14:AP14" si="33">SUM(K14+T14+AC14+AL14)</f>
        <v>300</v>
      </c>
      <c r="AP14" s="119">
        <f t="shared" si="33"/>
        <v>300</v>
      </c>
      <c r="AQ14" s="119">
        <f t="shared" si="28"/>
        <v>0</v>
      </c>
      <c r="AR14" s="99"/>
    </row>
    <row r="15" spans="1:44" ht="15.75" customHeight="1">
      <c r="A15" s="92"/>
      <c r="B15" s="97"/>
      <c r="C15" s="290" t="s">
        <v>56</v>
      </c>
      <c r="D15" s="265"/>
      <c r="E15" s="123"/>
      <c r="F15" s="124"/>
      <c r="G15" s="123"/>
      <c r="H15" s="124"/>
      <c r="I15" s="123"/>
      <c r="J15" s="124"/>
      <c r="K15" s="123"/>
      <c r="L15" s="125"/>
      <c r="M15" s="124"/>
      <c r="N15" s="123"/>
      <c r="O15" s="124"/>
      <c r="P15" s="123"/>
      <c r="Q15" s="124"/>
      <c r="R15" s="123"/>
      <c r="S15" s="124"/>
      <c r="T15" s="123"/>
      <c r="U15" s="125"/>
      <c r="V15" s="124"/>
      <c r="W15" s="123"/>
      <c r="X15" s="124"/>
      <c r="Y15" s="123"/>
      <c r="Z15" s="124"/>
      <c r="AA15" s="123"/>
      <c r="AB15" s="124"/>
      <c r="AC15" s="123"/>
      <c r="AD15" s="125"/>
      <c r="AE15" s="124"/>
      <c r="AF15" s="123"/>
      <c r="AG15" s="124"/>
      <c r="AH15" s="123"/>
      <c r="AI15" s="124"/>
      <c r="AJ15" s="123"/>
      <c r="AK15" s="124"/>
      <c r="AL15" s="123"/>
      <c r="AM15" s="125"/>
      <c r="AN15" s="124"/>
      <c r="AO15" s="123"/>
      <c r="AP15" s="125"/>
      <c r="AQ15" s="125"/>
      <c r="AR15" s="99"/>
    </row>
    <row r="16" spans="1:44" ht="15.75" customHeight="1">
      <c r="A16" s="115"/>
      <c r="B16" s="116"/>
      <c r="C16" s="287" t="s">
        <v>57</v>
      </c>
      <c r="D16" s="267"/>
      <c r="E16" s="117">
        <v>100</v>
      </c>
      <c r="F16" s="118">
        <v>100</v>
      </c>
      <c r="G16" s="117">
        <v>100</v>
      </c>
      <c r="H16" s="118">
        <v>100</v>
      </c>
      <c r="I16" s="117">
        <v>100</v>
      </c>
      <c r="J16" s="118">
        <v>100</v>
      </c>
      <c r="K16" s="117">
        <f t="shared" ref="K16:L16" si="34">SUM(E16+G16+I16)</f>
        <v>300</v>
      </c>
      <c r="L16" s="119">
        <f t="shared" si="34"/>
        <v>300</v>
      </c>
      <c r="M16" s="118">
        <f t="shared" ref="M16:M19" si="35">K16-L16</f>
        <v>0</v>
      </c>
      <c r="N16" s="117"/>
      <c r="O16" s="118"/>
      <c r="P16" s="117"/>
      <c r="Q16" s="118"/>
      <c r="R16" s="117"/>
      <c r="S16" s="118"/>
      <c r="T16" s="117">
        <f t="shared" ref="T16:U16" si="36">SUM(N16+P16+R16)</f>
        <v>0</v>
      </c>
      <c r="U16" s="119">
        <f t="shared" si="36"/>
        <v>0</v>
      </c>
      <c r="V16" s="118">
        <f t="shared" ref="V16:V19" si="37">T16-U16</f>
        <v>0</v>
      </c>
      <c r="W16" s="117"/>
      <c r="X16" s="118"/>
      <c r="Y16" s="117"/>
      <c r="Z16" s="118"/>
      <c r="AA16" s="117"/>
      <c r="AB16" s="118"/>
      <c r="AC16" s="117">
        <f t="shared" ref="AC16:AD16" si="38">SUM(W16+Y16+AA16)</f>
        <v>0</v>
      </c>
      <c r="AD16" s="119">
        <f t="shared" si="38"/>
        <v>0</v>
      </c>
      <c r="AE16" s="118">
        <f t="shared" ref="AE16:AE19" si="39">AC16-AD16</f>
        <v>0</v>
      </c>
      <c r="AF16" s="117"/>
      <c r="AG16" s="118"/>
      <c r="AH16" s="117"/>
      <c r="AI16" s="118"/>
      <c r="AJ16" s="117"/>
      <c r="AK16" s="118"/>
      <c r="AL16" s="117">
        <f t="shared" ref="AL16:AM16" si="40">SUM(AF16+AH16+AJ16)</f>
        <v>0</v>
      </c>
      <c r="AM16" s="119">
        <f t="shared" si="40"/>
        <v>0</v>
      </c>
      <c r="AN16" s="118">
        <f t="shared" ref="AN16:AN19" si="41">AL16-AM16</f>
        <v>0</v>
      </c>
      <c r="AO16" s="117">
        <f t="shared" ref="AO16:AP16" si="42">SUM(K16+T16+AC16+AL16)</f>
        <v>300</v>
      </c>
      <c r="AP16" s="119">
        <f t="shared" si="42"/>
        <v>300</v>
      </c>
      <c r="AQ16" s="119">
        <f t="shared" ref="AQ16:AQ19" si="43">AO16-AP16</f>
        <v>0</v>
      </c>
      <c r="AR16" s="99"/>
    </row>
    <row r="17" spans="1:44" ht="15.75" customHeight="1">
      <c r="A17" s="115"/>
      <c r="B17" s="116"/>
      <c r="C17" s="287" t="s">
        <v>58</v>
      </c>
      <c r="D17" s="267"/>
      <c r="E17" s="117">
        <v>100</v>
      </c>
      <c r="F17" s="118">
        <v>100</v>
      </c>
      <c r="G17" s="117">
        <v>100</v>
      </c>
      <c r="H17" s="118">
        <v>100</v>
      </c>
      <c r="I17" s="117">
        <v>100</v>
      </c>
      <c r="J17" s="118">
        <v>100</v>
      </c>
      <c r="K17" s="117">
        <f t="shared" ref="K17:L17" si="44">SUM(E17+G17+I17)</f>
        <v>300</v>
      </c>
      <c r="L17" s="119">
        <f t="shared" si="44"/>
        <v>300</v>
      </c>
      <c r="M17" s="118">
        <f t="shared" si="35"/>
        <v>0</v>
      </c>
      <c r="N17" s="117"/>
      <c r="O17" s="118"/>
      <c r="P17" s="117"/>
      <c r="Q17" s="118"/>
      <c r="R17" s="117"/>
      <c r="S17" s="118"/>
      <c r="T17" s="117">
        <f t="shared" ref="T17:U17" si="45">SUM(N17+P17+R17)</f>
        <v>0</v>
      </c>
      <c r="U17" s="119">
        <f t="shared" si="45"/>
        <v>0</v>
      </c>
      <c r="V17" s="118">
        <f t="shared" si="37"/>
        <v>0</v>
      </c>
      <c r="W17" s="117"/>
      <c r="X17" s="118"/>
      <c r="Y17" s="117"/>
      <c r="Z17" s="118"/>
      <c r="AA17" s="117"/>
      <c r="AB17" s="118"/>
      <c r="AC17" s="117">
        <f t="shared" ref="AC17:AD17" si="46">SUM(W17+Y17+AA17)</f>
        <v>0</v>
      </c>
      <c r="AD17" s="119">
        <f t="shared" si="46"/>
        <v>0</v>
      </c>
      <c r="AE17" s="118">
        <f t="shared" si="39"/>
        <v>0</v>
      </c>
      <c r="AF17" s="117"/>
      <c r="AG17" s="118"/>
      <c r="AH17" s="117"/>
      <c r="AI17" s="118"/>
      <c r="AJ17" s="117"/>
      <c r="AK17" s="118"/>
      <c r="AL17" s="117">
        <f t="shared" ref="AL17:AM17" si="47">SUM(AF17+AH17+AJ17)</f>
        <v>0</v>
      </c>
      <c r="AM17" s="119">
        <f t="shared" si="47"/>
        <v>0</v>
      </c>
      <c r="AN17" s="118">
        <f t="shared" si="41"/>
        <v>0</v>
      </c>
      <c r="AO17" s="117">
        <f t="shared" ref="AO17:AP17" si="48">SUM(K17+T17+AC17+AL17)</f>
        <v>300</v>
      </c>
      <c r="AP17" s="119">
        <f t="shared" si="48"/>
        <v>300</v>
      </c>
      <c r="AQ17" s="119">
        <f t="shared" si="43"/>
        <v>0</v>
      </c>
      <c r="AR17" s="99"/>
    </row>
    <row r="18" spans="1:44" ht="15.75" customHeight="1">
      <c r="A18" s="115"/>
      <c r="B18" s="116"/>
      <c r="C18" s="287" t="s">
        <v>59</v>
      </c>
      <c r="D18" s="267"/>
      <c r="E18" s="117">
        <v>100</v>
      </c>
      <c r="F18" s="118">
        <v>100</v>
      </c>
      <c r="G18" s="117">
        <v>100</v>
      </c>
      <c r="H18" s="118">
        <v>100</v>
      </c>
      <c r="I18" s="117">
        <v>100</v>
      </c>
      <c r="J18" s="118">
        <v>100</v>
      </c>
      <c r="K18" s="117">
        <f t="shared" ref="K18:K19" si="49">SUM(E18+G18+I18)</f>
        <v>300</v>
      </c>
      <c r="L18" s="119">
        <v>300</v>
      </c>
      <c r="M18" s="118">
        <f t="shared" si="35"/>
        <v>0</v>
      </c>
      <c r="N18" s="117"/>
      <c r="O18" s="118"/>
      <c r="P18" s="117"/>
      <c r="Q18" s="118"/>
      <c r="R18" s="117"/>
      <c r="S18" s="118"/>
      <c r="T18" s="117">
        <f t="shared" ref="T18:U18" si="50">SUM(N18+P18+R18)</f>
        <v>0</v>
      </c>
      <c r="U18" s="119">
        <f t="shared" si="50"/>
        <v>0</v>
      </c>
      <c r="V18" s="118">
        <f t="shared" si="37"/>
        <v>0</v>
      </c>
      <c r="W18" s="117"/>
      <c r="X18" s="118"/>
      <c r="Y18" s="117"/>
      <c r="Z18" s="118"/>
      <c r="AA18" s="117"/>
      <c r="AB18" s="118"/>
      <c r="AC18" s="117">
        <f t="shared" ref="AC18:AD18" si="51">SUM(W18+Y18+AA18)</f>
        <v>0</v>
      </c>
      <c r="AD18" s="119">
        <f t="shared" si="51"/>
        <v>0</v>
      </c>
      <c r="AE18" s="118">
        <f t="shared" si="39"/>
        <v>0</v>
      </c>
      <c r="AF18" s="117"/>
      <c r="AG18" s="118"/>
      <c r="AH18" s="117"/>
      <c r="AI18" s="118"/>
      <c r="AJ18" s="117"/>
      <c r="AK18" s="118"/>
      <c r="AL18" s="117">
        <f t="shared" ref="AL18:AM18" si="52">SUM(AF18+AH18+AJ18)</f>
        <v>0</v>
      </c>
      <c r="AM18" s="119">
        <f t="shared" si="52"/>
        <v>0</v>
      </c>
      <c r="AN18" s="118">
        <f t="shared" si="41"/>
        <v>0</v>
      </c>
      <c r="AO18" s="117">
        <f t="shared" ref="AO18:AP18" si="53">SUM(K18+T18+AC18+AL18)</f>
        <v>300</v>
      </c>
      <c r="AP18" s="119">
        <f t="shared" si="53"/>
        <v>300</v>
      </c>
      <c r="AQ18" s="119">
        <f t="shared" si="43"/>
        <v>0</v>
      </c>
      <c r="AR18" s="99"/>
    </row>
    <row r="19" spans="1:44" ht="15.75" customHeight="1">
      <c r="A19" s="115"/>
      <c r="B19" s="116"/>
      <c r="C19" s="287" t="s">
        <v>60</v>
      </c>
      <c r="D19" s="267"/>
      <c r="E19" s="117">
        <v>100</v>
      </c>
      <c r="F19" s="118">
        <v>100</v>
      </c>
      <c r="G19" s="117">
        <v>100</v>
      </c>
      <c r="H19" s="118">
        <v>100</v>
      </c>
      <c r="I19" s="117">
        <v>100</v>
      </c>
      <c r="J19" s="118">
        <v>100</v>
      </c>
      <c r="K19" s="117">
        <f t="shared" si="49"/>
        <v>300</v>
      </c>
      <c r="L19" s="119">
        <f>SUM(F19+H19+J19)</f>
        <v>300</v>
      </c>
      <c r="M19" s="118">
        <f t="shared" si="35"/>
        <v>0</v>
      </c>
      <c r="N19" s="117"/>
      <c r="O19" s="118"/>
      <c r="P19" s="117"/>
      <c r="Q19" s="118"/>
      <c r="R19" s="117"/>
      <c r="S19" s="118"/>
      <c r="T19" s="117">
        <f t="shared" ref="T19:U19" si="54">SUM(N19+P19+R19)</f>
        <v>0</v>
      </c>
      <c r="U19" s="119">
        <f t="shared" si="54"/>
        <v>0</v>
      </c>
      <c r="V19" s="118">
        <f t="shared" si="37"/>
        <v>0</v>
      </c>
      <c r="W19" s="117"/>
      <c r="X19" s="118"/>
      <c r="Y19" s="117"/>
      <c r="Z19" s="118"/>
      <c r="AA19" s="117"/>
      <c r="AB19" s="118"/>
      <c r="AC19" s="117">
        <f t="shared" ref="AC19:AD19" si="55">SUM(W19+Y19+AA19)</f>
        <v>0</v>
      </c>
      <c r="AD19" s="119">
        <f t="shared" si="55"/>
        <v>0</v>
      </c>
      <c r="AE19" s="118">
        <f t="shared" si="39"/>
        <v>0</v>
      </c>
      <c r="AF19" s="117"/>
      <c r="AG19" s="118"/>
      <c r="AH19" s="117"/>
      <c r="AI19" s="118"/>
      <c r="AJ19" s="117"/>
      <c r="AK19" s="118"/>
      <c r="AL19" s="117">
        <f t="shared" ref="AL19:AM19" si="56">SUM(AF19+AH19+AJ19)</f>
        <v>0</v>
      </c>
      <c r="AM19" s="119">
        <f t="shared" si="56"/>
        <v>0</v>
      </c>
      <c r="AN19" s="118">
        <f t="shared" si="41"/>
        <v>0</v>
      </c>
      <c r="AO19" s="117">
        <f t="shared" ref="AO19:AP19" si="57">SUM(K19+T19+AC19+AL19)</f>
        <v>300</v>
      </c>
      <c r="AP19" s="119">
        <f t="shared" si="57"/>
        <v>300</v>
      </c>
      <c r="AQ19" s="119">
        <f t="shared" si="43"/>
        <v>0</v>
      </c>
      <c r="AR19" s="99"/>
    </row>
    <row r="20" spans="1:44" ht="15.75" customHeight="1">
      <c r="A20" s="92"/>
      <c r="B20" s="97"/>
      <c r="C20" s="291" t="s">
        <v>61</v>
      </c>
      <c r="D20" s="265"/>
      <c r="E20" s="126"/>
      <c r="F20" s="127"/>
      <c r="G20" s="126"/>
      <c r="H20" s="127"/>
      <c r="I20" s="126"/>
      <c r="J20" s="127"/>
      <c r="K20" s="126"/>
      <c r="L20" s="128"/>
      <c r="M20" s="127"/>
      <c r="N20" s="126"/>
      <c r="O20" s="127"/>
      <c r="P20" s="126"/>
      <c r="Q20" s="127"/>
      <c r="R20" s="126"/>
      <c r="S20" s="127"/>
      <c r="T20" s="126"/>
      <c r="U20" s="128"/>
      <c r="V20" s="127"/>
      <c r="W20" s="126"/>
      <c r="X20" s="127"/>
      <c r="Y20" s="126"/>
      <c r="Z20" s="127"/>
      <c r="AA20" s="126"/>
      <c r="AB20" s="127"/>
      <c r="AC20" s="126"/>
      <c r="AD20" s="128"/>
      <c r="AE20" s="127"/>
      <c r="AF20" s="126"/>
      <c r="AG20" s="127"/>
      <c r="AH20" s="126"/>
      <c r="AI20" s="127"/>
      <c r="AJ20" s="126"/>
      <c r="AK20" s="127"/>
      <c r="AL20" s="126"/>
      <c r="AM20" s="128"/>
      <c r="AN20" s="127"/>
      <c r="AO20" s="126"/>
      <c r="AP20" s="128"/>
      <c r="AQ20" s="128"/>
      <c r="AR20" s="99"/>
    </row>
    <row r="21" spans="1:44" ht="15.75" customHeight="1">
      <c r="A21" s="115"/>
      <c r="B21" s="116"/>
      <c r="C21" s="288" t="s">
        <v>62</v>
      </c>
      <c r="D21" s="267"/>
      <c r="E21" s="117">
        <v>100</v>
      </c>
      <c r="F21" s="118">
        <v>100</v>
      </c>
      <c r="G21" s="117">
        <v>100</v>
      </c>
      <c r="H21" s="118">
        <v>100</v>
      </c>
      <c r="I21" s="117">
        <v>100</v>
      </c>
      <c r="J21" s="118">
        <v>100</v>
      </c>
      <c r="K21" s="117">
        <f t="shared" ref="K21:L21" si="58">SUM(E21+G21+I21)</f>
        <v>300</v>
      </c>
      <c r="L21" s="119">
        <f t="shared" si="58"/>
        <v>300</v>
      </c>
      <c r="M21" s="118">
        <f t="shared" ref="M21:M23" si="59">K21-L21</f>
        <v>0</v>
      </c>
      <c r="N21" s="117"/>
      <c r="O21" s="118"/>
      <c r="P21" s="117"/>
      <c r="Q21" s="118"/>
      <c r="R21" s="117"/>
      <c r="S21" s="118"/>
      <c r="T21" s="117">
        <f t="shared" ref="T21:U21" si="60">SUM(N21+P21+R21)</f>
        <v>0</v>
      </c>
      <c r="U21" s="119">
        <f t="shared" si="60"/>
        <v>0</v>
      </c>
      <c r="V21" s="118">
        <f t="shared" ref="V21:V23" si="61">T21-U21</f>
        <v>0</v>
      </c>
      <c r="W21" s="117"/>
      <c r="X21" s="118"/>
      <c r="Y21" s="117"/>
      <c r="Z21" s="118"/>
      <c r="AA21" s="117"/>
      <c r="AB21" s="118"/>
      <c r="AC21" s="117">
        <f t="shared" ref="AC21:AD21" si="62">SUM(W21+Y21+AA21)</f>
        <v>0</v>
      </c>
      <c r="AD21" s="119">
        <f t="shared" si="62"/>
        <v>0</v>
      </c>
      <c r="AE21" s="118">
        <f t="shared" ref="AE21:AE23" si="63">AC21-AD21</f>
        <v>0</v>
      </c>
      <c r="AF21" s="117"/>
      <c r="AG21" s="118"/>
      <c r="AH21" s="117"/>
      <c r="AI21" s="118"/>
      <c r="AJ21" s="117"/>
      <c r="AK21" s="118"/>
      <c r="AL21" s="117">
        <f t="shared" ref="AL21:AM21" si="64">SUM(AF21+AH21+AJ21)</f>
        <v>0</v>
      </c>
      <c r="AM21" s="119">
        <f t="shared" si="64"/>
        <v>0</v>
      </c>
      <c r="AN21" s="118">
        <f t="shared" ref="AN21:AN23" si="65">AL21-AM21</f>
        <v>0</v>
      </c>
      <c r="AO21" s="117">
        <f t="shared" ref="AO21:AP21" si="66">SUM(K21+T21+AC21+AL21)</f>
        <v>300</v>
      </c>
      <c r="AP21" s="119">
        <f t="shared" si="66"/>
        <v>300</v>
      </c>
      <c r="AQ21" s="119">
        <f t="shared" ref="AQ21:AQ24" si="67">AO21-AP21</f>
        <v>0</v>
      </c>
      <c r="AR21" s="99"/>
    </row>
    <row r="22" spans="1:44" ht="15.75" customHeight="1">
      <c r="A22" s="115"/>
      <c r="B22" s="116"/>
      <c r="C22" s="287" t="s">
        <v>63</v>
      </c>
      <c r="D22" s="267"/>
      <c r="E22" s="117">
        <v>100</v>
      </c>
      <c r="F22" s="118">
        <v>100</v>
      </c>
      <c r="G22" s="117">
        <v>100</v>
      </c>
      <c r="H22" s="118">
        <v>100</v>
      </c>
      <c r="I22" s="117">
        <v>100</v>
      </c>
      <c r="J22" s="118">
        <v>100</v>
      </c>
      <c r="K22" s="117">
        <f t="shared" ref="K22:L22" si="68">SUM(E22+G22+I22)</f>
        <v>300</v>
      </c>
      <c r="L22" s="119">
        <f t="shared" si="68"/>
        <v>300</v>
      </c>
      <c r="M22" s="118">
        <f t="shared" si="59"/>
        <v>0</v>
      </c>
      <c r="N22" s="117"/>
      <c r="O22" s="118"/>
      <c r="P22" s="117"/>
      <c r="Q22" s="118"/>
      <c r="R22" s="117"/>
      <c r="S22" s="118"/>
      <c r="T22" s="117">
        <f t="shared" ref="T22:U22" si="69">SUM(N22+P22+R22)</f>
        <v>0</v>
      </c>
      <c r="U22" s="119">
        <f t="shared" si="69"/>
        <v>0</v>
      </c>
      <c r="V22" s="118">
        <f t="shared" si="61"/>
        <v>0</v>
      </c>
      <c r="W22" s="117"/>
      <c r="X22" s="118"/>
      <c r="Y22" s="117"/>
      <c r="Z22" s="118"/>
      <c r="AA22" s="117"/>
      <c r="AB22" s="118"/>
      <c r="AC22" s="117">
        <f t="shared" ref="AC22:AD22" si="70">SUM(W22+Y22+AA22)</f>
        <v>0</v>
      </c>
      <c r="AD22" s="119">
        <f t="shared" si="70"/>
        <v>0</v>
      </c>
      <c r="AE22" s="118">
        <f t="shared" si="63"/>
        <v>0</v>
      </c>
      <c r="AF22" s="117"/>
      <c r="AG22" s="118"/>
      <c r="AH22" s="117"/>
      <c r="AI22" s="118"/>
      <c r="AJ22" s="117"/>
      <c r="AK22" s="118"/>
      <c r="AL22" s="117">
        <f t="shared" ref="AL22:AM22" si="71">SUM(AF22+AH22+AJ22)</f>
        <v>0</v>
      </c>
      <c r="AM22" s="119">
        <f t="shared" si="71"/>
        <v>0</v>
      </c>
      <c r="AN22" s="118">
        <f t="shared" si="65"/>
        <v>0</v>
      </c>
      <c r="AO22" s="117">
        <f t="shared" ref="AO22:AP22" si="72">SUM(K22+T22+AC22+AL22)</f>
        <v>300</v>
      </c>
      <c r="AP22" s="119">
        <f t="shared" si="72"/>
        <v>300</v>
      </c>
      <c r="AQ22" s="119">
        <f t="shared" si="67"/>
        <v>0</v>
      </c>
      <c r="AR22" s="99"/>
    </row>
    <row r="23" spans="1:44" ht="15.75" customHeight="1">
      <c r="A23" s="115"/>
      <c r="B23" s="116"/>
      <c r="C23" s="294" t="s">
        <v>64</v>
      </c>
      <c r="D23" s="295"/>
      <c r="E23" s="129">
        <v>100</v>
      </c>
      <c r="F23" s="130">
        <v>100</v>
      </c>
      <c r="G23" s="129">
        <v>100</v>
      </c>
      <c r="H23" s="130">
        <v>100</v>
      </c>
      <c r="I23" s="129">
        <v>100</v>
      </c>
      <c r="J23" s="130">
        <v>100</v>
      </c>
      <c r="K23" s="129">
        <f t="shared" ref="K23:L23" si="73">SUM(E23+G23+I23)</f>
        <v>300</v>
      </c>
      <c r="L23" s="131">
        <f t="shared" si="73"/>
        <v>300</v>
      </c>
      <c r="M23" s="130">
        <f t="shared" si="59"/>
        <v>0</v>
      </c>
      <c r="N23" s="129"/>
      <c r="O23" s="130"/>
      <c r="P23" s="129"/>
      <c r="Q23" s="130"/>
      <c r="R23" s="129"/>
      <c r="S23" s="130"/>
      <c r="T23" s="129">
        <f t="shared" ref="T23:U23" si="74">SUM(N23+P23+R23)</f>
        <v>0</v>
      </c>
      <c r="U23" s="131">
        <f t="shared" si="74"/>
        <v>0</v>
      </c>
      <c r="V23" s="130">
        <f t="shared" si="61"/>
        <v>0</v>
      </c>
      <c r="W23" s="129"/>
      <c r="X23" s="130"/>
      <c r="Y23" s="129"/>
      <c r="Z23" s="130"/>
      <c r="AA23" s="129"/>
      <c r="AB23" s="130"/>
      <c r="AC23" s="129">
        <f t="shared" ref="AC23:AD23" si="75">SUM(W23+Y23+AA23)</f>
        <v>0</v>
      </c>
      <c r="AD23" s="131">
        <f t="shared" si="75"/>
        <v>0</v>
      </c>
      <c r="AE23" s="130">
        <f t="shared" si="63"/>
        <v>0</v>
      </c>
      <c r="AF23" s="129"/>
      <c r="AG23" s="130"/>
      <c r="AH23" s="129"/>
      <c r="AI23" s="130"/>
      <c r="AJ23" s="129"/>
      <c r="AK23" s="130"/>
      <c r="AL23" s="129">
        <f t="shared" ref="AL23:AM23" si="76">SUM(AF23+AH23+AJ23)</f>
        <v>0</v>
      </c>
      <c r="AM23" s="131">
        <f t="shared" si="76"/>
        <v>0</v>
      </c>
      <c r="AN23" s="130">
        <f t="shared" si="65"/>
        <v>0</v>
      </c>
      <c r="AO23" s="129">
        <f t="shared" ref="AO23:AP23" si="77">SUM(K23+T23+AC23+AL23)</f>
        <v>300</v>
      </c>
      <c r="AP23" s="131">
        <f t="shared" si="77"/>
        <v>300</v>
      </c>
      <c r="AQ23" s="131">
        <f t="shared" si="67"/>
        <v>0</v>
      </c>
      <c r="AR23" s="99"/>
    </row>
    <row r="24" spans="1:44" ht="15.75" customHeight="1">
      <c r="A24" s="115"/>
      <c r="B24" s="116"/>
      <c r="C24" s="292" t="s">
        <v>42</v>
      </c>
      <c r="D24" s="296"/>
      <c r="E24" s="132">
        <f t="shared" ref="E24:AP24" si="78">SUM(E9:E11,E13:E14,E16:E19,E21:E23)</f>
        <v>1200</v>
      </c>
      <c r="F24" s="133">
        <f t="shared" si="78"/>
        <v>1200</v>
      </c>
      <c r="G24" s="134">
        <f t="shared" si="78"/>
        <v>1200</v>
      </c>
      <c r="H24" s="133">
        <f t="shared" si="78"/>
        <v>1200</v>
      </c>
      <c r="I24" s="134">
        <f t="shared" si="78"/>
        <v>1200</v>
      </c>
      <c r="J24" s="133">
        <f t="shared" si="78"/>
        <v>1200</v>
      </c>
      <c r="K24" s="135">
        <f t="shared" si="78"/>
        <v>3600</v>
      </c>
      <c r="L24" s="136">
        <f t="shared" si="78"/>
        <v>3600</v>
      </c>
      <c r="M24" s="137">
        <f t="shared" si="78"/>
        <v>0</v>
      </c>
      <c r="N24" s="133">
        <f t="shared" si="78"/>
        <v>0</v>
      </c>
      <c r="O24" s="133">
        <f t="shared" si="78"/>
        <v>0</v>
      </c>
      <c r="P24" s="134">
        <f t="shared" si="78"/>
        <v>0</v>
      </c>
      <c r="Q24" s="133">
        <f t="shared" si="78"/>
        <v>0</v>
      </c>
      <c r="R24" s="134">
        <f t="shared" si="78"/>
        <v>0</v>
      </c>
      <c r="S24" s="133">
        <f t="shared" si="78"/>
        <v>0</v>
      </c>
      <c r="T24" s="135">
        <f t="shared" si="78"/>
        <v>0</v>
      </c>
      <c r="U24" s="136">
        <f t="shared" si="78"/>
        <v>0</v>
      </c>
      <c r="V24" s="137">
        <f t="shared" si="78"/>
        <v>0</v>
      </c>
      <c r="W24" s="133">
        <f t="shared" si="78"/>
        <v>0</v>
      </c>
      <c r="X24" s="133">
        <f t="shared" si="78"/>
        <v>0</v>
      </c>
      <c r="Y24" s="134">
        <f t="shared" si="78"/>
        <v>0</v>
      </c>
      <c r="Z24" s="133">
        <f t="shared" si="78"/>
        <v>0</v>
      </c>
      <c r="AA24" s="134">
        <f t="shared" si="78"/>
        <v>0</v>
      </c>
      <c r="AB24" s="138">
        <f t="shared" si="78"/>
        <v>0</v>
      </c>
      <c r="AC24" s="135">
        <f t="shared" si="78"/>
        <v>0</v>
      </c>
      <c r="AD24" s="136">
        <f t="shared" si="78"/>
        <v>0</v>
      </c>
      <c r="AE24" s="137">
        <f t="shared" si="78"/>
        <v>0</v>
      </c>
      <c r="AF24" s="133">
        <f t="shared" si="78"/>
        <v>0</v>
      </c>
      <c r="AG24" s="133">
        <f t="shared" si="78"/>
        <v>0</v>
      </c>
      <c r="AH24" s="134">
        <f t="shared" si="78"/>
        <v>0</v>
      </c>
      <c r="AI24" s="133">
        <f t="shared" si="78"/>
        <v>0</v>
      </c>
      <c r="AJ24" s="134">
        <f t="shared" si="78"/>
        <v>0</v>
      </c>
      <c r="AK24" s="138">
        <f t="shared" si="78"/>
        <v>0</v>
      </c>
      <c r="AL24" s="135">
        <f t="shared" si="78"/>
        <v>0</v>
      </c>
      <c r="AM24" s="136">
        <f t="shared" si="78"/>
        <v>0</v>
      </c>
      <c r="AN24" s="137">
        <f t="shared" si="78"/>
        <v>0</v>
      </c>
      <c r="AO24" s="135">
        <f t="shared" si="78"/>
        <v>3600</v>
      </c>
      <c r="AP24" s="136">
        <f t="shared" si="78"/>
        <v>3600</v>
      </c>
      <c r="AQ24" s="136">
        <f t="shared" si="67"/>
        <v>0</v>
      </c>
      <c r="AR24" s="99"/>
    </row>
    <row r="25" spans="1:44" ht="31.5" customHeight="1">
      <c r="A25" s="92"/>
      <c r="B25" s="97"/>
      <c r="C25" s="100"/>
      <c r="D25" s="100"/>
      <c r="E25" s="92"/>
      <c r="F25" s="92"/>
      <c r="G25" s="92"/>
      <c r="H25" s="92"/>
      <c r="I25" s="92"/>
      <c r="J25" s="92"/>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2"/>
      <c r="AR25" s="99"/>
    </row>
    <row r="26" spans="1:44" ht="37.5" customHeight="1">
      <c r="A26" s="92"/>
      <c r="B26" s="97"/>
      <c r="C26" s="297" t="s">
        <v>65</v>
      </c>
      <c r="D26" s="293"/>
      <c r="E26" s="139" t="s">
        <v>32</v>
      </c>
      <c r="F26" s="140" t="s">
        <v>33</v>
      </c>
      <c r="G26" s="141" t="s">
        <v>34</v>
      </c>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9"/>
    </row>
    <row r="27" spans="1:44" ht="15.75" customHeight="1">
      <c r="A27" s="92"/>
      <c r="B27" s="97"/>
      <c r="C27" s="298" t="s">
        <v>66</v>
      </c>
      <c r="D27" s="265"/>
      <c r="E27" s="142">
        <f t="shared" ref="E27:F27" si="79">SUM(AO9:AO11)</f>
        <v>900</v>
      </c>
      <c r="F27" s="143">
        <f t="shared" si="79"/>
        <v>900</v>
      </c>
      <c r="G27" s="143">
        <f t="shared" ref="G27:G31" si="80">E27-F27</f>
        <v>0</v>
      </c>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9"/>
    </row>
    <row r="28" spans="1:44" ht="15.75" customHeight="1">
      <c r="A28" s="92"/>
      <c r="B28" s="97"/>
      <c r="C28" s="289" t="s">
        <v>67</v>
      </c>
      <c r="D28" s="265"/>
      <c r="E28" s="142">
        <f t="shared" ref="E28:F28" si="81">SUM(AO13:AO14)</f>
        <v>600</v>
      </c>
      <c r="F28" s="143">
        <f t="shared" si="81"/>
        <v>600</v>
      </c>
      <c r="G28" s="143">
        <f t="shared" si="80"/>
        <v>0</v>
      </c>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9"/>
    </row>
    <row r="29" spans="1:44" ht="15.75" customHeight="1">
      <c r="A29" s="92"/>
      <c r="B29" s="97"/>
      <c r="C29" s="290" t="s">
        <v>56</v>
      </c>
      <c r="D29" s="265"/>
      <c r="E29" s="142">
        <f t="shared" ref="E29:F29" si="82">SUM(AO16:AO19)</f>
        <v>1200</v>
      </c>
      <c r="F29" s="143">
        <f t="shared" si="82"/>
        <v>1200</v>
      </c>
      <c r="G29" s="143">
        <f t="shared" si="80"/>
        <v>0</v>
      </c>
      <c r="H29" s="92"/>
      <c r="I29" s="92"/>
      <c r="J29" s="92"/>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9"/>
    </row>
    <row r="30" spans="1:44" ht="15.75" customHeight="1">
      <c r="A30" s="92"/>
      <c r="B30" s="97"/>
      <c r="C30" s="291" t="s">
        <v>61</v>
      </c>
      <c r="D30" s="265"/>
      <c r="E30" s="144">
        <f t="shared" ref="E30:F30" si="83">SUM(AO21:AO23)</f>
        <v>900</v>
      </c>
      <c r="F30" s="145">
        <f t="shared" si="83"/>
        <v>900</v>
      </c>
      <c r="G30" s="145">
        <f t="shared" si="80"/>
        <v>0</v>
      </c>
      <c r="H30" s="92"/>
      <c r="I30" s="92"/>
      <c r="J30" s="92"/>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9"/>
    </row>
    <row r="31" spans="1:44" ht="15.75" customHeight="1">
      <c r="A31" s="92"/>
      <c r="B31" s="97"/>
      <c r="C31" s="292" t="s">
        <v>42</v>
      </c>
      <c r="D31" s="293"/>
      <c r="E31" s="146">
        <f t="shared" ref="E31:F31" si="84">SUM(E27:E30)</f>
        <v>3600</v>
      </c>
      <c r="F31" s="147">
        <f t="shared" si="84"/>
        <v>3600</v>
      </c>
      <c r="G31" s="147">
        <f t="shared" si="80"/>
        <v>0</v>
      </c>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2"/>
      <c r="AR31" s="99"/>
    </row>
    <row r="32" spans="1:44" ht="15.75" customHeight="1">
      <c r="A32" s="92"/>
      <c r="B32" s="97"/>
      <c r="C32" s="9"/>
      <c r="D32" s="9"/>
      <c r="E32" s="92"/>
      <c r="F32" s="92"/>
      <c r="G32" s="92"/>
      <c r="H32" s="92"/>
      <c r="I32" s="92"/>
      <c r="J32" s="92"/>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2"/>
      <c r="AR32" s="99"/>
    </row>
    <row r="33" spans="1:44" ht="15.75" customHeight="1">
      <c r="A33" s="92"/>
      <c r="B33" s="97"/>
      <c r="C33" s="9"/>
      <c r="D33" s="9"/>
      <c r="E33" s="92"/>
      <c r="F33" s="92"/>
      <c r="G33" s="92"/>
      <c r="H33" s="92"/>
      <c r="I33" s="92"/>
      <c r="J33" s="92"/>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2"/>
      <c r="AR33" s="99"/>
    </row>
    <row r="34" spans="1:44" ht="15.75" customHeight="1">
      <c r="A34" s="92"/>
      <c r="B34" s="97"/>
      <c r="C34" s="9"/>
      <c r="D34" s="9"/>
      <c r="E34" s="92"/>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2"/>
      <c r="AR34" s="99"/>
    </row>
    <row r="35" spans="1:44" ht="15.75" customHeight="1">
      <c r="A35" s="92"/>
      <c r="B35" s="97"/>
      <c r="C35" s="9"/>
      <c r="D35" s="9"/>
      <c r="E35" s="92"/>
      <c r="F35" s="92"/>
      <c r="G35" s="92"/>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2"/>
      <c r="AR35" s="99"/>
    </row>
    <row r="36" spans="1:44" ht="15.75" customHeight="1">
      <c r="A36" s="92"/>
      <c r="B36" s="97"/>
      <c r="C36" s="9"/>
      <c r="D36" s="9"/>
      <c r="E36" s="92"/>
      <c r="F36" s="92"/>
      <c r="G36" s="92"/>
      <c r="H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2"/>
      <c r="AR36" s="99"/>
    </row>
    <row r="37" spans="1:44" ht="15.75" customHeight="1">
      <c r="A37" s="92"/>
      <c r="B37" s="97"/>
      <c r="C37" s="9"/>
      <c r="D37" s="9"/>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2"/>
      <c r="AR37" s="99"/>
    </row>
    <row r="38" spans="1:44" ht="15.75" customHeight="1">
      <c r="A38" s="92"/>
      <c r="B38" s="97"/>
      <c r="C38" s="9"/>
      <c r="D38" s="9"/>
      <c r="E38" s="92"/>
      <c r="F38" s="92"/>
      <c r="G38" s="92"/>
      <c r="H38" s="92"/>
      <c r="I38" s="92"/>
      <c r="J38" s="92"/>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2"/>
      <c r="AR38" s="99"/>
    </row>
    <row r="39" spans="1:44" ht="15.75" customHeight="1">
      <c r="A39" s="92"/>
      <c r="B39" s="97"/>
      <c r="C39" s="9"/>
      <c r="D39" s="9"/>
      <c r="E39" s="92"/>
      <c r="F39" s="92"/>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2"/>
      <c r="AR39" s="99"/>
    </row>
    <row r="40" spans="1:44" ht="15.75" customHeight="1">
      <c r="A40" s="92"/>
      <c r="B40" s="97"/>
      <c r="C40" s="9"/>
      <c r="D40" s="9"/>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2"/>
      <c r="AR40" s="99"/>
    </row>
    <row r="41" spans="1:44" ht="15.75" customHeight="1">
      <c r="A41" s="92"/>
      <c r="B41" s="97"/>
      <c r="C41" s="9"/>
      <c r="D41" s="9"/>
      <c r="E41" s="92"/>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2"/>
      <c r="AR41" s="99"/>
    </row>
    <row r="42" spans="1:44" ht="15.75" customHeight="1">
      <c r="A42" s="92"/>
      <c r="B42" s="97"/>
      <c r="C42" s="9"/>
      <c r="D42" s="9"/>
      <c r="E42" s="92"/>
      <c r="F42" s="92"/>
      <c r="G42" s="92"/>
      <c r="H42" s="92"/>
      <c r="I42" s="92"/>
      <c r="J42" s="92"/>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2"/>
      <c r="AR42" s="99"/>
    </row>
    <row r="43" spans="1:44" ht="15.75" customHeight="1">
      <c r="A43" s="92"/>
      <c r="B43" s="97"/>
      <c r="C43" s="9"/>
      <c r="D43" s="9"/>
      <c r="E43" s="92"/>
      <c r="F43" s="92"/>
      <c r="G43" s="92"/>
      <c r="H43" s="92"/>
      <c r="I43" s="92"/>
      <c r="J43" s="92"/>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2"/>
      <c r="AR43" s="99"/>
    </row>
    <row r="44" spans="1:44" ht="15.75" customHeight="1">
      <c r="A44" s="92"/>
      <c r="B44" s="97"/>
      <c r="C44" s="9"/>
      <c r="D44" s="9"/>
      <c r="E44" s="92"/>
      <c r="F44" s="92"/>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2"/>
      <c r="AR44" s="99"/>
    </row>
    <row r="45" spans="1:44" ht="15.75" customHeight="1">
      <c r="A45" s="92"/>
      <c r="B45" s="97"/>
      <c r="C45" s="9"/>
      <c r="D45" s="9"/>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2"/>
      <c r="AR45" s="99"/>
    </row>
    <row r="46" spans="1:44" ht="15.75" customHeight="1">
      <c r="A46" s="92"/>
      <c r="B46" s="97"/>
      <c r="C46" s="9"/>
      <c r="D46" s="9"/>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2"/>
      <c r="AR46" s="99"/>
    </row>
    <row r="47" spans="1:44" ht="15.75" customHeight="1">
      <c r="A47" s="92"/>
      <c r="B47" s="97"/>
      <c r="C47" s="9"/>
      <c r="D47" s="9"/>
      <c r="E47" s="92"/>
      <c r="F47" s="92"/>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2"/>
      <c r="AR47" s="99"/>
    </row>
    <row r="48" spans="1:44" ht="15.75" customHeight="1">
      <c r="A48" s="92"/>
      <c r="B48" s="97"/>
      <c r="C48" s="9"/>
      <c r="D48" s="9"/>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2"/>
      <c r="AR48" s="99"/>
    </row>
    <row r="49" spans="1:44" ht="15.75" customHeight="1">
      <c r="A49" s="92"/>
      <c r="B49" s="97"/>
      <c r="C49" s="9"/>
      <c r="D49" s="9"/>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2"/>
      <c r="AR49" s="99"/>
    </row>
    <row r="50" spans="1:44" ht="15.75" customHeight="1">
      <c r="A50" s="92"/>
      <c r="B50" s="148"/>
      <c r="C50" s="149"/>
      <c r="D50" s="149"/>
      <c r="E50" s="150"/>
      <c r="F50" s="150"/>
      <c r="G50" s="150"/>
      <c r="H50" s="150"/>
      <c r="I50" s="150"/>
      <c r="J50" s="150"/>
      <c r="K50" s="150"/>
      <c r="L50" s="150"/>
      <c r="M50" s="150"/>
      <c r="N50" s="150"/>
      <c r="O50" s="150"/>
      <c r="P50" s="150"/>
      <c r="Q50" s="150"/>
      <c r="R50" s="150"/>
      <c r="S50" s="150"/>
      <c r="T50" s="150"/>
      <c r="U50" s="150"/>
      <c r="V50" s="150"/>
      <c r="W50" s="150"/>
      <c r="X50" s="150"/>
      <c r="Y50" s="150"/>
      <c r="Z50" s="150"/>
      <c r="AA50" s="150"/>
      <c r="AB50" s="150"/>
      <c r="AC50" s="150"/>
      <c r="AD50" s="150"/>
      <c r="AE50" s="150"/>
      <c r="AF50" s="150"/>
      <c r="AG50" s="150"/>
      <c r="AH50" s="150"/>
      <c r="AI50" s="150"/>
      <c r="AJ50" s="150"/>
      <c r="AK50" s="150"/>
      <c r="AL50" s="150"/>
      <c r="AM50" s="150"/>
      <c r="AN50" s="150"/>
      <c r="AO50" s="150"/>
      <c r="AP50" s="150"/>
      <c r="AQ50" s="150"/>
      <c r="AR50" s="151"/>
    </row>
    <row r="51" spans="1:44" ht="15.75" customHeight="1">
      <c r="A51" s="92"/>
      <c r="B51" s="92"/>
      <c r="C51" s="9"/>
      <c r="D51" s="9"/>
      <c r="E51" s="92"/>
      <c r="F51" s="92"/>
      <c r="G51" s="92"/>
      <c r="H51" s="92"/>
      <c r="I51" s="92"/>
      <c r="J51" s="92"/>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2"/>
      <c r="AR51" s="92"/>
    </row>
    <row r="52" spans="1:44" ht="15.75" customHeight="1">
      <c r="A52" s="92"/>
      <c r="B52" s="92"/>
      <c r="C52" s="9"/>
      <c r="D52" s="9"/>
      <c r="E52" s="92"/>
      <c r="F52" s="92"/>
      <c r="G52" s="92"/>
      <c r="H52" s="92"/>
      <c r="I52" s="92"/>
      <c r="J52" s="92"/>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2"/>
      <c r="AR52" s="92"/>
    </row>
    <row r="53" spans="1:44" ht="15.75" customHeight="1">
      <c r="A53" s="92"/>
      <c r="B53" s="92"/>
      <c r="C53" s="9"/>
      <c r="D53" s="9"/>
      <c r="E53" s="92"/>
      <c r="F53" s="92"/>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row>
    <row r="54" spans="1:44" ht="15.75" customHeight="1">
      <c r="A54" s="92"/>
      <c r="B54" s="92"/>
      <c r="C54" s="9"/>
      <c r="D54" s="9"/>
      <c r="E54" s="92"/>
      <c r="F54" s="92"/>
      <c r="G54" s="92"/>
      <c r="H54" s="92"/>
      <c r="I54" s="92"/>
      <c r="J54" s="92"/>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2"/>
      <c r="AR54" s="92"/>
    </row>
    <row r="55" spans="1:44" ht="15.75" customHeight="1">
      <c r="A55" s="92"/>
      <c r="B55" s="92"/>
      <c r="C55" s="9"/>
      <c r="D55" s="9"/>
      <c r="E55" s="92"/>
      <c r="F55" s="92"/>
      <c r="G55" s="92"/>
      <c r="H55" s="92"/>
      <c r="I55" s="92"/>
      <c r="J55" s="92"/>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2"/>
      <c r="AR55" s="92"/>
    </row>
    <row r="56" spans="1:44" ht="15.75" customHeight="1">
      <c r="A56" s="92"/>
      <c r="B56" s="92"/>
      <c r="C56" s="9"/>
      <c r="D56" s="9"/>
      <c r="E56" s="92"/>
      <c r="F56" s="92"/>
      <c r="G56" s="92"/>
      <c r="H56" s="92"/>
      <c r="I56" s="92"/>
      <c r="J56" s="92"/>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2"/>
      <c r="AR56" s="92"/>
    </row>
    <row r="57" spans="1:44" ht="15.75" customHeight="1">
      <c r="A57" s="92"/>
      <c r="B57" s="92"/>
      <c r="C57" s="9"/>
      <c r="D57" s="9"/>
      <c r="E57" s="92"/>
      <c r="F57" s="92"/>
      <c r="G57" s="92"/>
      <c r="H57" s="92"/>
      <c r="I57" s="92"/>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2"/>
      <c r="AR57" s="92"/>
    </row>
    <row r="58" spans="1:44" ht="15.75" customHeight="1">
      <c r="A58" s="92"/>
      <c r="B58" s="92"/>
      <c r="C58" s="9"/>
      <c r="D58" s="9"/>
      <c r="E58" s="92"/>
      <c r="F58" s="92"/>
      <c r="G58" s="92"/>
      <c r="H58" s="92"/>
      <c r="I58" s="92"/>
      <c r="J58" s="92"/>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2"/>
      <c r="AR58" s="92"/>
    </row>
    <row r="59" spans="1:44" ht="15.75" customHeight="1">
      <c r="A59" s="92"/>
      <c r="B59" s="92"/>
      <c r="C59" s="9"/>
      <c r="D59" s="9"/>
      <c r="E59" s="92"/>
      <c r="F59" s="92"/>
      <c r="G59" s="92"/>
      <c r="H59" s="92"/>
      <c r="I59" s="92"/>
      <c r="J59" s="92"/>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2"/>
      <c r="AR59" s="92"/>
    </row>
    <row r="60" spans="1:44" ht="15.75" customHeight="1">
      <c r="A60" s="92"/>
      <c r="B60" s="92"/>
      <c r="C60" s="9"/>
      <c r="D60" s="9"/>
      <c r="E60" s="92"/>
      <c r="F60" s="92"/>
      <c r="G60" s="92"/>
      <c r="H60" s="92"/>
      <c r="I60" s="92"/>
      <c r="J60" s="92"/>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2"/>
      <c r="AR60" s="92"/>
    </row>
    <row r="61" spans="1:44" ht="15.75" customHeight="1">
      <c r="A61" s="92"/>
      <c r="B61" s="92"/>
      <c r="C61" s="9"/>
      <c r="D61" s="9"/>
      <c r="E61" s="92"/>
      <c r="F61" s="92"/>
      <c r="G61" s="92"/>
      <c r="H61" s="92"/>
      <c r="I61" s="92"/>
      <c r="J61" s="92"/>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2"/>
      <c r="AR61" s="92"/>
    </row>
    <row r="62" spans="1:44" ht="15.75" customHeight="1">
      <c r="A62" s="92"/>
      <c r="B62" s="92"/>
      <c r="C62" s="9"/>
      <c r="D62" s="9"/>
      <c r="E62" s="92"/>
      <c r="F62" s="92"/>
      <c r="G62" s="92"/>
      <c r="H62" s="92"/>
      <c r="I62" s="92"/>
      <c r="J62" s="92"/>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2"/>
      <c r="AR62" s="92"/>
    </row>
    <row r="63" spans="1:44" ht="15.75" customHeight="1">
      <c r="A63" s="92"/>
      <c r="B63" s="92"/>
      <c r="C63" s="9"/>
      <c r="D63" s="9"/>
      <c r="E63" s="92"/>
      <c r="F63" s="92"/>
      <c r="G63" s="92"/>
      <c r="H63" s="92"/>
      <c r="I63" s="92"/>
      <c r="J63" s="92"/>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2"/>
      <c r="AR63" s="92"/>
    </row>
    <row r="64" spans="1:44" ht="15.75" customHeight="1">
      <c r="A64" s="92"/>
      <c r="B64" s="92"/>
      <c r="C64" s="9"/>
      <c r="D64" s="9"/>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2"/>
      <c r="AR64" s="92"/>
    </row>
    <row r="65" spans="1:44" ht="15.75" customHeight="1">
      <c r="A65" s="92"/>
      <c r="B65" s="92"/>
      <c r="C65" s="9"/>
      <c r="D65" s="9"/>
      <c r="E65" s="92"/>
      <c r="F65" s="92"/>
      <c r="G65" s="92"/>
      <c r="H65" s="92"/>
      <c r="I65" s="92"/>
      <c r="J65" s="92"/>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2"/>
      <c r="AR65" s="92"/>
    </row>
    <row r="66" spans="1:44" ht="15.75" customHeight="1">
      <c r="A66" s="92"/>
      <c r="B66" s="92"/>
      <c r="C66" s="9"/>
      <c r="D66" s="9"/>
      <c r="E66" s="92"/>
      <c r="F66" s="92"/>
      <c r="G66" s="92"/>
      <c r="H66" s="92"/>
      <c r="I66" s="92"/>
      <c r="J66" s="92"/>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2"/>
      <c r="AR66" s="92"/>
    </row>
    <row r="67" spans="1:44" ht="15.75" customHeight="1">
      <c r="A67" s="92"/>
      <c r="B67" s="92"/>
      <c r="C67" s="9"/>
      <c r="D67" s="9"/>
      <c r="E67" s="92"/>
      <c r="F67" s="92"/>
      <c r="G67" s="92"/>
      <c r="H67" s="92"/>
      <c r="I67" s="92"/>
      <c r="J67" s="92"/>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2"/>
      <c r="AR67" s="92"/>
    </row>
    <row r="68" spans="1:44" ht="15.75" customHeight="1">
      <c r="A68" s="92"/>
      <c r="B68" s="92"/>
      <c r="C68" s="9"/>
      <c r="D68" s="9"/>
      <c r="E68" s="92"/>
      <c r="F68" s="92"/>
      <c r="G68" s="92"/>
      <c r="H68" s="92"/>
      <c r="I68" s="92"/>
      <c r="J68" s="92"/>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2"/>
      <c r="AR68" s="92"/>
    </row>
    <row r="69" spans="1:44" ht="15.75" customHeight="1">
      <c r="A69" s="92"/>
      <c r="B69" s="92"/>
      <c r="C69" s="9"/>
      <c r="D69" s="9"/>
      <c r="E69" s="92"/>
      <c r="F69" s="92"/>
      <c r="G69" s="92"/>
      <c r="H69" s="92"/>
      <c r="I69" s="92"/>
      <c r="J69" s="92"/>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2"/>
      <c r="AR69" s="92"/>
    </row>
    <row r="70" spans="1:44" ht="15.75" customHeight="1">
      <c r="A70" s="92"/>
      <c r="B70" s="92"/>
      <c r="C70" s="9"/>
      <c r="D70" s="9"/>
      <c r="E70" s="92"/>
      <c r="F70" s="92"/>
      <c r="G70" s="92"/>
      <c r="H70" s="92"/>
      <c r="I70" s="92"/>
      <c r="J70" s="92"/>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2"/>
      <c r="AR70" s="92"/>
    </row>
    <row r="71" spans="1:44" ht="15.75" customHeight="1">
      <c r="A71" s="92"/>
      <c r="B71" s="92"/>
      <c r="C71" s="9"/>
      <c r="D71" s="9"/>
      <c r="E71" s="92"/>
      <c r="F71" s="92"/>
      <c r="G71" s="92"/>
      <c r="H71" s="92"/>
      <c r="I71" s="92"/>
      <c r="J71" s="92"/>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2"/>
      <c r="AR71" s="92"/>
    </row>
    <row r="72" spans="1:44" ht="15.75" customHeight="1">
      <c r="A72" s="92"/>
      <c r="B72" s="92"/>
      <c r="C72" s="9"/>
      <c r="D72" s="9"/>
      <c r="E72" s="92"/>
      <c r="F72" s="92"/>
      <c r="G72" s="92"/>
      <c r="H72" s="92"/>
      <c r="I72" s="92"/>
      <c r="J72" s="92"/>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2"/>
      <c r="AR72" s="92"/>
    </row>
    <row r="73" spans="1:44" ht="15.75" customHeight="1">
      <c r="A73" s="92"/>
      <c r="B73" s="92"/>
      <c r="C73" s="9"/>
      <c r="D73" s="9"/>
      <c r="E73" s="92"/>
      <c r="F73" s="92"/>
      <c r="G73" s="92"/>
      <c r="H73" s="92"/>
      <c r="I73" s="92"/>
      <c r="J73" s="92"/>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2"/>
      <c r="AR73" s="92"/>
    </row>
    <row r="74" spans="1:44" ht="15.75" customHeight="1">
      <c r="A74" s="92"/>
      <c r="B74" s="92"/>
      <c r="C74" s="9"/>
      <c r="D74" s="9"/>
      <c r="E74" s="92"/>
      <c r="F74" s="92"/>
      <c r="G74" s="92"/>
      <c r="H74" s="92"/>
      <c r="I74" s="92"/>
      <c r="J74" s="92"/>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2"/>
      <c r="AR74" s="92"/>
    </row>
    <row r="75" spans="1:44" ht="15.75" customHeight="1">
      <c r="A75" s="92"/>
      <c r="B75" s="92"/>
      <c r="C75" s="9"/>
      <c r="D75" s="9"/>
      <c r="E75" s="92"/>
      <c r="F75" s="92"/>
      <c r="G75" s="92"/>
      <c r="H75" s="92"/>
      <c r="I75" s="92"/>
      <c r="J75" s="92"/>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2"/>
      <c r="AR75" s="92"/>
    </row>
    <row r="76" spans="1:44" ht="15.75" customHeight="1">
      <c r="A76" s="92"/>
      <c r="B76" s="92"/>
      <c r="C76" s="9"/>
      <c r="D76" s="9"/>
      <c r="E76" s="92"/>
      <c r="F76" s="92"/>
      <c r="G76" s="92"/>
      <c r="H76" s="92"/>
      <c r="I76" s="92"/>
      <c r="J76" s="92"/>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2"/>
      <c r="AR76" s="92"/>
    </row>
    <row r="77" spans="1:44" ht="15.75" customHeight="1">
      <c r="A77" s="92"/>
      <c r="B77" s="92"/>
      <c r="C77" s="9"/>
      <c r="D77" s="9"/>
      <c r="E77" s="92"/>
      <c r="F77" s="92"/>
      <c r="G77" s="92"/>
      <c r="H77" s="92"/>
      <c r="I77" s="92"/>
      <c r="J77" s="92"/>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2"/>
      <c r="AR77" s="92"/>
    </row>
    <row r="78" spans="1:44" ht="15.75" customHeight="1">
      <c r="A78" s="92"/>
      <c r="B78" s="92"/>
      <c r="C78" s="9"/>
      <c r="D78" s="9"/>
      <c r="E78" s="92"/>
      <c r="F78" s="92"/>
      <c r="G78" s="92"/>
      <c r="H78" s="92"/>
      <c r="I78" s="92"/>
      <c r="J78" s="92"/>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2"/>
      <c r="AR78" s="92"/>
    </row>
    <row r="79" spans="1:44" ht="15.75" customHeight="1">
      <c r="A79" s="92"/>
      <c r="B79" s="92"/>
      <c r="C79" s="9"/>
      <c r="D79" s="9"/>
      <c r="E79" s="92"/>
      <c r="F79" s="92"/>
      <c r="G79" s="92"/>
      <c r="H79" s="92"/>
      <c r="I79" s="92"/>
      <c r="J79" s="92"/>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2"/>
      <c r="AR79" s="92"/>
    </row>
    <row r="80" spans="1:44" ht="15.75" customHeight="1">
      <c r="A80" s="92"/>
      <c r="B80" s="92"/>
      <c r="C80" s="9"/>
      <c r="D80" s="9"/>
      <c r="E80" s="92"/>
      <c r="F80" s="92"/>
      <c r="G80" s="92"/>
      <c r="H80" s="92"/>
      <c r="I80" s="92"/>
      <c r="J80" s="92"/>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2"/>
      <c r="AR80" s="92"/>
    </row>
    <row r="81" spans="1:44" ht="15.75" customHeight="1">
      <c r="A81" s="92"/>
      <c r="B81" s="92"/>
      <c r="C81" s="9"/>
      <c r="D81" s="9"/>
      <c r="E81" s="92"/>
      <c r="F81" s="92"/>
      <c r="G81" s="92"/>
      <c r="H81" s="92"/>
      <c r="I81" s="92"/>
      <c r="J81" s="92"/>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2"/>
      <c r="AR81" s="92"/>
    </row>
    <row r="82" spans="1:44" ht="15.75" customHeight="1">
      <c r="A82" s="92"/>
      <c r="B82" s="92"/>
      <c r="C82" s="9"/>
      <c r="D82" s="9"/>
      <c r="E82" s="92"/>
      <c r="F82" s="92"/>
      <c r="G82" s="92"/>
      <c r="H82" s="92"/>
      <c r="I82" s="92"/>
      <c r="J82" s="92"/>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2"/>
      <c r="AR82" s="92"/>
    </row>
    <row r="83" spans="1:44" ht="15.75" customHeight="1">
      <c r="A83" s="92"/>
      <c r="B83" s="92"/>
      <c r="C83" s="9"/>
      <c r="D83" s="9"/>
      <c r="E83" s="92"/>
      <c r="F83" s="92"/>
      <c r="G83" s="92"/>
      <c r="H83" s="92"/>
      <c r="I83" s="92"/>
      <c r="J83" s="92"/>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2"/>
      <c r="AR83" s="92"/>
    </row>
    <row r="84" spans="1:44" ht="15.75" customHeight="1">
      <c r="A84" s="92"/>
      <c r="B84" s="92"/>
      <c r="C84" s="9"/>
      <c r="D84" s="9"/>
      <c r="E84" s="92"/>
      <c r="F84" s="92"/>
      <c r="G84" s="92"/>
      <c r="H84" s="92"/>
      <c r="I84" s="92"/>
      <c r="J84" s="92"/>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2"/>
      <c r="AR84" s="92"/>
    </row>
    <row r="85" spans="1:44" ht="15.75" customHeight="1">
      <c r="A85" s="92"/>
      <c r="B85" s="92"/>
      <c r="C85" s="9"/>
      <c r="D85" s="9"/>
      <c r="E85" s="92"/>
      <c r="F85" s="92"/>
      <c r="G85" s="92"/>
      <c r="H85" s="92"/>
      <c r="I85" s="92"/>
      <c r="J85" s="92"/>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2"/>
      <c r="AR85" s="92"/>
    </row>
    <row r="86" spans="1:44" ht="15.75" customHeight="1">
      <c r="A86" s="92"/>
      <c r="B86" s="92"/>
      <c r="C86" s="9"/>
      <c r="D86" s="9"/>
      <c r="E86" s="92"/>
      <c r="F86" s="92"/>
      <c r="G86" s="92"/>
      <c r="H86" s="92"/>
      <c r="I86" s="92"/>
      <c r="J86" s="92"/>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2"/>
      <c r="AR86" s="92"/>
    </row>
    <row r="87" spans="1:44" ht="15.75" customHeight="1">
      <c r="A87" s="92"/>
      <c r="B87" s="92"/>
      <c r="C87" s="9"/>
      <c r="D87" s="9"/>
      <c r="E87" s="92"/>
      <c r="F87" s="92"/>
      <c r="G87" s="92"/>
      <c r="H87" s="92"/>
      <c r="I87" s="92"/>
      <c r="J87" s="92"/>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2"/>
      <c r="AR87" s="92"/>
    </row>
    <row r="88" spans="1:44" ht="15.75" customHeight="1">
      <c r="A88" s="92"/>
      <c r="B88" s="92"/>
      <c r="C88" s="9"/>
      <c r="D88" s="9"/>
      <c r="E88" s="92"/>
      <c r="F88" s="92"/>
      <c r="G88" s="92"/>
      <c r="H88" s="92"/>
      <c r="I88" s="92"/>
      <c r="J88" s="92"/>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2"/>
      <c r="AR88" s="92"/>
    </row>
    <row r="89" spans="1:44" ht="15.75" customHeight="1">
      <c r="A89" s="92"/>
      <c r="B89" s="92"/>
      <c r="C89" s="9"/>
      <c r="D89" s="9"/>
      <c r="E89" s="92"/>
      <c r="F89" s="92"/>
      <c r="G89" s="92"/>
      <c r="H89" s="92"/>
      <c r="I89" s="92"/>
      <c r="J89" s="92"/>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2"/>
      <c r="AR89" s="92"/>
    </row>
    <row r="90" spans="1:44" ht="15.75" customHeight="1">
      <c r="A90" s="92"/>
      <c r="B90" s="92"/>
      <c r="C90" s="9"/>
      <c r="D90" s="9"/>
      <c r="E90" s="92"/>
      <c r="F90" s="92"/>
      <c r="G90" s="92"/>
      <c r="H90" s="92"/>
      <c r="I90" s="92"/>
      <c r="J90" s="92"/>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2"/>
      <c r="AR90" s="92"/>
    </row>
    <row r="91" spans="1:44" ht="15.75" customHeight="1">
      <c r="A91" s="92"/>
      <c r="B91" s="92"/>
      <c r="C91" s="9"/>
      <c r="D91" s="9"/>
      <c r="E91" s="92"/>
      <c r="F91" s="92"/>
      <c r="G91" s="92"/>
      <c r="H91" s="92"/>
      <c r="I91" s="92"/>
      <c r="J91" s="92"/>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2"/>
      <c r="AR91" s="92"/>
    </row>
    <row r="92" spans="1:44" ht="15.75" customHeight="1">
      <c r="A92" s="92"/>
      <c r="B92" s="92"/>
      <c r="C92" s="9"/>
      <c r="D92" s="9"/>
      <c r="E92" s="92"/>
      <c r="F92" s="92"/>
      <c r="G92" s="92"/>
      <c r="H92" s="92"/>
      <c r="I92" s="92"/>
      <c r="J92" s="92"/>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2"/>
      <c r="AR92" s="92"/>
    </row>
    <row r="93" spans="1:44" ht="15.75" customHeight="1">
      <c r="A93" s="92"/>
      <c r="B93" s="92"/>
      <c r="C93" s="9"/>
      <c r="D93" s="9"/>
      <c r="E93" s="92"/>
      <c r="F93" s="92"/>
      <c r="G93" s="92"/>
      <c r="H93" s="92"/>
      <c r="I93" s="92"/>
      <c r="J93" s="92"/>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2"/>
      <c r="AR93" s="92"/>
    </row>
    <row r="94" spans="1:44" ht="15.75" customHeight="1">
      <c r="A94" s="92"/>
      <c r="B94" s="92"/>
      <c r="C94" s="9"/>
      <c r="D94" s="9"/>
      <c r="E94" s="92"/>
      <c r="F94" s="92"/>
      <c r="G94" s="92"/>
      <c r="H94" s="92"/>
      <c r="I94" s="92"/>
      <c r="J94" s="92"/>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2"/>
      <c r="AR94" s="92"/>
    </row>
    <row r="95" spans="1:44" ht="15.75" customHeight="1">
      <c r="A95" s="92"/>
      <c r="B95" s="92"/>
      <c r="C95" s="9"/>
      <c r="D95" s="9"/>
      <c r="E95" s="92"/>
      <c r="F95" s="92"/>
      <c r="G95" s="92"/>
      <c r="H95" s="92"/>
      <c r="I95" s="92"/>
      <c r="J95" s="92"/>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2"/>
      <c r="AR95" s="92"/>
    </row>
    <row r="96" spans="1:44" ht="15.75" customHeight="1">
      <c r="A96" s="92"/>
      <c r="B96" s="92"/>
      <c r="C96" s="9"/>
      <c r="D96" s="9"/>
      <c r="E96" s="92"/>
      <c r="F96" s="92"/>
      <c r="G96" s="92"/>
      <c r="H96" s="92"/>
      <c r="I96" s="92"/>
      <c r="J96" s="92"/>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2"/>
      <c r="AR96" s="92"/>
    </row>
    <row r="97" spans="1:44" ht="15.75" customHeight="1">
      <c r="A97" s="92"/>
      <c r="B97" s="92"/>
      <c r="C97" s="9"/>
      <c r="D97" s="9"/>
      <c r="E97" s="92"/>
      <c r="F97" s="92"/>
      <c r="G97" s="92"/>
      <c r="H97" s="92"/>
      <c r="I97" s="92"/>
      <c r="J97" s="92"/>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2"/>
      <c r="AR97" s="92"/>
    </row>
    <row r="98" spans="1:44" ht="15.75" customHeight="1">
      <c r="A98" s="92"/>
      <c r="B98" s="92"/>
      <c r="C98" s="9"/>
      <c r="D98" s="9"/>
      <c r="E98" s="92"/>
      <c r="F98" s="92"/>
      <c r="G98" s="92"/>
      <c r="H98" s="92"/>
      <c r="I98" s="92"/>
      <c r="J98" s="92"/>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2"/>
      <c r="AR98" s="92"/>
    </row>
    <row r="99" spans="1:44" ht="15.75" customHeight="1">
      <c r="A99" s="92"/>
      <c r="B99" s="92"/>
      <c r="C99" s="9"/>
      <c r="D99" s="9"/>
      <c r="E99" s="92"/>
      <c r="F99" s="92"/>
      <c r="G99" s="92"/>
      <c r="H99" s="92"/>
      <c r="I99" s="92"/>
      <c r="J99" s="92"/>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2"/>
      <c r="AR99" s="92"/>
    </row>
    <row r="100" spans="1:44" ht="15.75" customHeight="1">
      <c r="A100" s="92"/>
      <c r="B100" s="92"/>
      <c r="C100" s="9"/>
      <c r="D100" s="9"/>
      <c r="E100" s="92"/>
      <c r="F100" s="92"/>
      <c r="G100" s="92"/>
      <c r="H100" s="92"/>
      <c r="I100" s="92"/>
      <c r="J100" s="92"/>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2"/>
      <c r="AR100" s="92"/>
    </row>
    <row r="101" spans="1:44" ht="15.75" customHeight="1">
      <c r="A101" s="92"/>
      <c r="B101" s="92"/>
      <c r="C101" s="9"/>
      <c r="D101" s="9"/>
      <c r="E101" s="92"/>
      <c r="F101" s="92"/>
      <c r="G101" s="92"/>
      <c r="H101" s="92"/>
      <c r="I101" s="92"/>
      <c r="J101" s="92"/>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2"/>
      <c r="AR101" s="92"/>
    </row>
    <row r="102" spans="1:44" ht="15.75" customHeight="1">
      <c r="A102" s="92"/>
      <c r="B102" s="92"/>
      <c r="C102" s="9"/>
      <c r="D102" s="9"/>
      <c r="E102" s="92"/>
      <c r="F102" s="92"/>
      <c r="G102" s="92"/>
      <c r="H102" s="92"/>
      <c r="I102" s="92"/>
      <c r="J102" s="92"/>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2"/>
      <c r="AR102" s="92"/>
    </row>
    <row r="103" spans="1:44" ht="15.75" customHeight="1">
      <c r="A103" s="92"/>
      <c r="B103" s="92"/>
      <c r="C103" s="9"/>
      <c r="D103" s="9"/>
      <c r="E103" s="92"/>
      <c r="F103" s="92"/>
      <c r="G103" s="92"/>
      <c r="H103" s="92"/>
      <c r="I103" s="92"/>
      <c r="J103" s="92"/>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2"/>
      <c r="AR103" s="92"/>
    </row>
    <row r="104" spans="1:44" ht="15.75" customHeight="1">
      <c r="A104" s="92"/>
      <c r="B104" s="92"/>
      <c r="C104" s="9"/>
      <c r="D104" s="9"/>
      <c r="E104" s="92"/>
      <c r="F104" s="92"/>
      <c r="G104" s="92"/>
      <c r="H104" s="92"/>
      <c r="I104" s="92"/>
      <c r="J104" s="92"/>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2"/>
      <c r="AR104" s="92"/>
    </row>
    <row r="105" spans="1:44" ht="15.75" customHeight="1">
      <c r="A105" s="92"/>
      <c r="B105" s="92"/>
      <c r="C105" s="9"/>
      <c r="D105" s="9"/>
      <c r="E105" s="92"/>
      <c r="F105" s="92"/>
      <c r="G105" s="92"/>
      <c r="H105" s="92"/>
      <c r="I105" s="92"/>
      <c r="J105" s="92"/>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2"/>
      <c r="AR105" s="92"/>
    </row>
    <row r="106" spans="1:44" ht="15.75" customHeight="1">
      <c r="A106" s="92"/>
      <c r="B106" s="92"/>
      <c r="C106" s="9"/>
      <c r="D106" s="9"/>
      <c r="E106" s="92"/>
      <c r="F106" s="92"/>
      <c r="G106" s="92"/>
      <c r="H106" s="92"/>
      <c r="I106" s="92"/>
      <c r="J106" s="92"/>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2"/>
      <c r="AR106" s="92"/>
    </row>
    <row r="107" spans="1:44" ht="15.75" customHeight="1">
      <c r="A107" s="92"/>
      <c r="B107" s="92"/>
      <c r="C107" s="9"/>
      <c r="D107" s="9"/>
      <c r="E107" s="92"/>
      <c r="F107" s="92"/>
      <c r="G107" s="92"/>
      <c r="H107" s="92"/>
      <c r="I107" s="92"/>
      <c r="J107" s="92"/>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2"/>
      <c r="AR107" s="92"/>
    </row>
    <row r="108" spans="1:44" ht="15.75" customHeight="1">
      <c r="A108" s="92"/>
      <c r="B108" s="92"/>
      <c r="C108" s="9"/>
      <c r="D108" s="9"/>
      <c r="E108" s="92"/>
      <c r="F108" s="92"/>
      <c r="G108" s="92"/>
      <c r="H108" s="92"/>
      <c r="I108" s="92"/>
      <c r="J108" s="92"/>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2"/>
      <c r="AR108" s="92"/>
    </row>
    <row r="109" spans="1:44" ht="15.75" customHeight="1">
      <c r="A109" s="92"/>
      <c r="B109" s="92"/>
      <c r="C109" s="9"/>
      <c r="D109" s="9"/>
      <c r="E109" s="92"/>
      <c r="F109" s="92"/>
      <c r="G109" s="92"/>
      <c r="H109" s="92"/>
      <c r="I109" s="92"/>
      <c r="J109" s="92"/>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2"/>
      <c r="AR109" s="92"/>
    </row>
    <row r="110" spans="1:44" ht="15.75" customHeight="1">
      <c r="A110" s="92"/>
      <c r="B110" s="92"/>
      <c r="C110" s="9"/>
      <c r="D110" s="9"/>
      <c r="E110" s="92"/>
      <c r="F110" s="92"/>
      <c r="G110" s="92"/>
      <c r="H110" s="92"/>
      <c r="I110" s="92"/>
      <c r="J110" s="92"/>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2"/>
      <c r="AR110" s="92"/>
    </row>
    <row r="111" spans="1:44" ht="15.75" customHeight="1">
      <c r="A111" s="92"/>
      <c r="B111" s="92"/>
      <c r="C111" s="9"/>
      <c r="D111" s="9"/>
      <c r="E111" s="92"/>
      <c r="F111" s="92"/>
      <c r="G111" s="92"/>
      <c r="H111" s="92"/>
      <c r="I111" s="92"/>
      <c r="J111" s="92"/>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2"/>
      <c r="AR111" s="92"/>
    </row>
    <row r="112" spans="1:44" ht="15.75" customHeight="1">
      <c r="A112" s="92"/>
      <c r="B112" s="92"/>
      <c r="C112" s="9"/>
      <c r="D112" s="9"/>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2"/>
      <c r="AR112" s="92"/>
    </row>
    <row r="113" spans="1:44" ht="15.75" customHeight="1">
      <c r="A113" s="92"/>
      <c r="B113" s="92"/>
      <c r="C113" s="9"/>
      <c r="D113" s="9"/>
      <c r="E113" s="92"/>
      <c r="F113" s="92"/>
      <c r="G113" s="92"/>
      <c r="H113" s="92"/>
      <c r="I113" s="92"/>
      <c r="J113" s="92"/>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2"/>
      <c r="AR113" s="92"/>
    </row>
    <row r="114" spans="1:44" ht="15.75" customHeight="1">
      <c r="A114" s="92"/>
      <c r="B114" s="92"/>
      <c r="C114" s="9"/>
      <c r="D114" s="9"/>
      <c r="E114" s="92"/>
      <c r="F114" s="92"/>
      <c r="G114" s="92"/>
      <c r="H114" s="92"/>
      <c r="I114" s="92"/>
      <c r="J114" s="92"/>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2"/>
      <c r="AR114" s="92"/>
    </row>
    <row r="115" spans="1:44" ht="15.75" customHeight="1">
      <c r="A115" s="92"/>
      <c r="B115" s="92"/>
      <c r="C115" s="9"/>
      <c r="D115" s="9"/>
      <c r="E115" s="92"/>
      <c r="F115" s="92"/>
      <c r="G115" s="92"/>
      <c r="H115" s="92"/>
      <c r="I115" s="92"/>
      <c r="J115" s="92"/>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2"/>
      <c r="AR115" s="92"/>
    </row>
    <row r="116" spans="1:44" ht="15.75" customHeight="1">
      <c r="A116" s="92"/>
      <c r="B116" s="92"/>
      <c r="C116" s="9"/>
      <c r="D116" s="9"/>
      <c r="E116" s="92"/>
      <c r="F116" s="92"/>
      <c r="G116" s="92"/>
      <c r="H116" s="92"/>
      <c r="I116" s="92"/>
      <c r="J116" s="92"/>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2"/>
      <c r="AR116" s="92"/>
    </row>
    <row r="117" spans="1:44" ht="15.75" customHeight="1">
      <c r="A117" s="92"/>
      <c r="B117" s="92"/>
      <c r="C117" s="9"/>
      <c r="D117" s="9"/>
      <c r="E117" s="92"/>
      <c r="F117" s="92"/>
      <c r="G117" s="92"/>
      <c r="H117" s="92"/>
      <c r="I117" s="92"/>
      <c r="J117" s="92"/>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2"/>
      <c r="AR117" s="92"/>
    </row>
    <row r="118" spans="1:44" ht="15.75" customHeight="1">
      <c r="A118" s="92"/>
      <c r="B118" s="92"/>
      <c r="C118" s="9"/>
      <c r="D118" s="9"/>
      <c r="E118" s="92"/>
      <c r="F118" s="92"/>
      <c r="G118" s="92"/>
      <c r="H118" s="92"/>
      <c r="I118" s="92"/>
      <c r="J118" s="92"/>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2"/>
      <c r="AR118" s="92"/>
    </row>
    <row r="119" spans="1:44" ht="15.75" customHeight="1">
      <c r="A119" s="92"/>
      <c r="B119" s="92"/>
      <c r="C119" s="9"/>
      <c r="D119" s="9"/>
      <c r="E119" s="92"/>
      <c r="F119" s="92"/>
      <c r="G119" s="92"/>
      <c r="H119" s="92"/>
      <c r="I119" s="92"/>
      <c r="J119" s="92"/>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2"/>
      <c r="AR119" s="92"/>
    </row>
    <row r="120" spans="1:44" ht="15.75" customHeight="1">
      <c r="A120" s="92"/>
      <c r="B120" s="92"/>
      <c r="C120" s="9"/>
      <c r="D120" s="9"/>
      <c r="E120" s="92"/>
      <c r="F120" s="92"/>
      <c r="G120" s="92"/>
      <c r="H120" s="92"/>
      <c r="I120" s="92"/>
      <c r="J120" s="92"/>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2"/>
      <c r="AR120" s="92"/>
    </row>
    <row r="121" spans="1:44" ht="15.75" customHeight="1">
      <c r="A121" s="92"/>
      <c r="B121" s="92"/>
      <c r="C121" s="9"/>
      <c r="D121" s="9"/>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2"/>
      <c r="AR121" s="92"/>
    </row>
    <row r="122" spans="1:44" ht="15.75" customHeight="1">
      <c r="A122" s="92"/>
      <c r="B122" s="92"/>
      <c r="C122" s="9"/>
      <c r="D122" s="9"/>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2"/>
      <c r="AR122" s="92"/>
    </row>
    <row r="123" spans="1:44" ht="15.75" customHeight="1">
      <c r="A123" s="92"/>
      <c r="B123" s="92"/>
      <c r="C123" s="9"/>
      <c r="D123" s="9"/>
      <c r="E123" s="92"/>
      <c r="F123" s="92"/>
      <c r="G123" s="92"/>
      <c r="H123" s="92"/>
      <c r="I123" s="92"/>
      <c r="J123" s="92"/>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2"/>
      <c r="AR123" s="92"/>
    </row>
    <row r="124" spans="1:44" ht="15.75" customHeight="1">
      <c r="A124" s="92"/>
      <c r="B124" s="92"/>
      <c r="C124" s="9"/>
      <c r="D124" s="9"/>
      <c r="E124" s="92"/>
      <c r="F124" s="92"/>
      <c r="G124" s="92"/>
      <c r="H124" s="92"/>
      <c r="I124" s="92"/>
      <c r="J124" s="92"/>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2"/>
      <c r="AR124" s="92"/>
    </row>
    <row r="125" spans="1:44" ht="15.75" customHeight="1">
      <c r="A125" s="92"/>
      <c r="B125" s="92"/>
      <c r="C125" s="9"/>
      <c r="D125" s="9"/>
      <c r="E125" s="92"/>
      <c r="F125" s="92"/>
      <c r="G125" s="92"/>
      <c r="H125" s="92"/>
      <c r="I125" s="92"/>
      <c r="J125" s="92"/>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2"/>
      <c r="AR125" s="92"/>
    </row>
    <row r="126" spans="1:44" ht="15.75" customHeight="1">
      <c r="A126" s="92"/>
      <c r="B126" s="92"/>
      <c r="C126" s="9"/>
      <c r="D126" s="9"/>
      <c r="E126" s="92"/>
      <c r="F126" s="92"/>
      <c r="G126" s="92"/>
      <c r="H126" s="92"/>
      <c r="I126" s="92"/>
      <c r="J126" s="92"/>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2"/>
      <c r="AR126" s="92"/>
    </row>
    <row r="127" spans="1:44" ht="15.75" customHeight="1">
      <c r="A127" s="92"/>
      <c r="B127" s="92"/>
      <c r="C127" s="9"/>
      <c r="D127" s="9"/>
      <c r="E127" s="92"/>
      <c r="F127" s="92"/>
      <c r="G127" s="92"/>
      <c r="H127" s="92"/>
      <c r="I127" s="92"/>
      <c r="J127" s="92"/>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2"/>
      <c r="AR127" s="92"/>
    </row>
    <row r="128" spans="1:44" ht="15.75" customHeight="1">
      <c r="A128" s="92"/>
      <c r="B128" s="92"/>
      <c r="C128" s="9"/>
      <c r="D128" s="9"/>
      <c r="E128" s="92"/>
      <c r="F128" s="92"/>
      <c r="G128" s="92"/>
      <c r="H128" s="92"/>
      <c r="I128" s="92"/>
      <c r="J128" s="92"/>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2"/>
      <c r="AR128" s="92"/>
    </row>
    <row r="129" spans="1:44" ht="15.75" customHeight="1">
      <c r="A129" s="92"/>
      <c r="B129" s="92"/>
      <c r="C129" s="9"/>
      <c r="D129" s="9"/>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2"/>
      <c r="AR129" s="92"/>
    </row>
    <row r="130" spans="1:44" ht="15.75" customHeight="1">
      <c r="A130" s="92"/>
      <c r="B130" s="92"/>
      <c r="C130" s="9"/>
      <c r="D130" s="9"/>
      <c r="E130" s="92"/>
      <c r="F130" s="92"/>
      <c r="G130" s="92"/>
      <c r="H130" s="92"/>
      <c r="I130" s="92"/>
      <c r="J130" s="92"/>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2"/>
      <c r="AR130" s="92"/>
    </row>
    <row r="131" spans="1:44" ht="15.75" customHeight="1">
      <c r="A131" s="92"/>
      <c r="B131" s="92"/>
      <c r="C131" s="9"/>
      <c r="D131" s="9"/>
      <c r="E131" s="92"/>
      <c r="F131" s="92"/>
      <c r="G131" s="92"/>
      <c r="H131" s="92"/>
      <c r="I131" s="92"/>
      <c r="J131" s="92"/>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2"/>
      <c r="AR131" s="92"/>
    </row>
    <row r="132" spans="1:44" ht="15.75" customHeight="1">
      <c r="A132" s="92"/>
      <c r="B132" s="92"/>
      <c r="C132" s="9"/>
      <c r="D132" s="9"/>
      <c r="E132" s="92"/>
      <c r="F132" s="92"/>
      <c r="G132" s="92"/>
      <c r="H132" s="92"/>
      <c r="I132" s="92"/>
      <c r="J132" s="92"/>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2"/>
      <c r="AR132" s="92"/>
    </row>
    <row r="133" spans="1:44" ht="15.75" customHeight="1">
      <c r="A133" s="92"/>
      <c r="B133" s="92"/>
      <c r="C133" s="9"/>
      <c r="D133" s="9"/>
      <c r="E133" s="92"/>
      <c r="F133" s="92"/>
      <c r="G133" s="92"/>
      <c r="H133" s="92"/>
      <c r="I133" s="92"/>
      <c r="J133" s="92"/>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2"/>
      <c r="AR133" s="92"/>
    </row>
    <row r="134" spans="1:44" ht="15.75" customHeight="1">
      <c r="A134" s="92"/>
      <c r="B134" s="92"/>
      <c r="C134" s="9"/>
      <c r="D134" s="9"/>
      <c r="E134" s="92"/>
      <c r="F134" s="92"/>
      <c r="G134" s="92"/>
      <c r="H134" s="92"/>
      <c r="I134" s="92"/>
      <c r="J134" s="92"/>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2"/>
      <c r="AR134" s="92"/>
    </row>
    <row r="135" spans="1:44" ht="15.75" customHeight="1">
      <c r="A135" s="92"/>
      <c r="B135" s="92"/>
      <c r="C135" s="9"/>
      <c r="D135" s="9"/>
      <c r="E135" s="92"/>
      <c r="F135" s="92"/>
      <c r="G135" s="92"/>
      <c r="H135" s="92"/>
      <c r="I135" s="92"/>
      <c r="J135" s="92"/>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2"/>
      <c r="AR135" s="92"/>
    </row>
    <row r="136" spans="1:44" ht="15.75" customHeight="1">
      <c r="A136" s="92"/>
      <c r="B136" s="92"/>
      <c r="C136" s="9"/>
      <c r="D136" s="9"/>
      <c r="E136" s="92"/>
      <c r="F136" s="92"/>
      <c r="G136" s="92"/>
      <c r="H136" s="92"/>
      <c r="I136" s="92"/>
      <c r="J136" s="92"/>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2"/>
      <c r="AR136" s="92"/>
    </row>
    <row r="137" spans="1:44" ht="15.75" customHeight="1">
      <c r="A137" s="92"/>
      <c r="B137" s="92"/>
      <c r="C137" s="9"/>
      <c r="D137" s="9"/>
      <c r="E137" s="92"/>
      <c r="F137" s="92"/>
      <c r="G137" s="92"/>
      <c r="H137" s="92"/>
      <c r="I137" s="92"/>
      <c r="J137" s="92"/>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2"/>
      <c r="AR137" s="92"/>
    </row>
    <row r="138" spans="1:44" ht="15.75" customHeight="1">
      <c r="A138" s="92"/>
      <c r="B138" s="92"/>
      <c r="C138" s="9"/>
      <c r="D138" s="9"/>
      <c r="E138" s="92"/>
      <c r="F138" s="92"/>
      <c r="G138" s="92"/>
      <c r="H138" s="92"/>
      <c r="I138" s="92"/>
      <c r="J138" s="92"/>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2"/>
      <c r="AR138" s="92"/>
    </row>
    <row r="139" spans="1:44" ht="15.75" customHeight="1">
      <c r="A139" s="92"/>
      <c r="B139" s="92"/>
      <c r="C139" s="9"/>
      <c r="D139" s="9"/>
      <c r="E139" s="92"/>
      <c r="F139" s="92"/>
      <c r="G139" s="92"/>
      <c r="H139" s="92"/>
      <c r="I139" s="92"/>
      <c r="J139" s="92"/>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2"/>
      <c r="AR139" s="92"/>
    </row>
    <row r="140" spans="1:44" ht="15.75" customHeight="1">
      <c r="A140" s="92"/>
      <c r="B140" s="92"/>
      <c r="C140" s="9"/>
      <c r="D140" s="9"/>
      <c r="E140" s="92"/>
      <c r="F140" s="92"/>
      <c r="G140" s="92"/>
      <c r="H140" s="92"/>
      <c r="I140" s="92"/>
      <c r="J140" s="92"/>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2"/>
      <c r="AR140" s="92"/>
    </row>
    <row r="141" spans="1:44" ht="15.75" customHeight="1">
      <c r="A141" s="92"/>
      <c r="B141" s="92"/>
      <c r="C141" s="9"/>
      <c r="D141" s="9"/>
      <c r="E141" s="92"/>
      <c r="F141" s="92"/>
      <c r="G141" s="92"/>
      <c r="H141" s="92"/>
      <c r="I141" s="92"/>
      <c r="J141" s="92"/>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2"/>
      <c r="AR141" s="92"/>
    </row>
    <row r="142" spans="1:44" ht="15.75" customHeight="1">
      <c r="A142" s="92"/>
      <c r="B142" s="92"/>
      <c r="C142" s="9"/>
      <c r="D142" s="9"/>
      <c r="E142" s="92"/>
      <c r="F142" s="92"/>
      <c r="G142" s="92"/>
      <c r="H142" s="92"/>
      <c r="I142" s="92"/>
      <c r="J142" s="92"/>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2"/>
      <c r="AR142" s="92"/>
    </row>
    <row r="143" spans="1:44" ht="15.75" customHeight="1">
      <c r="A143" s="92"/>
      <c r="B143" s="92"/>
      <c r="C143" s="9"/>
      <c r="D143" s="9"/>
      <c r="E143" s="92"/>
      <c r="F143" s="92"/>
      <c r="G143" s="92"/>
      <c r="H143" s="92"/>
      <c r="I143" s="92"/>
      <c r="J143" s="92"/>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2"/>
      <c r="AR143" s="92"/>
    </row>
    <row r="144" spans="1:44" ht="15.75" customHeight="1">
      <c r="A144" s="92"/>
      <c r="B144" s="92"/>
      <c r="C144" s="9"/>
      <c r="D144" s="9"/>
      <c r="E144" s="92"/>
      <c r="F144" s="92"/>
      <c r="G144" s="92"/>
      <c r="H144" s="92"/>
      <c r="I144" s="92"/>
      <c r="J144" s="92"/>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2"/>
      <c r="AR144" s="92"/>
    </row>
    <row r="145" spans="1:44" ht="15.75" customHeight="1">
      <c r="A145" s="92"/>
      <c r="B145" s="92"/>
      <c r="C145" s="9"/>
      <c r="D145" s="9"/>
      <c r="E145" s="92"/>
      <c r="F145" s="92"/>
      <c r="G145" s="92"/>
      <c r="H145" s="92"/>
      <c r="I145" s="92"/>
      <c r="J145" s="92"/>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2"/>
      <c r="AR145" s="92"/>
    </row>
    <row r="146" spans="1:44" ht="15.75" customHeight="1">
      <c r="A146" s="92"/>
      <c r="B146" s="92"/>
      <c r="C146" s="9"/>
      <c r="D146" s="9"/>
      <c r="E146" s="92"/>
      <c r="F146" s="92"/>
      <c r="G146" s="92"/>
      <c r="H146" s="92"/>
      <c r="I146" s="92"/>
      <c r="J146" s="92"/>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2"/>
      <c r="AR146" s="92"/>
    </row>
    <row r="147" spans="1:44" ht="15.75" customHeight="1">
      <c r="A147" s="92"/>
      <c r="B147" s="92"/>
      <c r="C147" s="9"/>
      <c r="D147" s="9"/>
      <c r="E147" s="92"/>
      <c r="F147" s="92"/>
      <c r="G147" s="92"/>
      <c r="H147" s="92"/>
      <c r="I147" s="92"/>
      <c r="J147" s="92"/>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2"/>
      <c r="AR147" s="92"/>
    </row>
    <row r="148" spans="1:44" ht="15.75" customHeight="1">
      <c r="A148" s="92"/>
      <c r="B148" s="92"/>
      <c r="C148" s="9"/>
      <c r="D148" s="9"/>
      <c r="E148" s="92"/>
      <c r="F148" s="92"/>
      <c r="G148" s="92"/>
      <c r="H148" s="92"/>
      <c r="I148" s="92"/>
      <c r="J148" s="92"/>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2"/>
      <c r="AR148" s="92"/>
    </row>
    <row r="149" spans="1:44" ht="15.75" customHeight="1">
      <c r="A149" s="92"/>
      <c r="B149" s="92"/>
      <c r="C149" s="9"/>
      <c r="D149" s="9"/>
      <c r="E149" s="92"/>
      <c r="F149" s="92"/>
      <c r="G149" s="92"/>
      <c r="H149" s="92"/>
      <c r="I149" s="92"/>
      <c r="J149" s="92"/>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2"/>
      <c r="AR149" s="92"/>
    </row>
    <row r="150" spans="1:44" ht="15.75" customHeight="1">
      <c r="A150" s="92"/>
      <c r="B150" s="92"/>
      <c r="C150" s="9"/>
      <c r="D150" s="9"/>
      <c r="E150" s="92"/>
      <c r="F150" s="92"/>
      <c r="G150" s="92"/>
      <c r="H150" s="92"/>
      <c r="I150" s="92"/>
      <c r="J150" s="92"/>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2"/>
      <c r="AR150" s="92"/>
    </row>
    <row r="151" spans="1:44" ht="15.75" customHeight="1">
      <c r="A151" s="92"/>
      <c r="B151" s="92"/>
      <c r="C151" s="9"/>
      <c r="D151" s="9"/>
      <c r="E151" s="92"/>
      <c r="F151" s="92"/>
      <c r="G151" s="92"/>
      <c r="H151" s="92"/>
      <c r="I151" s="92"/>
      <c r="J151" s="92"/>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2"/>
      <c r="AR151" s="92"/>
    </row>
    <row r="152" spans="1:44" ht="15.75" customHeight="1">
      <c r="A152" s="92"/>
      <c r="B152" s="92"/>
      <c r="C152" s="9"/>
      <c r="D152" s="9"/>
      <c r="E152" s="92"/>
      <c r="F152" s="92"/>
      <c r="G152" s="92"/>
      <c r="H152" s="92"/>
      <c r="I152" s="92"/>
      <c r="J152" s="92"/>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2"/>
      <c r="AR152" s="92"/>
    </row>
    <row r="153" spans="1:44" ht="15.75" customHeight="1">
      <c r="A153" s="92"/>
      <c r="B153" s="92"/>
      <c r="C153" s="9"/>
      <c r="D153" s="9"/>
      <c r="E153" s="92"/>
      <c r="F153" s="92"/>
      <c r="G153" s="92"/>
      <c r="H153" s="92"/>
      <c r="I153" s="92"/>
      <c r="J153" s="92"/>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2"/>
      <c r="AR153" s="92"/>
    </row>
    <row r="154" spans="1:44" ht="15.75" customHeight="1">
      <c r="A154" s="92"/>
      <c r="B154" s="92"/>
      <c r="C154" s="9"/>
      <c r="D154" s="9"/>
      <c r="E154" s="92"/>
      <c r="F154" s="92"/>
      <c r="G154" s="92"/>
      <c r="H154" s="92"/>
      <c r="I154" s="92"/>
      <c r="J154" s="92"/>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2"/>
      <c r="AR154" s="92"/>
    </row>
    <row r="155" spans="1:44" ht="15.75" customHeight="1">
      <c r="A155" s="92"/>
      <c r="B155" s="92"/>
      <c r="C155" s="9"/>
      <c r="D155" s="9"/>
      <c r="E155" s="92"/>
      <c r="F155" s="92"/>
      <c r="G155" s="92"/>
      <c r="H155" s="92"/>
      <c r="I155" s="92"/>
      <c r="J155" s="92"/>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2"/>
      <c r="AR155" s="92"/>
    </row>
    <row r="156" spans="1:44" ht="15.75" customHeight="1">
      <c r="A156" s="92"/>
      <c r="B156" s="92"/>
      <c r="C156" s="9"/>
      <c r="D156" s="9"/>
      <c r="E156" s="92"/>
      <c r="F156" s="92"/>
      <c r="G156" s="92"/>
      <c r="H156" s="92"/>
      <c r="I156" s="92"/>
      <c r="J156" s="92"/>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2"/>
      <c r="AR156" s="92"/>
    </row>
    <row r="157" spans="1:44" ht="15.75" customHeight="1">
      <c r="A157" s="92"/>
      <c r="B157" s="92"/>
      <c r="C157" s="9"/>
      <c r="D157" s="9"/>
      <c r="E157" s="92"/>
      <c r="F157" s="92"/>
      <c r="G157" s="92"/>
      <c r="H157" s="92"/>
      <c r="I157" s="92"/>
      <c r="J157" s="92"/>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2"/>
      <c r="AR157" s="92"/>
    </row>
    <row r="158" spans="1:44" ht="15.75" customHeight="1">
      <c r="A158" s="92"/>
      <c r="B158" s="92"/>
      <c r="C158" s="9"/>
      <c r="D158" s="9"/>
      <c r="E158" s="92"/>
      <c r="F158" s="92"/>
      <c r="G158" s="92"/>
      <c r="H158" s="92"/>
      <c r="I158" s="92"/>
      <c r="J158" s="92"/>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2"/>
      <c r="AR158" s="92"/>
    </row>
    <row r="159" spans="1:44" ht="15.75" customHeight="1">
      <c r="A159" s="92"/>
      <c r="B159" s="92"/>
      <c r="C159" s="9"/>
      <c r="D159" s="9"/>
      <c r="E159" s="92"/>
      <c r="F159" s="92"/>
      <c r="G159" s="92"/>
      <c r="H159" s="92"/>
      <c r="I159" s="92"/>
      <c r="J159" s="92"/>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2"/>
      <c r="AR159" s="92"/>
    </row>
    <row r="160" spans="1:44" ht="15.75" customHeight="1">
      <c r="A160" s="92"/>
      <c r="B160" s="92"/>
      <c r="C160" s="9"/>
      <c r="D160" s="9"/>
      <c r="E160" s="92"/>
      <c r="F160" s="92"/>
      <c r="G160" s="92"/>
      <c r="H160" s="92"/>
      <c r="I160" s="92"/>
      <c r="J160" s="92"/>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2"/>
      <c r="AR160" s="92"/>
    </row>
    <row r="161" spans="1:44" ht="15.75" customHeight="1">
      <c r="A161" s="92"/>
      <c r="B161" s="92"/>
      <c r="C161" s="9"/>
      <c r="D161" s="9"/>
      <c r="E161" s="92"/>
      <c r="F161" s="92"/>
      <c r="G161" s="92"/>
      <c r="H161" s="92"/>
      <c r="I161" s="92"/>
      <c r="J161" s="92"/>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2"/>
      <c r="AR161" s="92"/>
    </row>
    <row r="162" spans="1:44" ht="15.75" customHeight="1">
      <c r="A162" s="92"/>
      <c r="B162" s="92"/>
      <c r="C162" s="9"/>
      <c r="D162" s="9"/>
      <c r="E162" s="92"/>
      <c r="F162" s="92"/>
      <c r="G162" s="92"/>
      <c r="H162" s="92"/>
      <c r="I162" s="92"/>
      <c r="J162" s="92"/>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2"/>
      <c r="AR162" s="92"/>
    </row>
    <row r="163" spans="1:44" ht="15.75" customHeight="1">
      <c r="A163" s="92"/>
      <c r="B163" s="92"/>
      <c r="C163" s="9"/>
      <c r="D163" s="9"/>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2"/>
      <c r="AR163" s="92"/>
    </row>
    <row r="164" spans="1:44" ht="15.75" customHeight="1">
      <c r="A164" s="92"/>
      <c r="B164" s="92"/>
      <c r="C164" s="9"/>
      <c r="D164" s="9"/>
      <c r="E164" s="92"/>
      <c r="F164" s="92"/>
      <c r="G164" s="92"/>
      <c r="H164" s="92"/>
      <c r="I164" s="92"/>
      <c r="J164" s="92"/>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2"/>
      <c r="AR164" s="92"/>
    </row>
    <row r="165" spans="1:44" ht="15.75" customHeight="1">
      <c r="A165" s="92"/>
      <c r="B165" s="92"/>
      <c r="C165" s="9"/>
      <c r="D165" s="9"/>
      <c r="E165" s="92"/>
      <c r="F165" s="92"/>
      <c r="G165" s="92"/>
      <c r="H165" s="92"/>
      <c r="I165" s="92"/>
      <c r="J165" s="92"/>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2"/>
      <c r="AR165" s="92"/>
    </row>
    <row r="166" spans="1:44" ht="15.75" customHeight="1">
      <c r="A166" s="92"/>
      <c r="B166" s="92"/>
      <c r="C166" s="9"/>
      <c r="D166" s="9"/>
      <c r="E166" s="92"/>
      <c r="F166" s="92"/>
      <c r="G166" s="92"/>
      <c r="H166" s="92"/>
      <c r="I166" s="92"/>
      <c r="J166" s="92"/>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2"/>
      <c r="AR166" s="92"/>
    </row>
    <row r="167" spans="1:44" ht="15.75" customHeight="1">
      <c r="A167" s="92"/>
      <c r="B167" s="92"/>
      <c r="C167" s="9"/>
      <c r="D167" s="9"/>
      <c r="E167" s="92"/>
      <c r="F167" s="92"/>
      <c r="G167" s="92"/>
      <c r="H167" s="92"/>
      <c r="I167" s="92"/>
      <c r="J167" s="92"/>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2"/>
      <c r="AR167" s="92"/>
    </row>
    <row r="168" spans="1:44" ht="15.75" customHeight="1">
      <c r="A168" s="92"/>
      <c r="B168" s="92"/>
      <c r="C168" s="9"/>
      <c r="D168" s="9"/>
      <c r="E168" s="92"/>
      <c r="F168" s="92"/>
      <c r="G168" s="92"/>
      <c r="H168" s="92"/>
      <c r="I168" s="92"/>
      <c r="J168" s="92"/>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2"/>
      <c r="AR168" s="92"/>
    </row>
    <row r="169" spans="1:44" ht="15.75" customHeight="1">
      <c r="A169" s="92"/>
      <c r="B169" s="92"/>
      <c r="C169" s="9"/>
      <c r="D169" s="9"/>
      <c r="E169" s="92"/>
      <c r="F169" s="92"/>
      <c r="G169" s="92"/>
      <c r="H169" s="92"/>
      <c r="I169" s="92"/>
      <c r="J169" s="92"/>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2"/>
      <c r="AR169" s="92"/>
    </row>
    <row r="170" spans="1:44" ht="15.75" customHeight="1">
      <c r="A170" s="92"/>
      <c r="B170" s="92"/>
      <c r="C170" s="9"/>
      <c r="D170" s="9"/>
      <c r="E170" s="92"/>
      <c r="F170" s="92"/>
      <c r="G170" s="92"/>
      <c r="H170" s="92"/>
      <c r="I170" s="92"/>
      <c r="J170" s="92"/>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2"/>
      <c r="AR170" s="92"/>
    </row>
    <row r="171" spans="1:44" ht="15.75" customHeight="1">
      <c r="A171" s="92"/>
      <c r="B171" s="92"/>
      <c r="C171" s="9"/>
      <c r="D171" s="9"/>
      <c r="E171" s="92"/>
      <c r="F171" s="92"/>
      <c r="G171" s="92"/>
      <c r="H171" s="92"/>
      <c r="I171" s="92"/>
      <c r="J171" s="92"/>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2"/>
      <c r="AR171" s="92"/>
    </row>
    <row r="172" spans="1:44" ht="15.75" customHeight="1">
      <c r="A172" s="92"/>
      <c r="B172" s="92"/>
      <c r="C172" s="9"/>
      <c r="D172" s="9"/>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2"/>
      <c r="AR172" s="92"/>
    </row>
    <row r="173" spans="1:44" ht="15.75" customHeight="1">
      <c r="A173" s="92"/>
      <c r="B173" s="92"/>
      <c r="C173" s="9"/>
      <c r="D173" s="9"/>
      <c r="E173" s="92"/>
      <c r="F173" s="92"/>
      <c r="G173" s="92"/>
      <c r="H173" s="92"/>
      <c r="I173" s="92"/>
      <c r="J173" s="92"/>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2"/>
      <c r="AR173" s="92"/>
    </row>
    <row r="174" spans="1:44" ht="15.75" customHeight="1">
      <c r="A174" s="92"/>
      <c r="B174" s="92"/>
      <c r="C174" s="9"/>
      <c r="D174" s="9"/>
      <c r="E174" s="92"/>
      <c r="F174" s="92"/>
      <c r="G174" s="92"/>
      <c r="H174" s="92"/>
      <c r="I174" s="92"/>
      <c r="J174" s="92"/>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2"/>
      <c r="AR174" s="92"/>
    </row>
    <row r="175" spans="1:44" ht="15.75" customHeight="1">
      <c r="A175" s="92"/>
      <c r="B175" s="92"/>
      <c r="C175" s="9"/>
      <c r="D175" s="9"/>
      <c r="E175" s="92"/>
      <c r="F175" s="92"/>
      <c r="G175" s="92"/>
      <c r="H175" s="92"/>
      <c r="I175" s="92"/>
      <c r="J175" s="92"/>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2"/>
      <c r="AR175" s="92"/>
    </row>
    <row r="176" spans="1:44" ht="15.75" customHeight="1">
      <c r="A176" s="92"/>
      <c r="B176" s="92"/>
      <c r="C176" s="9"/>
      <c r="D176" s="9"/>
      <c r="E176" s="92"/>
      <c r="F176" s="92"/>
      <c r="G176" s="92"/>
      <c r="H176" s="92"/>
      <c r="I176" s="92"/>
      <c r="J176" s="92"/>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2"/>
      <c r="AR176" s="92"/>
    </row>
    <row r="177" spans="1:44" ht="15.75" customHeight="1">
      <c r="A177" s="92"/>
      <c r="B177" s="92"/>
      <c r="C177" s="9"/>
      <c r="D177" s="9"/>
      <c r="E177" s="92"/>
      <c r="F177" s="92"/>
      <c r="G177" s="92"/>
      <c r="H177" s="92"/>
      <c r="I177" s="92"/>
      <c r="J177" s="92"/>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2"/>
      <c r="AR177" s="92"/>
    </row>
    <row r="178" spans="1:44" ht="15.75" customHeight="1">
      <c r="A178" s="92"/>
      <c r="B178" s="92"/>
      <c r="C178" s="9"/>
      <c r="D178" s="9"/>
      <c r="E178" s="92"/>
      <c r="F178" s="92"/>
      <c r="G178" s="92"/>
      <c r="H178" s="92"/>
      <c r="I178" s="92"/>
      <c r="J178" s="92"/>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2"/>
      <c r="AR178" s="92"/>
    </row>
    <row r="179" spans="1:44" ht="15.75" customHeight="1">
      <c r="A179" s="92"/>
      <c r="B179" s="92"/>
      <c r="C179" s="9"/>
      <c r="D179" s="9"/>
      <c r="E179" s="92"/>
      <c r="F179" s="92"/>
      <c r="G179" s="92"/>
      <c r="H179" s="92"/>
      <c r="I179" s="92"/>
      <c r="J179" s="92"/>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2"/>
      <c r="AR179" s="92"/>
    </row>
    <row r="180" spans="1:44" ht="15.75" customHeight="1">
      <c r="A180" s="92"/>
      <c r="B180" s="92"/>
      <c r="C180" s="9"/>
      <c r="D180" s="9"/>
      <c r="E180" s="92"/>
      <c r="F180" s="92"/>
      <c r="G180" s="92"/>
      <c r="H180" s="92"/>
      <c r="I180" s="92"/>
      <c r="J180" s="92"/>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2"/>
      <c r="AR180" s="92"/>
    </row>
    <row r="181" spans="1:44" ht="15.75" customHeight="1">
      <c r="A181" s="92"/>
      <c r="B181" s="92"/>
      <c r="C181" s="9"/>
      <c r="D181" s="9"/>
      <c r="E181" s="92"/>
      <c r="F181" s="92"/>
      <c r="G181" s="92"/>
      <c r="H181" s="92"/>
      <c r="I181" s="92"/>
      <c r="J181" s="92"/>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2"/>
      <c r="AR181" s="92"/>
    </row>
    <row r="182" spans="1:44" ht="15.75" customHeight="1">
      <c r="A182" s="92"/>
      <c r="B182" s="92"/>
      <c r="C182" s="9"/>
      <c r="D182" s="9"/>
      <c r="E182" s="92"/>
      <c r="F182" s="92"/>
      <c r="G182" s="92"/>
      <c r="H182" s="92"/>
      <c r="I182" s="92"/>
      <c r="J182" s="92"/>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2"/>
      <c r="AR182" s="92"/>
    </row>
    <row r="183" spans="1:44" ht="15.75" customHeight="1">
      <c r="A183" s="92"/>
      <c r="B183" s="92"/>
      <c r="C183" s="9"/>
      <c r="D183" s="9"/>
      <c r="E183" s="92"/>
      <c r="F183" s="92"/>
      <c r="G183" s="92"/>
      <c r="H183" s="92"/>
      <c r="I183" s="92"/>
      <c r="J183" s="92"/>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2"/>
      <c r="AR183" s="92"/>
    </row>
    <row r="184" spans="1:44" ht="15.75" customHeight="1">
      <c r="A184" s="92"/>
      <c r="B184" s="92"/>
      <c r="C184" s="9"/>
      <c r="D184" s="9"/>
      <c r="E184" s="92"/>
      <c r="F184" s="92"/>
      <c r="G184" s="92"/>
      <c r="H184" s="92"/>
      <c r="I184" s="92"/>
      <c r="J184" s="92"/>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2"/>
      <c r="AR184" s="92"/>
    </row>
    <row r="185" spans="1:44" ht="15.75" customHeight="1">
      <c r="A185" s="92"/>
      <c r="B185" s="92"/>
      <c r="C185" s="9"/>
      <c r="D185" s="9"/>
      <c r="E185" s="92"/>
      <c r="F185" s="92"/>
      <c r="G185" s="92"/>
      <c r="H185" s="92"/>
      <c r="I185" s="92"/>
      <c r="J185" s="92"/>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2"/>
      <c r="AR185" s="92"/>
    </row>
    <row r="186" spans="1:44" ht="15.75" customHeight="1">
      <c r="A186" s="92"/>
      <c r="B186" s="92"/>
      <c r="C186" s="9"/>
      <c r="D186" s="9"/>
      <c r="E186" s="92"/>
      <c r="F186" s="92"/>
      <c r="G186" s="92"/>
      <c r="H186" s="92"/>
      <c r="I186" s="92"/>
      <c r="J186" s="92"/>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2"/>
      <c r="AR186" s="92"/>
    </row>
    <row r="187" spans="1:44" ht="15.75" customHeight="1">
      <c r="A187" s="92"/>
      <c r="B187" s="92"/>
      <c r="C187" s="9"/>
      <c r="D187" s="9"/>
      <c r="E187" s="92"/>
      <c r="F187" s="92"/>
      <c r="G187" s="92"/>
      <c r="H187" s="92"/>
      <c r="I187" s="92"/>
      <c r="J187" s="92"/>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2"/>
      <c r="AR187" s="92"/>
    </row>
    <row r="188" spans="1:44" ht="15.75" customHeight="1">
      <c r="A188" s="92"/>
      <c r="B188" s="92"/>
      <c r="C188" s="9"/>
      <c r="D188" s="9"/>
      <c r="E188" s="92"/>
      <c r="F188" s="92"/>
      <c r="G188" s="92"/>
      <c r="H188" s="92"/>
      <c r="I188" s="92"/>
      <c r="J188" s="92"/>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2"/>
      <c r="AR188" s="92"/>
    </row>
    <row r="189" spans="1:44" ht="15.75" customHeight="1">
      <c r="A189" s="92"/>
      <c r="B189" s="92"/>
      <c r="C189" s="9"/>
      <c r="D189" s="9"/>
      <c r="E189" s="92"/>
      <c r="F189" s="92"/>
      <c r="G189" s="92"/>
      <c r="H189" s="92"/>
      <c r="I189" s="92"/>
      <c r="J189" s="92"/>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2"/>
      <c r="AR189" s="92"/>
    </row>
    <row r="190" spans="1:44" ht="15.75" customHeight="1">
      <c r="A190" s="92"/>
      <c r="B190" s="92"/>
      <c r="C190" s="9"/>
      <c r="D190" s="9"/>
      <c r="E190" s="92"/>
      <c r="F190" s="92"/>
      <c r="G190" s="92"/>
      <c r="H190" s="92"/>
      <c r="I190" s="92"/>
      <c r="J190" s="92"/>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2"/>
      <c r="AR190" s="92"/>
    </row>
    <row r="191" spans="1:44" ht="15.75" customHeight="1">
      <c r="A191" s="92"/>
      <c r="B191" s="92"/>
      <c r="C191" s="9"/>
      <c r="D191" s="9"/>
      <c r="E191" s="92"/>
      <c r="F191" s="92"/>
      <c r="G191" s="92"/>
      <c r="H191" s="92"/>
      <c r="I191" s="92"/>
      <c r="J191" s="92"/>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2"/>
      <c r="AR191" s="92"/>
    </row>
    <row r="192" spans="1:44" ht="15.75" customHeight="1">
      <c r="A192" s="92"/>
      <c r="B192" s="92"/>
      <c r="C192" s="9"/>
      <c r="D192" s="9"/>
      <c r="E192" s="92"/>
      <c r="F192" s="92"/>
      <c r="G192" s="92"/>
      <c r="H192" s="92"/>
      <c r="I192" s="92"/>
      <c r="J192" s="92"/>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2"/>
      <c r="AR192" s="92"/>
    </row>
    <row r="193" spans="1:44" ht="15.75" customHeight="1">
      <c r="A193" s="92"/>
      <c r="B193" s="92"/>
      <c r="C193" s="9"/>
      <c r="D193" s="9"/>
      <c r="E193" s="92"/>
      <c r="F193" s="92"/>
      <c r="G193" s="92"/>
      <c r="H193" s="92"/>
      <c r="I193" s="92"/>
      <c r="J193" s="92"/>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2"/>
      <c r="AR193" s="92"/>
    </row>
    <row r="194" spans="1:44" ht="15.75" customHeight="1">
      <c r="A194" s="92"/>
      <c r="B194" s="92"/>
      <c r="C194" s="9"/>
      <c r="D194" s="9"/>
      <c r="E194" s="92"/>
      <c r="F194" s="92"/>
      <c r="G194" s="92"/>
      <c r="H194" s="92"/>
      <c r="I194" s="92"/>
      <c r="J194" s="92"/>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2"/>
      <c r="AR194" s="92"/>
    </row>
    <row r="195" spans="1:44" ht="15.75" customHeight="1">
      <c r="A195" s="92"/>
      <c r="B195" s="92"/>
      <c r="C195" s="9"/>
      <c r="D195" s="9"/>
      <c r="E195" s="92"/>
      <c r="F195" s="92"/>
      <c r="G195" s="92"/>
      <c r="H195" s="92"/>
      <c r="I195" s="92"/>
      <c r="J195" s="92"/>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2"/>
      <c r="AR195" s="92"/>
    </row>
    <row r="196" spans="1:44" ht="15.75" customHeight="1">
      <c r="A196" s="92"/>
      <c r="B196" s="92"/>
      <c r="C196" s="9"/>
      <c r="D196" s="9"/>
      <c r="E196" s="92"/>
      <c r="F196" s="92"/>
      <c r="G196" s="92"/>
      <c r="H196" s="92"/>
      <c r="I196" s="92"/>
      <c r="J196" s="92"/>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2"/>
      <c r="AR196" s="92"/>
    </row>
    <row r="197" spans="1:44" ht="15.75" customHeight="1">
      <c r="A197" s="92"/>
      <c r="B197" s="92"/>
      <c r="C197" s="9"/>
      <c r="D197" s="9"/>
      <c r="E197" s="92"/>
      <c r="F197" s="92"/>
      <c r="G197" s="92"/>
      <c r="H197" s="92"/>
      <c r="I197" s="92"/>
      <c r="J197" s="92"/>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2"/>
      <c r="AR197" s="92"/>
    </row>
    <row r="198" spans="1:44" ht="15.75" customHeight="1">
      <c r="A198" s="92"/>
      <c r="B198" s="92"/>
      <c r="C198" s="9"/>
      <c r="D198" s="9"/>
      <c r="E198" s="92"/>
      <c r="F198" s="92"/>
      <c r="G198" s="92"/>
      <c r="H198" s="92"/>
      <c r="I198" s="92"/>
      <c r="J198" s="92"/>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2"/>
      <c r="AR198" s="92"/>
    </row>
    <row r="199" spans="1:44" ht="15.75" customHeight="1">
      <c r="A199" s="92"/>
      <c r="B199" s="92"/>
      <c r="C199" s="9"/>
      <c r="D199" s="9"/>
      <c r="E199" s="92"/>
      <c r="F199" s="92"/>
      <c r="G199" s="92"/>
      <c r="H199" s="92"/>
      <c r="I199" s="92"/>
      <c r="J199" s="92"/>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2"/>
      <c r="AR199" s="92"/>
    </row>
    <row r="200" spans="1:44" ht="15.75" customHeight="1">
      <c r="A200" s="92"/>
      <c r="B200" s="92"/>
      <c r="C200" s="9"/>
      <c r="D200" s="9"/>
      <c r="E200" s="92"/>
      <c r="F200" s="92"/>
      <c r="G200" s="92"/>
      <c r="H200" s="92"/>
      <c r="I200" s="92"/>
      <c r="J200" s="92"/>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2"/>
      <c r="AR200" s="92"/>
    </row>
    <row r="201" spans="1:44" ht="15.75" customHeight="1">
      <c r="A201" s="92"/>
      <c r="B201" s="92"/>
      <c r="C201" s="9"/>
      <c r="D201" s="9"/>
      <c r="E201" s="92"/>
      <c r="F201" s="92"/>
      <c r="G201" s="92"/>
      <c r="H201" s="92"/>
      <c r="I201" s="92"/>
      <c r="J201" s="92"/>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2"/>
      <c r="AR201" s="92"/>
    </row>
    <row r="202" spans="1:44" ht="15.75" customHeight="1">
      <c r="A202" s="92"/>
      <c r="B202" s="92"/>
      <c r="C202" s="9"/>
      <c r="D202" s="9"/>
      <c r="E202" s="92"/>
      <c r="F202" s="92"/>
      <c r="G202" s="92"/>
      <c r="H202" s="92"/>
      <c r="I202" s="92"/>
      <c r="J202" s="92"/>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2"/>
      <c r="AR202" s="92"/>
    </row>
    <row r="203" spans="1:44" ht="15.75" customHeight="1">
      <c r="A203" s="92"/>
      <c r="B203" s="92"/>
      <c r="C203" s="9"/>
      <c r="D203" s="9"/>
      <c r="E203" s="92"/>
      <c r="F203" s="92"/>
      <c r="G203" s="92"/>
      <c r="H203" s="92"/>
      <c r="I203" s="92"/>
      <c r="J203" s="92"/>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2"/>
      <c r="AR203" s="92"/>
    </row>
    <row r="204" spans="1:44" ht="15.75" customHeight="1">
      <c r="A204" s="92"/>
      <c r="B204" s="92"/>
      <c r="C204" s="9"/>
      <c r="D204" s="9"/>
      <c r="E204" s="92"/>
      <c r="F204" s="92"/>
      <c r="G204" s="92"/>
      <c r="H204" s="92"/>
      <c r="I204" s="92"/>
      <c r="J204" s="92"/>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2"/>
      <c r="AR204" s="92"/>
    </row>
    <row r="205" spans="1:44" ht="15.75" customHeight="1">
      <c r="A205" s="92"/>
      <c r="B205" s="92"/>
      <c r="C205" s="9"/>
      <c r="D205" s="9"/>
      <c r="E205" s="92"/>
      <c r="F205" s="92"/>
      <c r="G205" s="92"/>
      <c r="H205" s="92"/>
      <c r="I205" s="92"/>
      <c r="J205" s="92"/>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2"/>
      <c r="AR205" s="92"/>
    </row>
    <row r="206" spans="1:44" ht="15.75" customHeight="1">
      <c r="A206" s="92"/>
      <c r="B206" s="92"/>
      <c r="C206" s="9"/>
      <c r="D206" s="9"/>
      <c r="E206" s="92"/>
      <c r="F206" s="92"/>
      <c r="G206" s="92"/>
      <c r="H206" s="92"/>
      <c r="I206" s="92"/>
      <c r="J206" s="92"/>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2"/>
      <c r="AR206" s="92"/>
    </row>
    <row r="207" spans="1:44" ht="15.75" customHeight="1">
      <c r="A207" s="92"/>
      <c r="B207" s="92"/>
      <c r="C207" s="9"/>
      <c r="D207" s="9"/>
      <c r="E207" s="92"/>
      <c r="F207" s="92"/>
      <c r="G207" s="92"/>
      <c r="H207" s="92"/>
      <c r="I207" s="92"/>
      <c r="J207" s="92"/>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2"/>
      <c r="AR207" s="92"/>
    </row>
    <row r="208" spans="1:44" ht="15.75" customHeight="1">
      <c r="A208" s="92"/>
      <c r="B208" s="92"/>
      <c r="C208" s="9"/>
      <c r="D208" s="9"/>
      <c r="E208" s="92"/>
      <c r="F208" s="92"/>
      <c r="G208" s="92"/>
      <c r="H208" s="92"/>
      <c r="I208" s="92"/>
      <c r="J208" s="92"/>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2"/>
      <c r="AR208" s="92"/>
    </row>
    <row r="209" spans="1:44" ht="15.75" customHeight="1">
      <c r="A209" s="92"/>
      <c r="B209" s="92"/>
      <c r="C209" s="9"/>
      <c r="D209" s="9"/>
      <c r="E209" s="92"/>
      <c r="F209" s="92"/>
      <c r="G209" s="92"/>
      <c r="H209" s="92"/>
      <c r="I209" s="92"/>
      <c r="J209" s="92"/>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2"/>
      <c r="AR209" s="92"/>
    </row>
    <row r="210" spans="1:44" ht="15.75" customHeight="1">
      <c r="A210" s="92"/>
      <c r="B210" s="92"/>
      <c r="C210" s="9"/>
      <c r="D210" s="9"/>
      <c r="E210" s="92"/>
      <c r="F210" s="92"/>
      <c r="G210" s="92"/>
      <c r="H210" s="92"/>
      <c r="I210" s="92"/>
      <c r="J210" s="92"/>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2"/>
      <c r="AR210" s="92"/>
    </row>
    <row r="211" spans="1:44" ht="15.75" customHeight="1">
      <c r="A211" s="92"/>
      <c r="B211" s="92"/>
      <c r="C211" s="9"/>
      <c r="D211" s="9"/>
      <c r="E211" s="92"/>
      <c r="F211" s="92"/>
      <c r="G211" s="92"/>
      <c r="H211" s="92"/>
      <c r="I211" s="92"/>
      <c r="J211" s="92"/>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2"/>
      <c r="AR211" s="92"/>
    </row>
    <row r="212" spans="1:44" ht="15.75" customHeight="1">
      <c r="A212" s="92"/>
      <c r="B212" s="92"/>
      <c r="C212" s="9"/>
      <c r="D212" s="9"/>
      <c r="E212" s="92"/>
      <c r="F212" s="92"/>
      <c r="G212" s="92"/>
      <c r="H212" s="92"/>
      <c r="I212" s="92"/>
      <c r="J212" s="92"/>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2"/>
      <c r="AR212" s="92"/>
    </row>
    <row r="213" spans="1:44" ht="15.75" customHeight="1">
      <c r="A213" s="92"/>
      <c r="B213" s="92"/>
      <c r="C213" s="9"/>
      <c r="D213" s="9"/>
      <c r="E213" s="92"/>
      <c r="F213" s="92"/>
      <c r="G213" s="92"/>
      <c r="H213" s="92"/>
      <c r="I213" s="92"/>
      <c r="J213" s="92"/>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2"/>
      <c r="AR213" s="92"/>
    </row>
    <row r="214" spans="1:44" ht="15.75" customHeight="1">
      <c r="A214" s="92"/>
      <c r="B214" s="92"/>
      <c r="C214" s="9"/>
      <c r="D214" s="9"/>
      <c r="E214" s="92"/>
      <c r="F214" s="92"/>
      <c r="G214" s="92"/>
      <c r="H214" s="92"/>
      <c r="I214" s="92"/>
      <c r="J214" s="92"/>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2"/>
      <c r="AR214" s="92"/>
    </row>
    <row r="215" spans="1:44" ht="15.75" customHeight="1">
      <c r="A215" s="92"/>
      <c r="B215" s="92"/>
      <c r="C215" s="9"/>
      <c r="D215" s="9"/>
      <c r="E215" s="92"/>
      <c r="F215" s="92"/>
      <c r="G215" s="92"/>
      <c r="H215" s="92"/>
      <c r="I215" s="92"/>
      <c r="J215" s="92"/>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2"/>
      <c r="AR215" s="92"/>
    </row>
    <row r="216" spans="1:44" ht="15.75" customHeight="1">
      <c r="A216" s="92"/>
      <c r="B216" s="92"/>
      <c r="C216" s="9"/>
      <c r="D216" s="9"/>
      <c r="E216" s="92"/>
      <c r="F216" s="92"/>
      <c r="G216" s="92"/>
      <c r="H216" s="92"/>
      <c r="I216" s="92"/>
      <c r="J216" s="92"/>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2"/>
      <c r="AR216" s="92"/>
    </row>
    <row r="217" spans="1:44" ht="15.75" customHeight="1">
      <c r="A217" s="92"/>
      <c r="B217" s="92"/>
      <c r="C217" s="9"/>
      <c r="D217" s="9"/>
      <c r="E217" s="92"/>
      <c r="F217" s="92"/>
      <c r="G217" s="92"/>
      <c r="H217" s="92"/>
      <c r="I217" s="92"/>
      <c r="J217" s="92"/>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2"/>
      <c r="AR217" s="92"/>
    </row>
    <row r="218" spans="1:44" ht="15.75" customHeight="1">
      <c r="A218" s="92"/>
      <c r="B218" s="92"/>
      <c r="C218" s="9"/>
      <c r="D218" s="9"/>
      <c r="E218" s="92"/>
      <c r="F218" s="92"/>
      <c r="G218" s="92"/>
      <c r="H218" s="92"/>
      <c r="I218" s="92"/>
      <c r="J218" s="92"/>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2"/>
      <c r="AR218" s="92"/>
    </row>
    <row r="219" spans="1:44" ht="15.75" customHeight="1">
      <c r="A219" s="92"/>
      <c r="B219" s="92"/>
      <c r="C219" s="9"/>
      <c r="D219" s="9"/>
      <c r="E219" s="92"/>
      <c r="F219" s="92"/>
      <c r="G219" s="92"/>
      <c r="H219" s="92"/>
      <c r="I219" s="92"/>
      <c r="J219" s="92"/>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2"/>
      <c r="AR219" s="92"/>
    </row>
    <row r="220" spans="1:44" ht="15.75" customHeight="1">
      <c r="A220" s="92"/>
      <c r="B220" s="92"/>
      <c r="C220" s="9"/>
      <c r="D220" s="9"/>
      <c r="E220" s="92"/>
      <c r="F220" s="92"/>
      <c r="G220" s="92"/>
      <c r="H220" s="92"/>
      <c r="I220" s="92"/>
      <c r="J220" s="92"/>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2"/>
      <c r="AR220" s="92"/>
    </row>
    <row r="221" spans="1:44" ht="15.75" customHeight="1">
      <c r="A221" s="92"/>
      <c r="B221" s="92"/>
      <c r="C221" s="9"/>
      <c r="D221" s="9"/>
      <c r="E221" s="92"/>
      <c r="F221" s="92"/>
      <c r="G221" s="92"/>
      <c r="H221" s="92"/>
      <c r="I221" s="92"/>
      <c r="J221" s="92"/>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2"/>
      <c r="AR221" s="92"/>
    </row>
    <row r="222" spans="1:44" ht="15.75" customHeight="1">
      <c r="A222" s="92"/>
      <c r="B222" s="92"/>
      <c r="C222" s="9"/>
      <c r="D222" s="9"/>
      <c r="E222" s="92"/>
      <c r="F222" s="92"/>
      <c r="G222" s="92"/>
      <c r="H222" s="92"/>
      <c r="I222" s="92"/>
      <c r="J222" s="92"/>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2"/>
      <c r="AR222" s="92"/>
    </row>
    <row r="223" spans="1:44" ht="15.75" customHeight="1">
      <c r="A223" s="92"/>
      <c r="B223" s="92"/>
      <c r="C223" s="9"/>
      <c r="D223" s="9"/>
      <c r="E223" s="92"/>
      <c r="F223" s="92"/>
      <c r="G223" s="92"/>
      <c r="H223" s="92"/>
      <c r="I223" s="92"/>
      <c r="J223" s="92"/>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2"/>
      <c r="AR223" s="92"/>
    </row>
    <row r="224" spans="1:44" ht="15.75" customHeight="1">
      <c r="A224" s="92"/>
      <c r="B224" s="92"/>
      <c r="C224" s="9"/>
      <c r="D224" s="9"/>
      <c r="E224" s="92"/>
      <c r="F224" s="92"/>
      <c r="G224" s="92"/>
      <c r="H224" s="92"/>
      <c r="I224" s="92"/>
      <c r="J224" s="92"/>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2"/>
      <c r="AR224" s="92"/>
    </row>
    <row r="225" spans="1:44" ht="15.75" customHeight="1">
      <c r="A225" s="92"/>
      <c r="B225" s="92"/>
      <c r="C225" s="9"/>
      <c r="D225" s="9"/>
      <c r="E225" s="92"/>
      <c r="F225" s="92"/>
      <c r="G225" s="92"/>
      <c r="H225" s="92"/>
      <c r="I225" s="92"/>
      <c r="J225" s="92"/>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2"/>
      <c r="AR225" s="92"/>
    </row>
    <row r="226" spans="1:44" ht="15.75" customHeight="1">
      <c r="A226" s="92"/>
      <c r="B226" s="92"/>
      <c r="C226" s="9"/>
      <c r="D226" s="9"/>
      <c r="E226" s="92"/>
      <c r="F226" s="92"/>
      <c r="G226" s="92"/>
      <c r="H226" s="92"/>
      <c r="I226" s="92"/>
      <c r="J226" s="92"/>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2"/>
      <c r="AR226" s="92"/>
    </row>
    <row r="227" spans="1:44" ht="15.75" customHeight="1">
      <c r="A227" s="92"/>
      <c r="B227" s="92"/>
      <c r="C227" s="9"/>
      <c r="D227" s="9"/>
      <c r="E227" s="92"/>
      <c r="F227" s="92"/>
      <c r="G227" s="92"/>
      <c r="H227" s="92"/>
      <c r="I227" s="92"/>
      <c r="J227" s="92"/>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2"/>
      <c r="AR227" s="92"/>
    </row>
    <row r="228" spans="1:44" ht="15.75" customHeight="1">
      <c r="A228" s="92"/>
      <c r="B228" s="92"/>
      <c r="C228" s="9"/>
      <c r="D228" s="9"/>
      <c r="E228" s="92"/>
      <c r="F228" s="92"/>
      <c r="G228" s="92"/>
      <c r="H228" s="92"/>
      <c r="I228" s="92"/>
      <c r="J228" s="92"/>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2"/>
      <c r="AR228" s="92"/>
    </row>
    <row r="229" spans="1:44" ht="15.75" customHeight="1">
      <c r="A229" s="92"/>
      <c r="B229" s="92"/>
      <c r="C229" s="9"/>
      <c r="D229" s="9"/>
      <c r="E229" s="92"/>
      <c r="F229" s="92"/>
      <c r="G229" s="92"/>
      <c r="H229" s="92"/>
      <c r="I229" s="92"/>
      <c r="J229" s="92"/>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2"/>
      <c r="AR229" s="92"/>
    </row>
    <row r="230" spans="1:44" ht="15.75" customHeight="1">
      <c r="A230" s="92"/>
      <c r="B230" s="92"/>
      <c r="C230" s="9"/>
      <c r="D230" s="9"/>
      <c r="E230" s="92"/>
      <c r="F230" s="92"/>
      <c r="G230" s="92"/>
      <c r="H230" s="92"/>
      <c r="I230" s="92"/>
      <c r="J230" s="92"/>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2"/>
      <c r="AR230" s="92"/>
    </row>
    <row r="231" spans="1:44" ht="15.75" customHeight="1">
      <c r="A231" s="92"/>
      <c r="B231" s="92"/>
      <c r="C231" s="9"/>
      <c r="D231" s="9"/>
      <c r="E231" s="92"/>
      <c r="F231" s="92"/>
      <c r="G231" s="92"/>
      <c r="H231" s="92"/>
      <c r="I231" s="92"/>
      <c r="J231" s="92"/>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2"/>
      <c r="AR231" s="92"/>
    </row>
    <row r="232" spans="1:44" ht="15.75" customHeight="1"/>
    <row r="233" spans="1:44" ht="15.75" customHeight="1"/>
    <row r="234" spans="1:44" ht="15.75" customHeight="1"/>
    <row r="235" spans="1:44" ht="15.75" customHeight="1"/>
    <row r="236" spans="1:44" ht="15.75" customHeight="1"/>
    <row r="237" spans="1:44" ht="15.75" customHeight="1"/>
    <row r="238" spans="1:44" ht="15.75" customHeight="1"/>
    <row r="239" spans="1:44" ht="15.75" customHeight="1"/>
    <row r="240" spans="1:4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C21:D21"/>
    <mergeCell ref="C30:D30"/>
    <mergeCell ref="C31:D31"/>
    <mergeCell ref="C22:D22"/>
    <mergeCell ref="C23:D23"/>
    <mergeCell ref="C24:D24"/>
    <mergeCell ref="C26:D26"/>
    <mergeCell ref="C27:D27"/>
    <mergeCell ref="C28:D28"/>
    <mergeCell ref="C29:D29"/>
    <mergeCell ref="C16:D16"/>
    <mergeCell ref="C17:D17"/>
    <mergeCell ref="C18:D18"/>
    <mergeCell ref="C19:D19"/>
    <mergeCell ref="C20:D20"/>
    <mergeCell ref="C11:D11"/>
    <mergeCell ref="C12:D12"/>
    <mergeCell ref="C13:D13"/>
    <mergeCell ref="C14:D14"/>
    <mergeCell ref="C15:D15"/>
    <mergeCell ref="N6:O6"/>
    <mergeCell ref="P6:Q6"/>
    <mergeCell ref="C8:D8"/>
    <mergeCell ref="C9:D9"/>
    <mergeCell ref="C10:D10"/>
    <mergeCell ref="C4:G4"/>
    <mergeCell ref="E6:F6"/>
    <mergeCell ref="G6:H6"/>
    <mergeCell ref="I6:J6"/>
    <mergeCell ref="K6:M6"/>
    <mergeCell ref="AH6:AI6"/>
    <mergeCell ref="AJ6:AK6"/>
    <mergeCell ref="AL6:AN6"/>
    <mergeCell ref="AO6:AQ6"/>
    <mergeCell ref="R6:S6"/>
    <mergeCell ref="T6:V6"/>
    <mergeCell ref="W6:X6"/>
    <mergeCell ref="Y6:Z6"/>
    <mergeCell ref="AA6:AB6"/>
    <mergeCell ref="AC6:AE6"/>
    <mergeCell ref="AF6:AG6"/>
  </mergeCells>
  <conditionalFormatting sqref="M9:M23 V9:V23 AE9:AE23 AN9:AN23 AQ9:AQ23">
    <cfRule type="cellIs" dxfId="6" priority="1" operator="lessThan">
      <formula>0</formula>
    </cfRule>
  </conditionalFormatting>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1000"/>
  <sheetViews>
    <sheetView showGridLines="0" workbookViewId="0"/>
  </sheetViews>
  <sheetFormatPr defaultColWidth="12.625" defaultRowHeight="15" customHeight="1"/>
  <cols>
    <col min="1" max="2" width="3.125" customWidth="1"/>
    <col min="3" max="3" width="26.5" customWidth="1"/>
    <col min="4" max="4" width="14.125" customWidth="1"/>
    <col min="5" max="43" width="11" customWidth="1"/>
    <col min="44" max="44" width="3.125" customWidth="1"/>
  </cols>
  <sheetData>
    <row r="1" spans="1:44">
      <c r="A1" s="92"/>
      <c r="B1" s="92"/>
      <c r="C1" s="9"/>
      <c r="D1" s="152"/>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c r="AH1" s="153"/>
      <c r="AI1" s="153"/>
      <c r="AJ1" s="153"/>
      <c r="AK1" s="153"/>
      <c r="AL1" s="153"/>
      <c r="AM1" s="153"/>
      <c r="AN1" s="153"/>
      <c r="AO1" s="153"/>
      <c r="AP1" s="153"/>
      <c r="AQ1" s="153"/>
      <c r="AR1" s="153"/>
    </row>
    <row r="2" spans="1:44">
      <c r="A2" s="92"/>
      <c r="B2" s="93"/>
      <c r="C2" s="94"/>
      <c r="D2" s="154"/>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6"/>
    </row>
    <row r="3" spans="1:44" ht="46.5" customHeight="1">
      <c r="A3" s="92"/>
      <c r="B3" s="97"/>
      <c r="C3" s="98"/>
      <c r="I3" s="157"/>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c r="AP3" s="157"/>
      <c r="AQ3" s="157"/>
      <c r="AR3" s="158"/>
    </row>
    <row r="4" spans="1:44" ht="31.5" customHeight="1">
      <c r="A4" s="153"/>
      <c r="B4" s="159"/>
      <c r="C4" s="276" t="s">
        <v>68</v>
      </c>
      <c r="D4" s="267"/>
      <c r="E4" s="267"/>
      <c r="F4" s="267"/>
      <c r="G4" s="267"/>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3"/>
      <c r="AQ4" s="153"/>
      <c r="AR4" s="158"/>
    </row>
    <row r="5" spans="1:44" ht="31.5" customHeight="1">
      <c r="A5" s="153"/>
      <c r="B5" s="159"/>
      <c r="C5" s="160"/>
      <c r="D5" s="160"/>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53"/>
      <c r="AK5" s="153"/>
      <c r="AL5" s="153"/>
      <c r="AM5" s="153"/>
      <c r="AN5" s="153"/>
      <c r="AO5" s="153"/>
      <c r="AP5" s="153"/>
      <c r="AQ5" s="153"/>
      <c r="AR5" s="158"/>
    </row>
    <row r="6" spans="1:44">
      <c r="A6" s="153"/>
      <c r="B6" s="159"/>
      <c r="C6" s="41"/>
      <c r="D6" s="41"/>
      <c r="E6" s="277" t="s">
        <v>15</v>
      </c>
      <c r="F6" s="280"/>
      <c r="G6" s="277" t="s">
        <v>16</v>
      </c>
      <c r="H6" s="280"/>
      <c r="I6" s="277" t="s">
        <v>17</v>
      </c>
      <c r="J6" s="280"/>
      <c r="K6" s="281" t="s">
        <v>18</v>
      </c>
      <c r="L6" s="282"/>
      <c r="M6" s="280"/>
      <c r="N6" s="277" t="s">
        <v>19</v>
      </c>
      <c r="O6" s="280"/>
      <c r="P6" s="277" t="s">
        <v>20</v>
      </c>
      <c r="Q6" s="280"/>
      <c r="R6" s="277" t="s">
        <v>21</v>
      </c>
      <c r="S6" s="280"/>
      <c r="T6" s="281" t="s">
        <v>22</v>
      </c>
      <c r="U6" s="282"/>
      <c r="V6" s="280"/>
      <c r="W6" s="277" t="s">
        <v>23</v>
      </c>
      <c r="X6" s="280"/>
      <c r="Y6" s="277" t="s">
        <v>24</v>
      </c>
      <c r="Z6" s="280"/>
      <c r="AA6" s="277" t="s">
        <v>25</v>
      </c>
      <c r="AB6" s="280"/>
      <c r="AC6" s="281" t="s">
        <v>26</v>
      </c>
      <c r="AD6" s="282"/>
      <c r="AE6" s="280"/>
      <c r="AF6" s="277" t="s">
        <v>27</v>
      </c>
      <c r="AG6" s="280"/>
      <c r="AH6" s="277" t="s">
        <v>28</v>
      </c>
      <c r="AI6" s="280"/>
      <c r="AJ6" s="277" t="s">
        <v>29</v>
      </c>
      <c r="AK6" s="280"/>
      <c r="AL6" s="281" t="s">
        <v>30</v>
      </c>
      <c r="AM6" s="282"/>
      <c r="AN6" s="280"/>
      <c r="AO6" s="281" t="s">
        <v>31</v>
      </c>
      <c r="AP6" s="282"/>
      <c r="AQ6" s="282"/>
      <c r="AR6" s="158"/>
    </row>
    <row r="7" spans="1:44" ht="30" customHeight="1">
      <c r="A7" s="152"/>
      <c r="B7" s="161"/>
      <c r="C7" s="162"/>
      <c r="D7" s="162"/>
      <c r="E7" s="163" t="s">
        <v>32</v>
      </c>
      <c r="F7" s="164" t="s">
        <v>33</v>
      </c>
      <c r="G7" s="163" t="s">
        <v>32</v>
      </c>
      <c r="H7" s="164" t="s">
        <v>33</v>
      </c>
      <c r="I7" s="163" t="s">
        <v>32</v>
      </c>
      <c r="J7" s="164" t="s">
        <v>33</v>
      </c>
      <c r="K7" s="165" t="s">
        <v>32</v>
      </c>
      <c r="L7" s="166" t="s">
        <v>33</v>
      </c>
      <c r="M7" s="167" t="s">
        <v>34</v>
      </c>
      <c r="N7" s="163" t="s">
        <v>32</v>
      </c>
      <c r="O7" s="164" t="s">
        <v>33</v>
      </c>
      <c r="P7" s="163" t="s">
        <v>32</v>
      </c>
      <c r="Q7" s="164" t="s">
        <v>33</v>
      </c>
      <c r="R7" s="163" t="s">
        <v>32</v>
      </c>
      <c r="S7" s="164" t="s">
        <v>33</v>
      </c>
      <c r="T7" s="165" t="s">
        <v>32</v>
      </c>
      <c r="U7" s="166" t="s">
        <v>33</v>
      </c>
      <c r="V7" s="167" t="s">
        <v>34</v>
      </c>
      <c r="W7" s="163" t="s">
        <v>32</v>
      </c>
      <c r="X7" s="164" t="s">
        <v>33</v>
      </c>
      <c r="Y7" s="163" t="s">
        <v>32</v>
      </c>
      <c r="Z7" s="164" t="s">
        <v>33</v>
      </c>
      <c r="AA7" s="163" t="s">
        <v>32</v>
      </c>
      <c r="AB7" s="164" t="s">
        <v>33</v>
      </c>
      <c r="AC7" s="165" t="s">
        <v>32</v>
      </c>
      <c r="AD7" s="166" t="s">
        <v>33</v>
      </c>
      <c r="AE7" s="167" t="s">
        <v>34</v>
      </c>
      <c r="AF7" s="163" t="s">
        <v>32</v>
      </c>
      <c r="AG7" s="164" t="s">
        <v>33</v>
      </c>
      <c r="AH7" s="163" t="s">
        <v>32</v>
      </c>
      <c r="AI7" s="164" t="s">
        <v>33</v>
      </c>
      <c r="AJ7" s="163" t="s">
        <v>32</v>
      </c>
      <c r="AK7" s="164" t="s">
        <v>33</v>
      </c>
      <c r="AL7" s="165" t="s">
        <v>32</v>
      </c>
      <c r="AM7" s="166" t="s">
        <v>33</v>
      </c>
      <c r="AN7" s="167" t="s">
        <v>34</v>
      </c>
      <c r="AO7" s="165" t="s">
        <v>32</v>
      </c>
      <c r="AP7" s="166" t="s">
        <v>33</v>
      </c>
      <c r="AQ7" s="168" t="s">
        <v>34</v>
      </c>
      <c r="AR7" s="158"/>
    </row>
    <row r="8" spans="1:44">
      <c r="A8" s="153"/>
      <c r="B8" s="159"/>
      <c r="C8" s="299" t="s">
        <v>69</v>
      </c>
      <c r="D8" s="286"/>
      <c r="E8" s="169"/>
      <c r="F8" s="170"/>
      <c r="G8" s="169"/>
      <c r="H8" s="170"/>
      <c r="I8" s="169"/>
      <c r="J8" s="170"/>
      <c r="K8" s="171"/>
      <c r="L8" s="172"/>
      <c r="M8" s="173"/>
      <c r="N8" s="169"/>
      <c r="O8" s="170"/>
      <c r="P8" s="169"/>
      <c r="Q8" s="170"/>
      <c r="R8" s="169"/>
      <c r="S8" s="170"/>
      <c r="T8" s="169"/>
      <c r="U8" s="174"/>
      <c r="V8" s="175"/>
      <c r="W8" s="169"/>
      <c r="X8" s="170"/>
      <c r="Y8" s="169"/>
      <c r="Z8" s="170"/>
      <c r="AA8" s="169"/>
      <c r="AB8" s="170"/>
      <c r="AC8" s="169"/>
      <c r="AD8" s="174"/>
      <c r="AE8" s="170"/>
      <c r="AF8" s="176"/>
      <c r="AG8" s="177"/>
      <c r="AH8" s="176"/>
      <c r="AI8" s="177"/>
      <c r="AJ8" s="176"/>
      <c r="AK8" s="177"/>
      <c r="AL8" s="176"/>
      <c r="AM8" s="178"/>
      <c r="AN8" s="175"/>
      <c r="AO8" s="169"/>
      <c r="AP8" s="179"/>
      <c r="AQ8" s="179"/>
      <c r="AR8" s="158"/>
    </row>
    <row r="9" spans="1:44">
      <c r="A9" s="153"/>
      <c r="B9" s="159"/>
      <c r="C9" s="300" t="s">
        <v>70</v>
      </c>
      <c r="D9" s="267"/>
      <c r="E9" s="76">
        <v>100</v>
      </c>
      <c r="F9" s="78">
        <v>100</v>
      </c>
      <c r="G9" s="76">
        <v>100</v>
      </c>
      <c r="H9" s="78">
        <v>100</v>
      </c>
      <c r="I9" s="76">
        <v>100</v>
      </c>
      <c r="J9" s="78">
        <v>100</v>
      </c>
      <c r="K9" s="76">
        <f t="shared" ref="K9:L9" si="0">SUM(E9+G9+I9)</f>
        <v>300</v>
      </c>
      <c r="L9" s="77">
        <f t="shared" si="0"/>
        <v>300</v>
      </c>
      <c r="M9" s="78">
        <f t="shared" ref="M9:M13" si="1">K9-L9</f>
        <v>0</v>
      </c>
      <c r="N9" s="76"/>
      <c r="O9" s="78"/>
      <c r="P9" s="76"/>
      <c r="Q9" s="78"/>
      <c r="R9" s="76"/>
      <c r="S9" s="78"/>
      <c r="T9" s="76">
        <f t="shared" ref="T9:U9" si="2">SUM(N9+P9+R9)</f>
        <v>0</v>
      </c>
      <c r="U9" s="77">
        <f t="shared" si="2"/>
        <v>0</v>
      </c>
      <c r="V9" s="78">
        <f t="shared" ref="V9:V13" si="3">T9-U9</f>
        <v>0</v>
      </c>
      <c r="W9" s="76"/>
      <c r="X9" s="78"/>
      <c r="Y9" s="76"/>
      <c r="Z9" s="78"/>
      <c r="AA9" s="76"/>
      <c r="AB9" s="78"/>
      <c r="AC9" s="76">
        <f t="shared" ref="AC9:AD9" si="4">SUM(W9+Y9+AA9)</f>
        <v>0</v>
      </c>
      <c r="AD9" s="77">
        <f t="shared" si="4"/>
        <v>0</v>
      </c>
      <c r="AE9" s="78">
        <f t="shared" ref="AE9:AE13" si="5">AC9-AD9</f>
        <v>0</v>
      </c>
      <c r="AF9" s="76"/>
      <c r="AG9" s="78"/>
      <c r="AH9" s="76"/>
      <c r="AI9" s="78"/>
      <c r="AJ9" s="76"/>
      <c r="AK9" s="78"/>
      <c r="AL9" s="76">
        <f t="shared" ref="AL9:AM9" si="6">SUM(AF9+AH9+AJ9)</f>
        <v>0</v>
      </c>
      <c r="AM9" s="77">
        <f t="shared" si="6"/>
        <v>0</v>
      </c>
      <c r="AN9" s="78">
        <f t="shared" ref="AN9:AN13" si="7">AL9-AM9</f>
        <v>0</v>
      </c>
      <c r="AO9" s="76">
        <f t="shared" ref="AO9:AP9" si="8">SUM(K9+T9+AC9+AL9)</f>
        <v>300</v>
      </c>
      <c r="AP9" s="77">
        <f t="shared" si="8"/>
        <v>300</v>
      </c>
      <c r="AQ9" s="77">
        <f t="shared" ref="AQ9:AQ13" si="9">AO9-AP9</f>
        <v>0</v>
      </c>
      <c r="AR9" s="158"/>
    </row>
    <row r="10" spans="1:44">
      <c r="A10" s="153"/>
      <c r="B10" s="159"/>
      <c r="C10" s="300" t="s">
        <v>71</v>
      </c>
      <c r="D10" s="267"/>
      <c r="E10" s="76">
        <v>100</v>
      </c>
      <c r="F10" s="78">
        <v>100</v>
      </c>
      <c r="G10" s="76">
        <v>100</v>
      </c>
      <c r="H10" s="78">
        <v>100</v>
      </c>
      <c r="I10" s="76">
        <v>100</v>
      </c>
      <c r="J10" s="78">
        <v>100</v>
      </c>
      <c r="K10" s="76">
        <f t="shared" ref="K10:L10" si="10">SUM(E10+G10+I10)</f>
        <v>300</v>
      </c>
      <c r="L10" s="77">
        <f t="shared" si="10"/>
        <v>300</v>
      </c>
      <c r="M10" s="78">
        <f t="shared" si="1"/>
        <v>0</v>
      </c>
      <c r="N10" s="76"/>
      <c r="O10" s="78"/>
      <c r="P10" s="76"/>
      <c r="Q10" s="78"/>
      <c r="R10" s="76"/>
      <c r="S10" s="78"/>
      <c r="T10" s="76">
        <f t="shared" ref="T10:U10" si="11">SUM(N10+P10+R10)</f>
        <v>0</v>
      </c>
      <c r="U10" s="77">
        <f t="shared" si="11"/>
        <v>0</v>
      </c>
      <c r="V10" s="78">
        <f t="shared" si="3"/>
        <v>0</v>
      </c>
      <c r="W10" s="76"/>
      <c r="X10" s="78"/>
      <c r="Y10" s="76"/>
      <c r="Z10" s="78"/>
      <c r="AA10" s="76"/>
      <c r="AB10" s="78"/>
      <c r="AC10" s="76">
        <f t="shared" ref="AC10:AD10" si="12">SUM(W10+Y10+AA10)</f>
        <v>0</v>
      </c>
      <c r="AD10" s="77">
        <f t="shared" si="12"/>
        <v>0</v>
      </c>
      <c r="AE10" s="78">
        <f t="shared" si="5"/>
        <v>0</v>
      </c>
      <c r="AF10" s="76"/>
      <c r="AG10" s="78"/>
      <c r="AH10" s="76"/>
      <c r="AI10" s="78"/>
      <c r="AJ10" s="76"/>
      <c r="AK10" s="78"/>
      <c r="AL10" s="76">
        <f t="shared" ref="AL10:AM10" si="13">SUM(AF10+AH10+AJ10)</f>
        <v>0</v>
      </c>
      <c r="AM10" s="77">
        <f t="shared" si="13"/>
        <v>0</v>
      </c>
      <c r="AN10" s="78">
        <f t="shared" si="7"/>
        <v>0</v>
      </c>
      <c r="AO10" s="76">
        <f t="shared" ref="AO10:AP10" si="14">SUM(K10+T10+AC10+AL10)</f>
        <v>300</v>
      </c>
      <c r="AP10" s="77">
        <f t="shared" si="14"/>
        <v>300</v>
      </c>
      <c r="AQ10" s="77">
        <f t="shared" si="9"/>
        <v>0</v>
      </c>
      <c r="AR10" s="158"/>
    </row>
    <row r="11" spans="1:44">
      <c r="A11" s="153"/>
      <c r="B11" s="159"/>
      <c r="C11" s="300" t="s">
        <v>72</v>
      </c>
      <c r="D11" s="267"/>
      <c r="E11" s="76">
        <v>100</v>
      </c>
      <c r="F11" s="78">
        <v>100</v>
      </c>
      <c r="G11" s="76">
        <v>100</v>
      </c>
      <c r="H11" s="78">
        <v>100</v>
      </c>
      <c r="I11" s="76">
        <v>100</v>
      </c>
      <c r="J11" s="78">
        <v>100</v>
      </c>
      <c r="K11" s="76">
        <f t="shared" ref="K11:L11" si="15">SUM(E11+G11+I11)</f>
        <v>300</v>
      </c>
      <c r="L11" s="77">
        <f t="shared" si="15"/>
        <v>300</v>
      </c>
      <c r="M11" s="78">
        <f t="shared" si="1"/>
        <v>0</v>
      </c>
      <c r="N11" s="76"/>
      <c r="O11" s="78"/>
      <c r="P11" s="76"/>
      <c r="Q11" s="78"/>
      <c r="R11" s="76"/>
      <c r="S11" s="78"/>
      <c r="T11" s="76">
        <f t="shared" ref="T11:U11" si="16">SUM(N11+P11+R11)</f>
        <v>0</v>
      </c>
      <c r="U11" s="77">
        <f t="shared" si="16"/>
        <v>0</v>
      </c>
      <c r="V11" s="78">
        <f t="shared" si="3"/>
        <v>0</v>
      </c>
      <c r="W11" s="76"/>
      <c r="X11" s="78"/>
      <c r="Y11" s="76"/>
      <c r="Z11" s="78"/>
      <c r="AA11" s="76"/>
      <c r="AB11" s="78"/>
      <c r="AC11" s="76">
        <f t="shared" ref="AC11:AD11" si="17">SUM(W11+Y11+AA11)</f>
        <v>0</v>
      </c>
      <c r="AD11" s="77">
        <f t="shared" si="17"/>
        <v>0</v>
      </c>
      <c r="AE11" s="78">
        <f t="shared" si="5"/>
        <v>0</v>
      </c>
      <c r="AF11" s="76"/>
      <c r="AG11" s="78"/>
      <c r="AH11" s="76"/>
      <c r="AI11" s="78"/>
      <c r="AJ11" s="76"/>
      <c r="AK11" s="78"/>
      <c r="AL11" s="76">
        <f t="shared" ref="AL11:AM11" si="18">SUM(AF11+AH11+AJ11)</f>
        <v>0</v>
      </c>
      <c r="AM11" s="77">
        <f t="shared" si="18"/>
        <v>0</v>
      </c>
      <c r="AN11" s="78">
        <f t="shared" si="7"/>
        <v>0</v>
      </c>
      <c r="AO11" s="76">
        <f t="shared" ref="AO11:AP11" si="19">SUM(K11+T11+AC11+AL11)</f>
        <v>300</v>
      </c>
      <c r="AP11" s="77">
        <f t="shared" si="19"/>
        <v>300</v>
      </c>
      <c r="AQ11" s="77">
        <f t="shared" si="9"/>
        <v>0</v>
      </c>
      <c r="AR11" s="158"/>
    </row>
    <row r="12" spans="1:44">
      <c r="A12" s="153"/>
      <c r="B12" s="159"/>
      <c r="C12" s="300" t="s">
        <v>73</v>
      </c>
      <c r="D12" s="267"/>
      <c r="E12" s="76">
        <v>100</v>
      </c>
      <c r="F12" s="78">
        <v>100</v>
      </c>
      <c r="G12" s="76">
        <v>100</v>
      </c>
      <c r="H12" s="78">
        <v>100</v>
      </c>
      <c r="I12" s="76">
        <v>100</v>
      </c>
      <c r="J12" s="78">
        <v>100</v>
      </c>
      <c r="K12" s="76">
        <f t="shared" ref="K12:L12" si="20">SUM(E12+G12+I12)</f>
        <v>300</v>
      </c>
      <c r="L12" s="77">
        <f t="shared" si="20"/>
        <v>300</v>
      </c>
      <c r="M12" s="78">
        <f t="shared" si="1"/>
        <v>0</v>
      </c>
      <c r="N12" s="76"/>
      <c r="O12" s="78"/>
      <c r="P12" s="76"/>
      <c r="Q12" s="78"/>
      <c r="R12" s="76"/>
      <c r="S12" s="78"/>
      <c r="T12" s="76">
        <f t="shared" ref="T12:U12" si="21">SUM(N12+P12+R12)</f>
        <v>0</v>
      </c>
      <c r="U12" s="77">
        <f t="shared" si="21"/>
        <v>0</v>
      </c>
      <c r="V12" s="78">
        <f t="shared" si="3"/>
        <v>0</v>
      </c>
      <c r="W12" s="76"/>
      <c r="X12" s="78"/>
      <c r="Y12" s="76"/>
      <c r="Z12" s="78"/>
      <c r="AA12" s="76"/>
      <c r="AB12" s="78"/>
      <c r="AC12" s="76">
        <f t="shared" ref="AC12:AD12" si="22">SUM(W12+Y12+AA12)</f>
        <v>0</v>
      </c>
      <c r="AD12" s="77">
        <f t="shared" si="22"/>
        <v>0</v>
      </c>
      <c r="AE12" s="78">
        <f t="shared" si="5"/>
        <v>0</v>
      </c>
      <c r="AF12" s="76"/>
      <c r="AG12" s="78"/>
      <c r="AH12" s="76"/>
      <c r="AI12" s="78"/>
      <c r="AJ12" s="76"/>
      <c r="AK12" s="78"/>
      <c r="AL12" s="76">
        <f t="shared" ref="AL12:AM12" si="23">SUM(AF12+AH12+AJ12)</f>
        <v>0</v>
      </c>
      <c r="AM12" s="77">
        <f t="shared" si="23"/>
        <v>0</v>
      </c>
      <c r="AN12" s="78">
        <f t="shared" si="7"/>
        <v>0</v>
      </c>
      <c r="AO12" s="76">
        <f t="shared" ref="AO12:AP12" si="24">SUM(K12+T12+AC12+AL12)</f>
        <v>300</v>
      </c>
      <c r="AP12" s="77">
        <f t="shared" si="24"/>
        <v>300</v>
      </c>
      <c r="AQ12" s="77">
        <f t="shared" si="9"/>
        <v>0</v>
      </c>
      <c r="AR12" s="158"/>
    </row>
    <row r="13" spans="1:44">
      <c r="A13" s="153"/>
      <c r="B13" s="159"/>
      <c r="C13" s="300" t="s">
        <v>74</v>
      </c>
      <c r="D13" s="267"/>
      <c r="E13" s="76">
        <v>100</v>
      </c>
      <c r="F13" s="78">
        <v>100</v>
      </c>
      <c r="G13" s="76">
        <v>100</v>
      </c>
      <c r="H13" s="78">
        <v>100</v>
      </c>
      <c r="I13" s="76">
        <v>100</v>
      </c>
      <c r="J13" s="78">
        <v>100</v>
      </c>
      <c r="K13" s="76">
        <f t="shared" ref="K13:L13" si="25">SUM(E13+G13+I13)</f>
        <v>300</v>
      </c>
      <c r="L13" s="77">
        <f t="shared" si="25"/>
        <v>300</v>
      </c>
      <c r="M13" s="78">
        <f t="shared" si="1"/>
        <v>0</v>
      </c>
      <c r="N13" s="76"/>
      <c r="O13" s="78"/>
      <c r="P13" s="76"/>
      <c r="Q13" s="78"/>
      <c r="R13" s="76"/>
      <c r="S13" s="78"/>
      <c r="T13" s="76">
        <f t="shared" ref="T13:U13" si="26">SUM(N13+P13+R13)</f>
        <v>0</v>
      </c>
      <c r="U13" s="77">
        <f t="shared" si="26"/>
        <v>0</v>
      </c>
      <c r="V13" s="78">
        <f t="shared" si="3"/>
        <v>0</v>
      </c>
      <c r="W13" s="76"/>
      <c r="X13" s="78"/>
      <c r="Y13" s="76"/>
      <c r="Z13" s="78"/>
      <c r="AA13" s="76"/>
      <c r="AB13" s="78"/>
      <c r="AC13" s="76">
        <f t="shared" ref="AC13:AD13" si="27">SUM(W13+Y13+AA13)</f>
        <v>0</v>
      </c>
      <c r="AD13" s="77">
        <f t="shared" si="27"/>
        <v>0</v>
      </c>
      <c r="AE13" s="78">
        <f t="shared" si="5"/>
        <v>0</v>
      </c>
      <c r="AF13" s="76"/>
      <c r="AG13" s="78"/>
      <c r="AH13" s="76"/>
      <c r="AI13" s="78"/>
      <c r="AJ13" s="76"/>
      <c r="AK13" s="78"/>
      <c r="AL13" s="76">
        <f t="shared" ref="AL13:AM13" si="28">SUM(AF13+AH13+AJ13)</f>
        <v>0</v>
      </c>
      <c r="AM13" s="77">
        <f t="shared" si="28"/>
        <v>0</v>
      </c>
      <c r="AN13" s="78">
        <f t="shared" si="7"/>
        <v>0</v>
      </c>
      <c r="AO13" s="76">
        <f t="shared" ref="AO13:AP13" si="29">SUM(K13+T13+AC13+AL13)</f>
        <v>300</v>
      </c>
      <c r="AP13" s="77">
        <f t="shared" si="29"/>
        <v>300</v>
      </c>
      <c r="AQ13" s="77">
        <f t="shared" si="9"/>
        <v>0</v>
      </c>
      <c r="AR13" s="158"/>
    </row>
    <row r="14" spans="1:44">
      <c r="A14" s="153"/>
      <c r="B14" s="159"/>
      <c r="C14" s="301" t="s">
        <v>75</v>
      </c>
      <c r="D14" s="265"/>
      <c r="E14" s="180"/>
      <c r="F14" s="181"/>
      <c r="G14" s="180"/>
      <c r="H14" s="181"/>
      <c r="I14" s="180"/>
      <c r="J14" s="181"/>
      <c r="K14" s="180"/>
      <c r="L14" s="182"/>
      <c r="M14" s="181"/>
      <c r="N14" s="180"/>
      <c r="O14" s="181"/>
      <c r="P14" s="180"/>
      <c r="Q14" s="181"/>
      <c r="R14" s="180"/>
      <c r="S14" s="181"/>
      <c r="T14" s="180"/>
      <c r="U14" s="182"/>
      <c r="V14" s="181"/>
      <c r="W14" s="180"/>
      <c r="X14" s="181"/>
      <c r="Y14" s="180"/>
      <c r="Z14" s="181"/>
      <c r="AA14" s="180"/>
      <c r="AB14" s="181"/>
      <c r="AC14" s="180"/>
      <c r="AD14" s="182"/>
      <c r="AE14" s="181"/>
      <c r="AF14" s="180"/>
      <c r="AG14" s="181"/>
      <c r="AH14" s="180"/>
      <c r="AI14" s="181"/>
      <c r="AJ14" s="180"/>
      <c r="AK14" s="181"/>
      <c r="AL14" s="180"/>
      <c r="AM14" s="182"/>
      <c r="AN14" s="181"/>
      <c r="AO14" s="180"/>
      <c r="AP14" s="182"/>
      <c r="AQ14" s="182"/>
      <c r="AR14" s="158"/>
    </row>
    <row r="15" spans="1:44">
      <c r="A15" s="153"/>
      <c r="B15" s="159"/>
      <c r="C15" s="300" t="s">
        <v>76</v>
      </c>
      <c r="D15" s="267"/>
      <c r="E15" s="76">
        <v>100</v>
      </c>
      <c r="F15" s="78">
        <v>100</v>
      </c>
      <c r="G15" s="76">
        <v>100</v>
      </c>
      <c r="H15" s="78">
        <v>100</v>
      </c>
      <c r="I15" s="76">
        <v>100</v>
      </c>
      <c r="J15" s="78">
        <v>100</v>
      </c>
      <c r="K15" s="76">
        <f t="shared" ref="K15:L15" si="30">SUM(E15+G15+I15)</f>
        <v>300</v>
      </c>
      <c r="L15" s="77">
        <f t="shared" si="30"/>
        <v>300</v>
      </c>
      <c r="M15" s="78">
        <f t="shared" ref="M15:M17" si="31">K15-L15</f>
        <v>0</v>
      </c>
      <c r="N15" s="76"/>
      <c r="O15" s="78"/>
      <c r="P15" s="76"/>
      <c r="Q15" s="78"/>
      <c r="R15" s="76"/>
      <c r="S15" s="78"/>
      <c r="T15" s="76">
        <f t="shared" ref="T15:U15" si="32">SUM(N15+P15+R15)</f>
        <v>0</v>
      </c>
      <c r="U15" s="77">
        <f t="shared" si="32"/>
        <v>0</v>
      </c>
      <c r="V15" s="78">
        <f t="shared" ref="V15:V17" si="33">T15-U15</f>
        <v>0</v>
      </c>
      <c r="W15" s="76"/>
      <c r="X15" s="78"/>
      <c r="Y15" s="76"/>
      <c r="Z15" s="78"/>
      <c r="AA15" s="76"/>
      <c r="AB15" s="78"/>
      <c r="AC15" s="76">
        <f t="shared" ref="AC15:AD15" si="34">SUM(W15+Y15+AA15)</f>
        <v>0</v>
      </c>
      <c r="AD15" s="77">
        <f t="shared" si="34"/>
        <v>0</v>
      </c>
      <c r="AE15" s="78">
        <f t="shared" ref="AE15:AE17" si="35">AC15-AD15</f>
        <v>0</v>
      </c>
      <c r="AF15" s="76"/>
      <c r="AG15" s="78"/>
      <c r="AH15" s="76"/>
      <c r="AI15" s="78"/>
      <c r="AJ15" s="76"/>
      <c r="AK15" s="78"/>
      <c r="AL15" s="76">
        <f t="shared" ref="AL15:AM15" si="36">SUM(AF15+AH15+AJ15)</f>
        <v>0</v>
      </c>
      <c r="AM15" s="77">
        <f t="shared" si="36"/>
        <v>0</v>
      </c>
      <c r="AN15" s="78">
        <f t="shared" ref="AN15:AN17" si="37">AL15-AM15</f>
        <v>0</v>
      </c>
      <c r="AO15" s="76">
        <f t="shared" ref="AO15:AP15" si="38">SUM(K15+T15+AC15+AL15)</f>
        <v>300</v>
      </c>
      <c r="AP15" s="77">
        <f t="shared" si="38"/>
        <v>300</v>
      </c>
      <c r="AQ15" s="77">
        <f t="shared" ref="AQ15:AQ17" si="39">AO15-AP15</f>
        <v>0</v>
      </c>
      <c r="AR15" s="158"/>
    </row>
    <row r="16" spans="1:44">
      <c r="A16" s="153"/>
      <c r="B16" s="159"/>
      <c r="C16" s="300" t="s">
        <v>77</v>
      </c>
      <c r="D16" s="267"/>
      <c r="E16" s="76">
        <v>100</v>
      </c>
      <c r="F16" s="78">
        <v>100</v>
      </c>
      <c r="G16" s="76">
        <v>100</v>
      </c>
      <c r="H16" s="78">
        <v>100</v>
      </c>
      <c r="I16" s="76">
        <v>100</v>
      </c>
      <c r="J16" s="78">
        <v>100</v>
      </c>
      <c r="K16" s="76">
        <f t="shared" ref="K16:L16" si="40">SUM(E16+G16+I16)</f>
        <v>300</v>
      </c>
      <c r="L16" s="77">
        <f t="shared" si="40"/>
        <v>300</v>
      </c>
      <c r="M16" s="78">
        <f t="shared" si="31"/>
        <v>0</v>
      </c>
      <c r="N16" s="76"/>
      <c r="O16" s="78"/>
      <c r="P16" s="76"/>
      <c r="Q16" s="78"/>
      <c r="R16" s="76"/>
      <c r="S16" s="78"/>
      <c r="T16" s="76">
        <f t="shared" ref="T16:U16" si="41">SUM(N16+P16+R16)</f>
        <v>0</v>
      </c>
      <c r="U16" s="77">
        <f t="shared" si="41"/>
        <v>0</v>
      </c>
      <c r="V16" s="78">
        <f t="shared" si="33"/>
        <v>0</v>
      </c>
      <c r="W16" s="76"/>
      <c r="X16" s="78"/>
      <c r="Y16" s="76"/>
      <c r="Z16" s="78"/>
      <c r="AA16" s="76"/>
      <c r="AB16" s="78"/>
      <c r="AC16" s="76">
        <f t="shared" ref="AC16:AD16" si="42">SUM(W16+Y16+AA16)</f>
        <v>0</v>
      </c>
      <c r="AD16" s="77">
        <f t="shared" si="42"/>
        <v>0</v>
      </c>
      <c r="AE16" s="78">
        <f t="shared" si="35"/>
        <v>0</v>
      </c>
      <c r="AF16" s="76"/>
      <c r="AG16" s="78"/>
      <c r="AH16" s="76"/>
      <c r="AI16" s="78"/>
      <c r="AJ16" s="76"/>
      <c r="AK16" s="78"/>
      <c r="AL16" s="76">
        <f t="shared" ref="AL16:AM16" si="43">SUM(AF16+AH16+AJ16)</f>
        <v>0</v>
      </c>
      <c r="AM16" s="77">
        <f t="shared" si="43"/>
        <v>0</v>
      </c>
      <c r="AN16" s="78">
        <f t="shared" si="37"/>
        <v>0</v>
      </c>
      <c r="AO16" s="76">
        <f t="shared" ref="AO16:AP16" si="44">SUM(K16+T16+AC16+AL16)</f>
        <v>300</v>
      </c>
      <c r="AP16" s="77">
        <f t="shared" si="44"/>
        <v>300</v>
      </c>
      <c r="AQ16" s="77">
        <f t="shared" si="39"/>
        <v>0</v>
      </c>
      <c r="AR16" s="158"/>
    </row>
    <row r="17" spans="1:44">
      <c r="A17" s="153"/>
      <c r="B17" s="159"/>
      <c r="C17" s="300" t="s">
        <v>78</v>
      </c>
      <c r="D17" s="267"/>
      <c r="E17" s="76">
        <v>100</v>
      </c>
      <c r="F17" s="78">
        <v>100</v>
      </c>
      <c r="G17" s="76">
        <v>100</v>
      </c>
      <c r="H17" s="78">
        <v>100</v>
      </c>
      <c r="I17" s="76">
        <v>100</v>
      </c>
      <c r="J17" s="78">
        <v>100</v>
      </c>
      <c r="K17" s="76">
        <f t="shared" ref="K17:L17" si="45">SUM(E17+G17+I17)</f>
        <v>300</v>
      </c>
      <c r="L17" s="77">
        <f t="shared" si="45"/>
        <v>300</v>
      </c>
      <c r="M17" s="78">
        <f t="shared" si="31"/>
        <v>0</v>
      </c>
      <c r="N17" s="76"/>
      <c r="O17" s="78"/>
      <c r="P17" s="76"/>
      <c r="Q17" s="78"/>
      <c r="R17" s="76"/>
      <c r="S17" s="78"/>
      <c r="T17" s="76">
        <f t="shared" ref="T17:U17" si="46">SUM(N17+P17+R17)</f>
        <v>0</v>
      </c>
      <c r="U17" s="77">
        <f t="shared" si="46"/>
        <v>0</v>
      </c>
      <c r="V17" s="78">
        <f t="shared" si="33"/>
        <v>0</v>
      </c>
      <c r="W17" s="76"/>
      <c r="X17" s="78"/>
      <c r="Y17" s="76"/>
      <c r="Z17" s="78"/>
      <c r="AA17" s="76"/>
      <c r="AB17" s="78"/>
      <c r="AC17" s="76">
        <f t="shared" ref="AC17:AD17" si="47">SUM(W17+Y17+AA17)</f>
        <v>0</v>
      </c>
      <c r="AD17" s="77">
        <f t="shared" si="47"/>
        <v>0</v>
      </c>
      <c r="AE17" s="78">
        <f t="shared" si="35"/>
        <v>0</v>
      </c>
      <c r="AF17" s="76"/>
      <c r="AG17" s="78"/>
      <c r="AH17" s="76"/>
      <c r="AI17" s="78"/>
      <c r="AJ17" s="76"/>
      <c r="AK17" s="78"/>
      <c r="AL17" s="76">
        <f t="shared" ref="AL17:AM17" si="48">SUM(AF17+AH17+AJ17)</f>
        <v>0</v>
      </c>
      <c r="AM17" s="77">
        <f t="shared" si="48"/>
        <v>0</v>
      </c>
      <c r="AN17" s="78">
        <f t="shared" si="37"/>
        <v>0</v>
      </c>
      <c r="AO17" s="76">
        <f t="shared" ref="AO17:AP17" si="49">SUM(K17+T17+AC17+AL17)</f>
        <v>300</v>
      </c>
      <c r="AP17" s="77">
        <f t="shared" si="49"/>
        <v>300</v>
      </c>
      <c r="AQ17" s="77">
        <f t="shared" si="39"/>
        <v>0</v>
      </c>
      <c r="AR17" s="158"/>
    </row>
    <row r="18" spans="1:44">
      <c r="A18" s="153"/>
      <c r="B18" s="159"/>
      <c r="C18" s="302" t="s">
        <v>79</v>
      </c>
      <c r="D18" s="265"/>
      <c r="E18" s="183"/>
      <c r="F18" s="184"/>
      <c r="G18" s="183"/>
      <c r="H18" s="184"/>
      <c r="I18" s="183"/>
      <c r="J18" s="184"/>
      <c r="K18" s="183"/>
      <c r="L18" s="185"/>
      <c r="M18" s="184"/>
      <c r="N18" s="183"/>
      <c r="O18" s="184"/>
      <c r="P18" s="183"/>
      <c r="Q18" s="184"/>
      <c r="R18" s="183"/>
      <c r="S18" s="184"/>
      <c r="T18" s="183"/>
      <c r="U18" s="185"/>
      <c r="V18" s="184"/>
      <c r="W18" s="183"/>
      <c r="X18" s="184"/>
      <c r="Y18" s="183"/>
      <c r="Z18" s="184"/>
      <c r="AA18" s="183"/>
      <c r="AB18" s="184"/>
      <c r="AC18" s="183"/>
      <c r="AD18" s="185"/>
      <c r="AE18" s="184"/>
      <c r="AF18" s="183"/>
      <c r="AG18" s="184"/>
      <c r="AH18" s="183"/>
      <c r="AI18" s="184"/>
      <c r="AJ18" s="183"/>
      <c r="AK18" s="184"/>
      <c r="AL18" s="183"/>
      <c r="AM18" s="185"/>
      <c r="AN18" s="184"/>
      <c r="AO18" s="183"/>
      <c r="AP18" s="185"/>
      <c r="AQ18" s="185"/>
      <c r="AR18" s="158"/>
    </row>
    <row r="19" spans="1:44">
      <c r="A19" s="153"/>
      <c r="B19" s="159"/>
      <c r="C19" s="300" t="s">
        <v>80</v>
      </c>
      <c r="D19" s="267"/>
      <c r="E19" s="76">
        <v>100</v>
      </c>
      <c r="F19" s="78">
        <v>100</v>
      </c>
      <c r="G19" s="76">
        <v>100</v>
      </c>
      <c r="H19" s="78">
        <v>100</v>
      </c>
      <c r="I19" s="76">
        <v>100</v>
      </c>
      <c r="J19" s="78">
        <v>100</v>
      </c>
      <c r="K19" s="76">
        <f t="shared" ref="K19:L19" si="50">SUM(E19+G19+I19)</f>
        <v>300</v>
      </c>
      <c r="L19" s="77">
        <f t="shared" si="50"/>
        <v>300</v>
      </c>
      <c r="M19" s="78">
        <f t="shared" ref="M19:M22" si="51">K19-L19</f>
        <v>0</v>
      </c>
      <c r="N19" s="76"/>
      <c r="O19" s="78"/>
      <c r="P19" s="76"/>
      <c r="Q19" s="78"/>
      <c r="R19" s="76"/>
      <c r="S19" s="78"/>
      <c r="T19" s="76">
        <f t="shared" ref="T19:U19" si="52">SUM(N19+P19+R19)</f>
        <v>0</v>
      </c>
      <c r="U19" s="77">
        <f t="shared" si="52"/>
        <v>0</v>
      </c>
      <c r="V19" s="78">
        <f t="shared" ref="V19:V22" si="53">T19-U19</f>
        <v>0</v>
      </c>
      <c r="W19" s="76"/>
      <c r="X19" s="78"/>
      <c r="Y19" s="76"/>
      <c r="Z19" s="78"/>
      <c r="AA19" s="76"/>
      <c r="AB19" s="78"/>
      <c r="AC19" s="76">
        <f t="shared" ref="AC19:AD19" si="54">SUM(W19+Y19+AA19)</f>
        <v>0</v>
      </c>
      <c r="AD19" s="77">
        <f t="shared" si="54"/>
        <v>0</v>
      </c>
      <c r="AE19" s="78">
        <f t="shared" ref="AE19:AE22" si="55">AC19-AD19</f>
        <v>0</v>
      </c>
      <c r="AF19" s="76"/>
      <c r="AG19" s="78"/>
      <c r="AH19" s="76"/>
      <c r="AI19" s="78"/>
      <c r="AJ19" s="76"/>
      <c r="AK19" s="78"/>
      <c r="AL19" s="76">
        <f t="shared" ref="AL19:AM19" si="56">SUM(AF19+AH19+AJ19)</f>
        <v>0</v>
      </c>
      <c r="AM19" s="77">
        <f t="shared" si="56"/>
        <v>0</v>
      </c>
      <c r="AN19" s="78">
        <f t="shared" ref="AN19:AN22" si="57">AL19-AM19</f>
        <v>0</v>
      </c>
      <c r="AO19" s="76">
        <f t="shared" ref="AO19:AP19" si="58">SUM(K19+T19+AC19+AL19)</f>
        <v>300</v>
      </c>
      <c r="AP19" s="77">
        <f t="shared" si="58"/>
        <v>300</v>
      </c>
      <c r="AQ19" s="77">
        <f t="shared" ref="AQ19:AQ22" si="59">AO19-AP19</f>
        <v>0</v>
      </c>
      <c r="AR19" s="158"/>
    </row>
    <row r="20" spans="1:44">
      <c r="A20" s="153"/>
      <c r="B20" s="159"/>
      <c r="C20" s="300" t="s">
        <v>81</v>
      </c>
      <c r="D20" s="267"/>
      <c r="E20" s="76">
        <v>100</v>
      </c>
      <c r="F20" s="78">
        <v>100</v>
      </c>
      <c r="G20" s="76">
        <v>100</v>
      </c>
      <c r="H20" s="78">
        <v>100</v>
      </c>
      <c r="I20" s="76">
        <v>100</v>
      </c>
      <c r="J20" s="78">
        <v>100</v>
      </c>
      <c r="K20" s="76">
        <f t="shared" ref="K20:L20" si="60">SUM(E20+G20+I20)</f>
        <v>300</v>
      </c>
      <c r="L20" s="77">
        <f t="shared" si="60"/>
        <v>300</v>
      </c>
      <c r="M20" s="78">
        <f t="shared" si="51"/>
        <v>0</v>
      </c>
      <c r="N20" s="76"/>
      <c r="O20" s="78"/>
      <c r="P20" s="76"/>
      <c r="Q20" s="78"/>
      <c r="R20" s="76"/>
      <c r="S20" s="78"/>
      <c r="T20" s="76">
        <f t="shared" ref="T20:U20" si="61">SUM(N20+P20+R20)</f>
        <v>0</v>
      </c>
      <c r="U20" s="77">
        <f t="shared" si="61"/>
        <v>0</v>
      </c>
      <c r="V20" s="78">
        <f t="shared" si="53"/>
        <v>0</v>
      </c>
      <c r="W20" s="76"/>
      <c r="X20" s="78"/>
      <c r="Y20" s="76"/>
      <c r="Z20" s="78"/>
      <c r="AA20" s="76"/>
      <c r="AB20" s="78"/>
      <c r="AC20" s="76">
        <f t="shared" ref="AC20:AD20" si="62">SUM(W20+Y20+AA20)</f>
        <v>0</v>
      </c>
      <c r="AD20" s="77">
        <f t="shared" si="62"/>
        <v>0</v>
      </c>
      <c r="AE20" s="78">
        <f t="shared" si="55"/>
        <v>0</v>
      </c>
      <c r="AF20" s="76"/>
      <c r="AG20" s="78"/>
      <c r="AH20" s="76"/>
      <c r="AI20" s="78"/>
      <c r="AJ20" s="76"/>
      <c r="AK20" s="78"/>
      <c r="AL20" s="76">
        <f t="shared" ref="AL20:AM20" si="63">SUM(AF20+AH20+AJ20)</f>
        <v>0</v>
      </c>
      <c r="AM20" s="77">
        <f t="shared" si="63"/>
        <v>0</v>
      </c>
      <c r="AN20" s="78">
        <f t="shared" si="57"/>
        <v>0</v>
      </c>
      <c r="AO20" s="76">
        <f t="shared" ref="AO20:AP20" si="64">SUM(K20+T20+AC20+AL20)</f>
        <v>300</v>
      </c>
      <c r="AP20" s="77">
        <f t="shared" si="64"/>
        <v>300</v>
      </c>
      <c r="AQ20" s="77">
        <f t="shared" si="59"/>
        <v>0</v>
      </c>
      <c r="AR20" s="158"/>
    </row>
    <row r="21" spans="1:44" ht="15.75" customHeight="1">
      <c r="A21" s="153"/>
      <c r="B21" s="159"/>
      <c r="C21" s="300" t="s">
        <v>82</v>
      </c>
      <c r="D21" s="267"/>
      <c r="E21" s="76">
        <v>100</v>
      </c>
      <c r="F21" s="78">
        <v>100</v>
      </c>
      <c r="G21" s="76">
        <v>100</v>
      </c>
      <c r="H21" s="78">
        <v>100</v>
      </c>
      <c r="I21" s="76">
        <v>100</v>
      </c>
      <c r="J21" s="78">
        <v>100</v>
      </c>
      <c r="K21" s="76">
        <f t="shared" ref="K21:L21" si="65">SUM(E21+G21+I21)</f>
        <v>300</v>
      </c>
      <c r="L21" s="77">
        <f t="shared" si="65"/>
        <v>300</v>
      </c>
      <c r="M21" s="78">
        <f t="shared" si="51"/>
        <v>0</v>
      </c>
      <c r="N21" s="76"/>
      <c r="O21" s="78"/>
      <c r="P21" s="76"/>
      <c r="Q21" s="78"/>
      <c r="R21" s="76"/>
      <c r="S21" s="78"/>
      <c r="T21" s="76">
        <f t="shared" ref="T21:U21" si="66">SUM(N21+P21+R21)</f>
        <v>0</v>
      </c>
      <c r="U21" s="77">
        <f t="shared" si="66"/>
        <v>0</v>
      </c>
      <c r="V21" s="78">
        <f t="shared" si="53"/>
        <v>0</v>
      </c>
      <c r="W21" s="76"/>
      <c r="X21" s="78"/>
      <c r="Y21" s="76"/>
      <c r="Z21" s="78"/>
      <c r="AA21" s="76"/>
      <c r="AB21" s="78"/>
      <c r="AC21" s="76">
        <f t="shared" ref="AC21:AD21" si="67">SUM(W21+Y21+AA21)</f>
        <v>0</v>
      </c>
      <c r="AD21" s="77">
        <f t="shared" si="67"/>
        <v>0</v>
      </c>
      <c r="AE21" s="78">
        <f t="shared" si="55"/>
        <v>0</v>
      </c>
      <c r="AF21" s="76"/>
      <c r="AG21" s="78"/>
      <c r="AH21" s="76"/>
      <c r="AI21" s="78"/>
      <c r="AJ21" s="76"/>
      <c r="AK21" s="78"/>
      <c r="AL21" s="76">
        <f t="shared" ref="AL21:AM21" si="68">SUM(AF21+AH21+AJ21)</f>
        <v>0</v>
      </c>
      <c r="AM21" s="77">
        <f t="shared" si="68"/>
        <v>0</v>
      </c>
      <c r="AN21" s="78">
        <f t="shared" si="57"/>
        <v>0</v>
      </c>
      <c r="AO21" s="76">
        <f t="shared" ref="AO21:AP21" si="69">SUM(K21+T21+AC21+AL21)</f>
        <v>300</v>
      </c>
      <c r="AP21" s="77">
        <f t="shared" si="69"/>
        <v>300</v>
      </c>
      <c r="AQ21" s="77">
        <f t="shared" si="59"/>
        <v>0</v>
      </c>
      <c r="AR21" s="158"/>
    </row>
    <row r="22" spans="1:44" ht="15.75" customHeight="1">
      <c r="A22" s="153"/>
      <c r="B22" s="159"/>
      <c r="C22" s="300" t="s">
        <v>83</v>
      </c>
      <c r="D22" s="267"/>
      <c r="E22" s="76">
        <v>100</v>
      </c>
      <c r="F22" s="78">
        <v>100</v>
      </c>
      <c r="G22" s="76">
        <v>100</v>
      </c>
      <c r="H22" s="78">
        <v>100</v>
      </c>
      <c r="I22" s="76">
        <v>100</v>
      </c>
      <c r="J22" s="78">
        <v>100</v>
      </c>
      <c r="K22" s="76">
        <f t="shared" ref="K22:L22" si="70">SUM(E22+G22+I22)</f>
        <v>300</v>
      </c>
      <c r="L22" s="77">
        <f t="shared" si="70"/>
        <v>300</v>
      </c>
      <c r="M22" s="78">
        <f t="shared" si="51"/>
        <v>0</v>
      </c>
      <c r="N22" s="76"/>
      <c r="O22" s="78"/>
      <c r="P22" s="76"/>
      <c r="Q22" s="78"/>
      <c r="R22" s="76"/>
      <c r="S22" s="78"/>
      <c r="T22" s="76">
        <f t="shared" ref="T22:U22" si="71">SUM(N22+P22+R22)</f>
        <v>0</v>
      </c>
      <c r="U22" s="77">
        <f t="shared" si="71"/>
        <v>0</v>
      </c>
      <c r="V22" s="78">
        <f t="shared" si="53"/>
        <v>0</v>
      </c>
      <c r="W22" s="76"/>
      <c r="X22" s="78"/>
      <c r="Y22" s="76"/>
      <c r="Z22" s="78"/>
      <c r="AA22" s="76"/>
      <c r="AB22" s="78"/>
      <c r="AC22" s="76">
        <f t="shared" ref="AC22:AD22" si="72">SUM(W22+Y22+AA22)</f>
        <v>0</v>
      </c>
      <c r="AD22" s="77">
        <f t="shared" si="72"/>
        <v>0</v>
      </c>
      <c r="AE22" s="78">
        <f t="shared" si="55"/>
        <v>0</v>
      </c>
      <c r="AF22" s="76"/>
      <c r="AG22" s="78"/>
      <c r="AH22" s="76"/>
      <c r="AI22" s="78"/>
      <c r="AJ22" s="76"/>
      <c r="AK22" s="78"/>
      <c r="AL22" s="76">
        <f t="shared" ref="AL22:AM22" si="73">SUM(AF22+AH22+AJ22)</f>
        <v>0</v>
      </c>
      <c r="AM22" s="77">
        <f t="shared" si="73"/>
        <v>0</v>
      </c>
      <c r="AN22" s="78">
        <f t="shared" si="57"/>
        <v>0</v>
      </c>
      <c r="AO22" s="76">
        <f t="shared" ref="AO22:AP22" si="74">SUM(K22+T22+AC22+AL22)</f>
        <v>300</v>
      </c>
      <c r="AP22" s="77">
        <f t="shared" si="74"/>
        <v>300</v>
      </c>
      <c r="AQ22" s="77">
        <f t="shared" si="59"/>
        <v>0</v>
      </c>
      <c r="AR22" s="158"/>
    </row>
    <row r="23" spans="1:44" ht="15.75" customHeight="1">
      <c r="A23" s="153"/>
      <c r="B23" s="159"/>
      <c r="C23" s="305" t="s">
        <v>84</v>
      </c>
      <c r="D23" s="265"/>
      <c r="E23" s="186"/>
      <c r="F23" s="187"/>
      <c r="G23" s="186"/>
      <c r="H23" s="187"/>
      <c r="I23" s="186"/>
      <c r="J23" s="187"/>
      <c r="K23" s="186"/>
      <c r="L23" s="188"/>
      <c r="M23" s="187"/>
      <c r="N23" s="186"/>
      <c r="O23" s="187"/>
      <c r="P23" s="186"/>
      <c r="Q23" s="187"/>
      <c r="R23" s="186"/>
      <c r="S23" s="187"/>
      <c r="T23" s="186"/>
      <c r="U23" s="188"/>
      <c r="V23" s="187"/>
      <c r="W23" s="186"/>
      <c r="X23" s="187"/>
      <c r="Y23" s="186"/>
      <c r="Z23" s="187"/>
      <c r="AA23" s="186"/>
      <c r="AB23" s="187"/>
      <c r="AC23" s="186"/>
      <c r="AD23" s="188"/>
      <c r="AE23" s="187"/>
      <c r="AF23" s="186"/>
      <c r="AG23" s="187"/>
      <c r="AH23" s="186"/>
      <c r="AI23" s="187"/>
      <c r="AJ23" s="186"/>
      <c r="AK23" s="187"/>
      <c r="AL23" s="186"/>
      <c r="AM23" s="188"/>
      <c r="AN23" s="187"/>
      <c r="AO23" s="186"/>
      <c r="AP23" s="188"/>
      <c r="AQ23" s="188"/>
      <c r="AR23" s="158"/>
    </row>
    <row r="24" spans="1:44" ht="15.75" customHeight="1">
      <c r="A24" s="153"/>
      <c r="B24" s="159"/>
      <c r="C24" s="300" t="s">
        <v>85</v>
      </c>
      <c r="D24" s="267"/>
      <c r="E24" s="76">
        <v>100</v>
      </c>
      <c r="F24" s="78">
        <v>100</v>
      </c>
      <c r="G24" s="76">
        <v>100</v>
      </c>
      <c r="H24" s="78">
        <v>100</v>
      </c>
      <c r="I24" s="76">
        <v>100</v>
      </c>
      <c r="J24" s="78">
        <v>100</v>
      </c>
      <c r="K24" s="76">
        <f t="shared" ref="K24:L24" si="75">SUM(E24+G24+I24)</f>
        <v>300</v>
      </c>
      <c r="L24" s="77">
        <f t="shared" si="75"/>
        <v>300</v>
      </c>
      <c r="M24" s="78">
        <f t="shared" ref="M24:M26" si="76">K24-L24</f>
        <v>0</v>
      </c>
      <c r="N24" s="76"/>
      <c r="O24" s="78"/>
      <c r="P24" s="76"/>
      <c r="Q24" s="78"/>
      <c r="R24" s="76"/>
      <c r="S24" s="78"/>
      <c r="T24" s="76">
        <f t="shared" ref="T24:U24" si="77">SUM(N24+P24+R24)</f>
        <v>0</v>
      </c>
      <c r="U24" s="77">
        <f t="shared" si="77"/>
        <v>0</v>
      </c>
      <c r="V24" s="78">
        <f t="shared" ref="V24:V26" si="78">T24-U24</f>
        <v>0</v>
      </c>
      <c r="W24" s="76"/>
      <c r="X24" s="78"/>
      <c r="Y24" s="76"/>
      <c r="Z24" s="78"/>
      <c r="AA24" s="76"/>
      <c r="AB24" s="78"/>
      <c r="AC24" s="76">
        <f t="shared" ref="AC24:AD24" si="79">SUM(W24+Y24+AA24)</f>
        <v>0</v>
      </c>
      <c r="AD24" s="77">
        <f t="shared" si="79"/>
        <v>0</v>
      </c>
      <c r="AE24" s="78">
        <f t="shared" ref="AE24:AE26" si="80">AC24-AD24</f>
        <v>0</v>
      </c>
      <c r="AF24" s="76"/>
      <c r="AG24" s="78"/>
      <c r="AH24" s="76"/>
      <c r="AI24" s="78"/>
      <c r="AJ24" s="76"/>
      <c r="AK24" s="78"/>
      <c r="AL24" s="76">
        <f t="shared" ref="AL24:AM24" si="81">SUM(AF24+AH24+AJ24)</f>
        <v>0</v>
      </c>
      <c r="AM24" s="77">
        <f t="shared" si="81"/>
        <v>0</v>
      </c>
      <c r="AN24" s="78">
        <f t="shared" ref="AN24:AN26" si="82">AL24-AM24</f>
        <v>0</v>
      </c>
      <c r="AO24" s="76">
        <f t="shared" ref="AO24:AP24" si="83">SUM(K24+T24+AC24+AL24)</f>
        <v>300</v>
      </c>
      <c r="AP24" s="77">
        <f t="shared" si="83"/>
        <v>300</v>
      </c>
      <c r="AQ24" s="77">
        <f t="shared" ref="AQ24:AQ26" si="84">AO24-AP24</f>
        <v>0</v>
      </c>
      <c r="AR24" s="158"/>
    </row>
    <row r="25" spans="1:44" ht="15.75" customHeight="1">
      <c r="A25" s="153"/>
      <c r="B25" s="159"/>
      <c r="C25" s="300" t="s">
        <v>86</v>
      </c>
      <c r="D25" s="267"/>
      <c r="E25" s="76">
        <v>100</v>
      </c>
      <c r="F25" s="78">
        <v>100</v>
      </c>
      <c r="G25" s="76">
        <v>100</v>
      </c>
      <c r="H25" s="78">
        <v>100</v>
      </c>
      <c r="I25" s="76">
        <v>100</v>
      </c>
      <c r="J25" s="78">
        <v>100</v>
      </c>
      <c r="K25" s="76">
        <f t="shared" ref="K25:L25" si="85">SUM(E25+G25+I25)</f>
        <v>300</v>
      </c>
      <c r="L25" s="77">
        <f t="shared" si="85"/>
        <v>300</v>
      </c>
      <c r="M25" s="78">
        <f t="shared" si="76"/>
        <v>0</v>
      </c>
      <c r="N25" s="76"/>
      <c r="O25" s="78"/>
      <c r="P25" s="76"/>
      <c r="Q25" s="78"/>
      <c r="R25" s="76"/>
      <c r="S25" s="78"/>
      <c r="T25" s="76">
        <f t="shared" ref="T25:U25" si="86">SUM(N25+P25+R25)</f>
        <v>0</v>
      </c>
      <c r="U25" s="77">
        <f t="shared" si="86"/>
        <v>0</v>
      </c>
      <c r="V25" s="78">
        <f t="shared" si="78"/>
        <v>0</v>
      </c>
      <c r="W25" s="76"/>
      <c r="X25" s="78"/>
      <c r="Y25" s="76"/>
      <c r="Z25" s="78"/>
      <c r="AA25" s="76"/>
      <c r="AB25" s="78"/>
      <c r="AC25" s="76">
        <f t="shared" ref="AC25:AD25" si="87">SUM(W25+Y25+AA25)</f>
        <v>0</v>
      </c>
      <c r="AD25" s="77">
        <f t="shared" si="87"/>
        <v>0</v>
      </c>
      <c r="AE25" s="78">
        <f t="shared" si="80"/>
        <v>0</v>
      </c>
      <c r="AF25" s="76"/>
      <c r="AG25" s="78"/>
      <c r="AH25" s="76"/>
      <c r="AI25" s="78"/>
      <c r="AJ25" s="76"/>
      <c r="AK25" s="78"/>
      <c r="AL25" s="76">
        <f t="shared" ref="AL25:AM25" si="88">SUM(AF25+AH25+AJ25)</f>
        <v>0</v>
      </c>
      <c r="AM25" s="77">
        <f t="shared" si="88"/>
        <v>0</v>
      </c>
      <c r="AN25" s="78">
        <f t="shared" si="82"/>
        <v>0</v>
      </c>
      <c r="AO25" s="76">
        <f t="shared" ref="AO25:AP25" si="89">SUM(K25+T25+AC25+AL25)</f>
        <v>300</v>
      </c>
      <c r="AP25" s="77">
        <f t="shared" si="89"/>
        <v>300</v>
      </c>
      <c r="AQ25" s="77">
        <f t="shared" si="84"/>
        <v>0</v>
      </c>
      <c r="AR25" s="158"/>
    </row>
    <row r="26" spans="1:44" ht="15.75" customHeight="1">
      <c r="A26" s="153"/>
      <c r="B26" s="159"/>
      <c r="C26" s="306" t="s">
        <v>87</v>
      </c>
      <c r="D26" s="307"/>
      <c r="E26" s="80">
        <v>100</v>
      </c>
      <c r="F26" s="82">
        <v>100</v>
      </c>
      <c r="G26" s="80">
        <v>100</v>
      </c>
      <c r="H26" s="82">
        <v>100</v>
      </c>
      <c r="I26" s="80">
        <v>100</v>
      </c>
      <c r="J26" s="82">
        <v>100</v>
      </c>
      <c r="K26" s="80">
        <f t="shared" ref="K26:L26" si="90">SUM(E26+G26+I26)</f>
        <v>300</v>
      </c>
      <c r="L26" s="81">
        <f t="shared" si="90"/>
        <v>300</v>
      </c>
      <c r="M26" s="82">
        <f t="shared" si="76"/>
        <v>0</v>
      </c>
      <c r="N26" s="80"/>
      <c r="O26" s="82"/>
      <c r="P26" s="80"/>
      <c r="Q26" s="82"/>
      <c r="R26" s="80"/>
      <c r="S26" s="82"/>
      <c r="T26" s="80">
        <f t="shared" ref="T26:U26" si="91">SUM(N26+P26+R26)</f>
        <v>0</v>
      </c>
      <c r="U26" s="81">
        <f t="shared" si="91"/>
        <v>0</v>
      </c>
      <c r="V26" s="82">
        <f t="shared" si="78"/>
        <v>0</v>
      </c>
      <c r="W26" s="80"/>
      <c r="X26" s="82"/>
      <c r="Y26" s="80"/>
      <c r="Z26" s="82"/>
      <c r="AA26" s="80"/>
      <c r="AB26" s="82"/>
      <c r="AC26" s="80">
        <f t="shared" ref="AC26:AD26" si="92">SUM(W26+Y26+AA26)</f>
        <v>0</v>
      </c>
      <c r="AD26" s="81">
        <f t="shared" si="92"/>
        <v>0</v>
      </c>
      <c r="AE26" s="82">
        <f t="shared" si="80"/>
        <v>0</v>
      </c>
      <c r="AF26" s="80"/>
      <c r="AG26" s="82"/>
      <c r="AH26" s="80"/>
      <c r="AI26" s="82"/>
      <c r="AJ26" s="80"/>
      <c r="AK26" s="82"/>
      <c r="AL26" s="80">
        <f t="shared" ref="AL26:AM26" si="93">SUM(AF26+AH26+AJ26)</f>
        <v>0</v>
      </c>
      <c r="AM26" s="81">
        <f t="shared" si="93"/>
        <v>0</v>
      </c>
      <c r="AN26" s="82">
        <f t="shared" si="82"/>
        <v>0</v>
      </c>
      <c r="AO26" s="80">
        <f t="shared" ref="AO26:AP26" si="94">SUM(K26+T26+AC26+AL26)</f>
        <v>300</v>
      </c>
      <c r="AP26" s="81">
        <f t="shared" si="94"/>
        <v>300</v>
      </c>
      <c r="AQ26" s="81">
        <f t="shared" si="84"/>
        <v>0</v>
      </c>
      <c r="AR26" s="158"/>
    </row>
    <row r="27" spans="1:44" ht="15.75" customHeight="1">
      <c r="A27" s="153"/>
      <c r="B27" s="159"/>
      <c r="C27" s="292" t="s">
        <v>42</v>
      </c>
      <c r="D27" s="296"/>
      <c r="E27" s="84">
        <f t="shared" ref="E27:AQ27" si="95">SUM(E9:E13,E15:E17,E19:E22,E24:E26)</f>
        <v>1500</v>
      </c>
      <c r="F27" s="85">
        <f t="shared" si="95"/>
        <v>1500</v>
      </c>
      <c r="G27" s="189">
        <f t="shared" si="95"/>
        <v>1500</v>
      </c>
      <c r="H27" s="85">
        <f t="shared" si="95"/>
        <v>1500</v>
      </c>
      <c r="I27" s="189">
        <f t="shared" si="95"/>
        <v>1500</v>
      </c>
      <c r="J27" s="85">
        <f t="shared" si="95"/>
        <v>1500</v>
      </c>
      <c r="K27" s="135">
        <f t="shared" si="95"/>
        <v>4500</v>
      </c>
      <c r="L27" s="136">
        <f t="shared" si="95"/>
        <v>4500</v>
      </c>
      <c r="M27" s="137">
        <f t="shared" si="95"/>
        <v>0</v>
      </c>
      <c r="N27" s="85">
        <f t="shared" si="95"/>
        <v>0</v>
      </c>
      <c r="O27" s="85">
        <f t="shared" si="95"/>
        <v>0</v>
      </c>
      <c r="P27" s="189">
        <f t="shared" si="95"/>
        <v>0</v>
      </c>
      <c r="Q27" s="85">
        <f t="shared" si="95"/>
        <v>0</v>
      </c>
      <c r="R27" s="189">
        <f t="shared" si="95"/>
        <v>0</v>
      </c>
      <c r="S27" s="85">
        <f t="shared" si="95"/>
        <v>0</v>
      </c>
      <c r="T27" s="135">
        <f t="shared" si="95"/>
        <v>0</v>
      </c>
      <c r="U27" s="136">
        <f t="shared" si="95"/>
        <v>0</v>
      </c>
      <c r="V27" s="137">
        <f t="shared" si="95"/>
        <v>0</v>
      </c>
      <c r="W27" s="85">
        <f t="shared" si="95"/>
        <v>0</v>
      </c>
      <c r="X27" s="85">
        <f t="shared" si="95"/>
        <v>0</v>
      </c>
      <c r="Y27" s="189">
        <f t="shared" si="95"/>
        <v>0</v>
      </c>
      <c r="Z27" s="85">
        <f t="shared" si="95"/>
        <v>0</v>
      </c>
      <c r="AA27" s="189">
        <f t="shared" si="95"/>
        <v>0</v>
      </c>
      <c r="AB27" s="86">
        <f t="shared" si="95"/>
        <v>0</v>
      </c>
      <c r="AC27" s="135">
        <f t="shared" si="95"/>
        <v>0</v>
      </c>
      <c r="AD27" s="136">
        <f t="shared" si="95"/>
        <v>0</v>
      </c>
      <c r="AE27" s="137">
        <f t="shared" si="95"/>
        <v>0</v>
      </c>
      <c r="AF27" s="85">
        <f t="shared" si="95"/>
        <v>0</v>
      </c>
      <c r="AG27" s="85">
        <f t="shared" si="95"/>
        <v>0</v>
      </c>
      <c r="AH27" s="189">
        <f t="shared" si="95"/>
        <v>0</v>
      </c>
      <c r="AI27" s="85">
        <f t="shared" si="95"/>
        <v>0</v>
      </c>
      <c r="AJ27" s="189">
        <f t="shared" si="95"/>
        <v>0</v>
      </c>
      <c r="AK27" s="86">
        <f t="shared" si="95"/>
        <v>0</v>
      </c>
      <c r="AL27" s="135">
        <f t="shared" si="95"/>
        <v>0</v>
      </c>
      <c r="AM27" s="136">
        <f t="shared" si="95"/>
        <v>0</v>
      </c>
      <c r="AN27" s="137">
        <f t="shared" si="95"/>
        <v>0</v>
      </c>
      <c r="AO27" s="135">
        <f t="shared" si="95"/>
        <v>4500</v>
      </c>
      <c r="AP27" s="136">
        <f t="shared" si="95"/>
        <v>4500</v>
      </c>
      <c r="AQ27" s="136">
        <f t="shared" si="95"/>
        <v>0</v>
      </c>
      <c r="AR27" s="158"/>
    </row>
    <row r="28" spans="1:44" ht="31.5" customHeight="1">
      <c r="A28" s="153"/>
      <c r="B28" s="159"/>
      <c r="C28" s="160"/>
      <c r="D28" s="160"/>
      <c r="E28" s="153"/>
      <c r="F28" s="153"/>
      <c r="G28" s="153"/>
      <c r="H28" s="153"/>
      <c r="I28" s="153"/>
      <c r="J28" s="153"/>
      <c r="K28" s="153"/>
      <c r="L28" s="153"/>
      <c r="M28" s="153"/>
      <c r="N28" s="153"/>
      <c r="O28" s="153"/>
      <c r="P28" s="153"/>
      <c r="Q28" s="153"/>
      <c r="R28" s="153"/>
      <c r="S28" s="153"/>
      <c r="T28" s="153"/>
      <c r="U28" s="153"/>
      <c r="V28" s="153"/>
      <c r="W28" s="153"/>
      <c r="X28" s="153"/>
      <c r="Y28" s="153"/>
      <c r="Z28" s="153"/>
      <c r="AA28" s="153"/>
      <c r="AB28" s="153"/>
      <c r="AC28" s="153"/>
      <c r="AD28" s="153"/>
      <c r="AE28" s="153"/>
      <c r="AF28" s="153"/>
      <c r="AG28" s="153"/>
      <c r="AH28" s="153"/>
      <c r="AI28" s="153"/>
      <c r="AJ28" s="153"/>
      <c r="AK28" s="153"/>
      <c r="AL28" s="153"/>
      <c r="AM28" s="153"/>
      <c r="AN28" s="153"/>
      <c r="AO28" s="153"/>
      <c r="AP28" s="153"/>
      <c r="AQ28" s="153"/>
      <c r="AR28" s="158"/>
    </row>
    <row r="29" spans="1:44" ht="37.5" customHeight="1">
      <c r="A29" s="153"/>
      <c r="B29" s="159"/>
      <c r="C29" s="308" t="s">
        <v>88</v>
      </c>
      <c r="D29" s="293"/>
      <c r="E29" s="70" t="s">
        <v>32</v>
      </c>
      <c r="F29" s="71" t="s">
        <v>33</v>
      </c>
      <c r="G29" s="190" t="s">
        <v>34</v>
      </c>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8"/>
    </row>
    <row r="30" spans="1:44" ht="15.75" customHeight="1">
      <c r="A30" s="153"/>
      <c r="B30" s="159"/>
      <c r="C30" s="298" t="s">
        <v>69</v>
      </c>
      <c r="D30" s="265"/>
      <c r="E30" s="76">
        <f t="shared" ref="E30:F30" si="96">SUM(AO9:AO13)</f>
        <v>1500</v>
      </c>
      <c r="F30" s="77">
        <f t="shared" si="96"/>
        <v>1500</v>
      </c>
      <c r="G30" s="77">
        <f t="shared" ref="G30:G34" si="97">E30-F30</f>
        <v>0</v>
      </c>
      <c r="H30" s="153"/>
      <c r="I30" s="153"/>
      <c r="J30" s="153"/>
      <c r="K30" s="153"/>
      <c r="L30" s="153"/>
      <c r="M30" s="153"/>
      <c r="N30" s="153"/>
      <c r="O30" s="153"/>
      <c r="P30" s="153"/>
      <c r="Q30" s="153"/>
      <c r="R30" s="153"/>
      <c r="S30" s="153"/>
      <c r="T30" s="153"/>
      <c r="U30" s="153"/>
      <c r="V30" s="153"/>
      <c r="W30" s="153"/>
      <c r="X30" s="153"/>
      <c r="Y30" s="153"/>
      <c r="Z30" s="153"/>
      <c r="AA30" s="153"/>
      <c r="AB30" s="153"/>
      <c r="AC30" s="153"/>
      <c r="AD30" s="153"/>
      <c r="AE30" s="153"/>
      <c r="AF30" s="153"/>
      <c r="AG30" s="153"/>
      <c r="AH30" s="153"/>
      <c r="AI30" s="153"/>
      <c r="AJ30" s="153"/>
      <c r="AK30" s="153"/>
      <c r="AL30" s="153"/>
      <c r="AM30" s="153"/>
      <c r="AN30" s="153"/>
      <c r="AO30" s="153"/>
      <c r="AP30" s="153"/>
      <c r="AQ30" s="153"/>
      <c r="AR30" s="158"/>
    </row>
    <row r="31" spans="1:44" ht="15.75" customHeight="1">
      <c r="A31" s="153"/>
      <c r="B31" s="159"/>
      <c r="C31" s="289" t="s">
        <v>75</v>
      </c>
      <c r="D31" s="265"/>
      <c r="E31" s="76">
        <f t="shared" ref="E31:F31" si="98">SUM(AO15:AO17)</f>
        <v>900</v>
      </c>
      <c r="F31" s="77">
        <f t="shared" si="98"/>
        <v>900</v>
      </c>
      <c r="G31" s="77">
        <f t="shared" si="97"/>
        <v>0</v>
      </c>
      <c r="H31" s="153"/>
      <c r="I31" s="153"/>
      <c r="J31" s="153"/>
      <c r="K31" s="153"/>
      <c r="L31" s="153"/>
      <c r="M31" s="153"/>
      <c r="N31" s="153"/>
      <c r="O31" s="153"/>
      <c r="P31" s="153"/>
      <c r="Q31" s="153"/>
      <c r="R31" s="153"/>
      <c r="S31" s="153"/>
      <c r="T31" s="153"/>
      <c r="U31" s="153"/>
      <c r="V31" s="153"/>
      <c r="W31" s="153"/>
      <c r="X31" s="153"/>
      <c r="Y31" s="153"/>
      <c r="Z31" s="153"/>
      <c r="AA31" s="153"/>
      <c r="AB31" s="153"/>
      <c r="AC31" s="153"/>
      <c r="AD31" s="153"/>
      <c r="AE31" s="153"/>
      <c r="AF31" s="153"/>
      <c r="AG31" s="153"/>
      <c r="AH31" s="153"/>
      <c r="AI31" s="153"/>
      <c r="AJ31" s="153"/>
      <c r="AK31" s="153"/>
      <c r="AL31" s="153"/>
      <c r="AM31" s="153"/>
      <c r="AN31" s="153"/>
      <c r="AO31" s="153"/>
      <c r="AP31" s="153"/>
      <c r="AQ31" s="153"/>
      <c r="AR31" s="158"/>
    </row>
    <row r="32" spans="1:44" ht="15.75" customHeight="1">
      <c r="A32" s="153"/>
      <c r="B32" s="159"/>
      <c r="C32" s="290" t="s">
        <v>79</v>
      </c>
      <c r="D32" s="265"/>
      <c r="E32" s="76">
        <f t="shared" ref="E32:F32" si="99">SUM(AO19:AO22)</f>
        <v>1200</v>
      </c>
      <c r="F32" s="77">
        <f t="shared" si="99"/>
        <v>1200</v>
      </c>
      <c r="G32" s="77">
        <f t="shared" si="97"/>
        <v>0</v>
      </c>
      <c r="H32" s="153"/>
      <c r="I32" s="153"/>
      <c r="J32" s="153"/>
      <c r="K32" s="153"/>
      <c r="L32" s="153"/>
      <c r="M32" s="153"/>
      <c r="N32" s="153"/>
      <c r="O32" s="153"/>
      <c r="P32" s="153"/>
      <c r="Q32" s="153"/>
      <c r="R32" s="153"/>
      <c r="S32" s="153"/>
      <c r="T32" s="153"/>
      <c r="U32" s="153"/>
      <c r="V32" s="153"/>
      <c r="W32" s="153"/>
      <c r="X32" s="153"/>
      <c r="Y32" s="153"/>
      <c r="Z32" s="153"/>
      <c r="AA32" s="153"/>
      <c r="AB32" s="153"/>
      <c r="AC32" s="153"/>
      <c r="AD32" s="153"/>
      <c r="AE32" s="153"/>
      <c r="AF32" s="153"/>
      <c r="AG32" s="153"/>
      <c r="AH32" s="153"/>
      <c r="AI32" s="153"/>
      <c r="AJ32" s="153"/>
      <c r="AK32" s="153"/>
      <c r="AL32" s="153"/>
      <c r="AM32" s="153"/>
      <c r="AN32" s="153"/>
      <c r="AO32" s="153"/>
      <c r="AP32" s="153"/>
      <c r="AQ32" s="153"/>
      <c r="AR32" s="158"/>
    </row>
    <row r="33" spans="1:44" ht="15.75" customHeight="1">
      <c r="A33" s="153"/>
      <c r="B33" s="159"/>
      <c r="C33" s="303" t="s">
        <v>84</v>
      </c>
      <c r="D33" s="304"/>
      <c r="E33" s="80">
        <f t="shared" ref="E33:F33" si="100">SUM(AO24:AO26)</f>
        <v>900</v>
      </c>
      <c r="F33" s="81">
        <f t="shared" si="100"/>
        <v>900</v>
      </c>
      <c r="G33" s="81">
        <f t="shared" si="97"/>
        <v>0</v>
      </c>
      <c r="H33" s="153"/>
      <c r="I33" s="153"/>
      <c r="J33" s="153"/>
      <c r="K33" s="153"/>
      <c r="L33" s="153"/>
      <c r="M33" s="153"/>
      <c r="N33" s="153"/>
      <c r="O33" s="153"/>
      <c r="P33" s="153"/>
      <c r="Q33" s="153"/>
      <c r="R33" s="153"/>
      <c r="S33" s="153"/>
      <c r="T33" s="153"/>
      <c r="U33" s="153"/>
      <c r="V33" s="153"/>
      <c r="W33" s="153"/>
      <c r="X33" s="153"/>
      <c r="Y33" s="153"/>
      <c r="Z33" s="153"/>
      <c r="AA33" s="153"/>
      <c r="AB33" s="153"/>
      <c r="AC33" s="153"/>
      <c r="AD33" s="153"/>
      <c r="AE33" s="153"/>
      <c r="AF33" s="153"/>
      <c r="AG33" s="153"/>
      <c r="AH33" s="153"/>
      <c r="AI33" s="153"/>
      <c r="AJ33" s="153"/>
      <c r="AK33" s="153"/>
      <c r="AL33" s="153"/>
      <c r="AM33" s="153"/>
      <c r="AN33" s="153"/>
      <c r="AO33" s="153"/>
      <c r="AP33" s="153"/>
      <c r="AQ33" s="153"/>
      <c r="AR33" s="158"/>
    </row>
    <row r="34" spans="1:44" ht="15.75" customHeight="1">
      <c r="A34" s="153"/>
      <c r="B34" s="159"/>
      <c r="C34" s="292" t="s">
        <v>42</v>
      </c>
      <c r="D34" s="293"/>
      <c r="E34" s="146">
        <f t="shared" ref="E34:F34" si="101">SUM(E30:E33)</f>
        <v>4500</v>
      </c>
      <c r="F34" s="147">
        <f t="shared" si="101"/>
        <v>4500</v>
      </c>
      <c r="G34" s="147">
        <f t="shared" si="97"/>
        <v>0</v>
      </c>
      <c r="H34" s="153"/>
      <c r="I34" s="153"/>
      <c r="J34" s="153"/>
      <c r="K34" s="153"/>
      <c r="L34" s="153"/>
      <c r="M34" s="153"/>
      <c r="N34" s="153"/>
      <c r="O34" s="153"/>
      <c r="P34" s="153"/>
      <c r="Q34" s="153"/>
      <c r="R34" s="153"/>
      <c r="S34" s="153"/>
      <c r="T34" s="153"/>
      <c r="U34" s="153"/>
      <c r="V34" s="153"/>
      <c r="W34" s="153"/>
      <c r="X34" s="153"/>
      <c r="Y34" s="153"/>
      <c r="Z34" s="153"/>
      <c r="AA34" s="153"/>
      <c r="AB34" s="153"/>
      <c r="AC34" s="153"/>
      <c r="AD34" s="153"/>
      <c r="AE34" s="153"/>
      <c r="AF34" s="153"/>
      <c r="AG34" s="153"/>
      <c r="AH34" s="153"/>
      <c r="AI34" s="153"/>
      <c r="AJ34" s="153"/>
      <c r="AK34" s="153"/>
      <c r="AL34" s="153"/>
      <c r="AM34" s="153"/>
      <c r="AN34" s="153"/>
      <c r="AO34" s="153"/>
      <c r="AP34" s="153"/>
      <c r="AQ34" s="153"/>
      <c r="AR34" s="158"/>
    </row>
    <row r="35" spans="1:44" ht="15.75" customHeight="1">
      <c r="A35" s="153"/>
      <c r="B35" s="159"/>
      <c r="C35" s="152"/>
      <c r="D35" s="152"/>
      <c r="E35" s="153"/>
      <c r="F35" s="153"/>
      <c r="G35" s="153"/>
      <c r="H35" s="153"/>
      <c r="I35" s="153"/>
      <c r="J35" s="153"/>
      <c r="K35" s="153"/>
      <c r="L35" s="153"/>
      <c r="M35" s="153"/>
      <c r="N35" s="153"/>
      <c r="O35" s="153"/>
      <c r="P35" s="153"/>
      <c r="Q35" s="153"/>
      <c r="R35" s="153"/>
      <c r="S35" s="153"/>
      <c r="T35" s="153"/>
      <c r="U35" s="153"/>
      <c r="V35" s="153"/>
      <c r="W35" s="153"/>
      <c r="X35" s="153"/>
      <c r="Y35" s="153"/>
      <c r="Z35" s="153"/>
      <c r="AA35" s="153"/>
      <c r="AB35" s="153"/>
      <c r="AC35" s="153"/>
      <c r="AD35" s="153"/>
      <c r="AE35" s="153"/>
      <c r="AF35" s="153"/>
      <c r="AG35" s="153"/>
      <c r="AH35" s="153"/>
      <c r="AI35" s="153"/>
      <c r="AJ35" s="153"/>
      <c r="AK35" s="153"/>
      <c r="AL35" s="153"/>
      <c r="AM35" s="153"/>
      <c r="AN35" s="153"/>
      <c r="AO35" s="153"/>
      <c r="AP35" s="153"/>
      <c r="AQ35" s="153"/>
      <c r="AR35" s="158"/>
    </row>
    <row r="36" spans="1:44" ht="15.75" customHeight="1">
      <c r="A36" s="153"/>
      <c r="B36" s="159"/>
      <c r="C36" s="152"/>
      <c r="D36" s="152"/>
      <c r="E36" s="153"/>
      <c r="F36" s="153"/>
      <c r="G36" s="153"/>
      <c r="H36" s="153"/>
      <c r="I36" s="153"/>
      <c r="J36" s="153"/>
      <c r="K36" s="153"/>
      <c r="L36" s="153"/>
      <c r="M36" s="153"/>
      <c r="N36" s="153"/>
      <c r="O36" s="153"/>
      <c r="P36" s="153"/>
      <c r="Q36" s="153"/>
      <c r="R36" s="153"/>
      <c r="S36" s="153"/>
      <c r="T36" s="153"/>
      <c r="U36" s="153"/>
      <c r="V36" s="153"/>
      <c r="W36" s="153"/>
      <c r="X36" s="153"/>
      <c r="Y36" s="153"/>
      <c r="Z36" s="153"/>
      <c r="AA36" s="153"/>
      <c r="AB36" s="153"/>
      <c r="AC36" s="153"/>
      <c r="AD36" s="153"/>
      <c r="AE36" s="153"/>
      <c r="AF36" s="153"/>
      <c r="AG36" s="153"/>
      <c r="AH36" s="153"/>
      <c r="AI36" s="153"/>
      <c r="AJ36" s="153"/>
      <c r="AK36" s="153"/>
      <c r="AL36" s="153"/>
      <c r="AM36" s="153"/>
      <c r="AN36" s="153"/>
      <c r="AO36" s="153"/>
      <c r="AP36" s="153"/>
      <c r="AQ36" s="153"/>
      <c r="AR36" s="158"/>
    </row>
    <row r="37" spans="1:44" ht="15.75" customHeight="1">
      <c r="A37" s="153"/>
      <c r="B37" s="159"/>
      <c r="C37" s="152"/>
      <c r="D37" s="152"/>
      <c r="E37" s="153"/>
      <c r="F37" s="153"/>
      <c r="G37" s="153"/>
      <c r="H37" s="153"/>
      <c r="I37" s="153"/>
      <c r="J37" s="153"/>
      <c r="K37" s="153"/>
      <c r="L37" s="153"/>
      <c r="M37" s="153"/>
      <c r="N37" s="153"/>
      <c r="O37" s="153"/>
      <c r="P37" s="153"/>
      <c r="Q37" s="153"/>
      <c r="R37" s="153"/>
      <c r="S37" s="153"/>
      <c r="T37" s="153"/>
      <c r="U37" s="153"/>
      <c r="V37" s="153"/>
      <c r="W37" s="153"/>
      <c r="X37" s="153"/>
      <c r="Y37" s="153"/>
      <c r="Z37" s="153"/>
      <c r="AA37" s="153"/>
      <c r="AB37" s="153"/>
      <c r="AC37" s="153"/>
      <c r="AD37" s="153"/>
      <c r="AE37" s="153"/>
      <c r="AF37" s="153"/>
      <c r="AG37" s="153"/>
      <c r="AH37" s="153"/>
      <c r="AI37" s="153"/>
      <c r="AJ37" s="153"/>
      <c r="AK37" s="153"/>
      <c r="AL37" s="153"/>
      <c r="AM37" s="153"/>
      <c r="AN37" s="153"/>
      <c r="AO37" s="153"/>
      <c r="AP37" s="153"/>
      <c r="AQ37" s="153"/>
      <c r="AR37" s="158"/>
    </row>
    <row r="38" spans="1:44" ht="15.75" customHeight="1">
      <c r="A38" s="153"/>
      <c r="B38" s="159"/>
      <c r="C38" s="152"/>
      <c r="D38" s="152"/>
      <c r="E38" s="153"/>
      <c r="F38" s="153"/>
      <c r="G38" s="153"/>
      <c r="H38" s="153"/>
      <c r="I38" s="153"/>
      <c r="J38" s="153"/>
      <c r="K38" s="153"/>
      <c r="L38" s="153"/>
      <c r="M38" s="153"/>
      <c r="N38" s="153"/>
      <c r="O38" s="153"/>
      <c r="P38" s="153"/>
      <c r="Q38" s="153"/>
      <c r="R38" s="153"/>
      <c r="S38" s="153"/>
      <c r="T38" s="153"/>
      <c r="U38" s="153"/>
      <c r="V38" s="153"/>
      <c r="W38" s="153"/>
      <c r="X38" s="153"/>
      <c r="Y38" s="153"/>
      <c r="Z38" s="153"/>
      <c r="AA38" s="153"/>
      <c r="AB38" s="153"/>
      <c r="AC38" s="153"/>
      <c r="AD38" s="153"/>
      <c r="AE38" s="153"/>
      <c r="AF38" s="153"/>
      <c r="AG38" s="153"/>
      <c r="AH38" s="153"/>
      <c r="AI38" s="153"/>
      <c r="AJ38" s="153"/>
      <c r="AK38" s="153"/>
      <c r="AL38" s="153"/>
      <c r="AM38" s="153"/>
      <c r="AN38" s="153"/>
      <c r="AO38" s="153"/>
      <c r="AP38" s="153"/>
      <c r="AQ38" s="153"/>
      <c r="AR38" s="158"/>
    </row>
    <row r="39" spans="1:44" ht="15.75" customHeight="1">
      <c r="A39" s="153"/>
      <c r="B39" s="159"/>
      <c r="C39" s="152"/>
      <c r="D39" s="152"/>
      <c r="E39" s="153"/>
      <c r="F39" s="153"/>
      <c r="G39" s="153"/>
      <c r="H39" s="153"/>
      <c r="I39" s="153"/>
      <c r="J39" s="153"/>
      <c r="K39" s="153"/>
      <c r="L39" s="153"/>
      <c r="M39" s="153"/>
      <c r="N39" s="153"/>
      <c r="O39" s="153"/>
      <c r="P39" s="153"/>
      <c r="Q39" s="153"/>
      <c r="R39" s="153"/>
      <c r="S39" s="153"/>
      <c r="T39" s="153"/>
      <c r="U39" s="153"/>
      <c r="V39" s="153"/>
      <c r="W39" s="153"/>
      <c r="X39" s="153"/>
      <c r="Y39" s="153"/>
      <c r="Z39" s="153"/>
      <c r="AA39" s="153"/>
      <c r="AB39" s="153"/>
      <c r="AC39" s="153"/>
      <c r="AD39" s="153"/>
      <c r="AE39" s="153"/>
      <c r="AF39" s="153"/>
      <c r="AG39" s="153"/>
      <c r="AH39" s="153"/>
      <c r="AI39" s="153"/>
      <c r="AJ39" s="153"/>
      <c r="AK39" s="153"/>
      <c r="AL39" s="153"/>
      <c r="AM39" s="153"/>
      <c r="AN39" s="153"/>
      <c r="AO39" s="153"/>
      <c r="AP39" s="153"/>
      <c r="AQ39" s="153"/>
      <c r="AR39" s="158"/>
    </row>
    <row r="40" spans="1:44" ht="15.75" customHeight="1">
      <c r="A40" s="153"/>
      <c r="B40" s="159"/>
      <c r="C40" s="152"/>
      <c r="D40" s="152"/>
      <c r="E40" s="153"/>
      <c r="F40" s="153"/>
      <c r="G40" s="153"/>
      <c r="H40" s="153"/>
      <c r="I40" s="153"/>
      <c r="J40" s="153"/>
      <c r="K40" s="153"/>
      <c r="L40" s="153"/>
      <c r="M40" s="153"/>
      <c r="N40" s="153"/>
      <c r="O40" s="153"/>
      <c r="P40" s="153"/>
      <c r="Q40" s="153"/>
      <c r="R40" s="153"/>
      <c r="S40" s="153"/>
      <c r="T40" s="153"/>
      <c r="U40" s="153"/>
      <c r="V40" s="153"/>
      <c r="W40" s="153"/>
      <c r="X40" s="153"/>
      <c r="Y40" s="153"/>
      <c r="Z40" s="153"/>
      <c r="AA40" s="153"/>
      <c r="AB40" s="153"/>
      <c r="AC40" s="153"/>
      <c r="AD40" s="153"/>
      <c r="AE40" s="153"/>
      <c r="AF40" s="153"/>
      <c r="AG40" s="153"/>
      <c r="AH40" s="153"/>
      <c r="AI40" s="153"/>
      <c r="AJ40" s="153"/>
      <c r="AK40" s="153"/>
      <c r="AL40" s="153"/>
      <c r="AM40" s="153"/>
      <c r="AN40" s="153"/>
      <c r="AO40" s="153"/>
      <c r="AP40" s="153"/>
      <c r="AQ40" s="153"/>
      <c r="AR40" s="158"/>
    </row>
    <row r="41" spans="1:44" ht="15.75" customHeight="1">
      <c r="A41" s="153"/>
      <c r="B41" s="159"/>
      <c r="C41" s="152"/>
      <c r="D41" s="152"/>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8"/>
    </row>
    <row r="42" spans="1:44" ht="15.75" customHeight="1">
      <c r="A42" s="153"/>
      <c r="B42" s="159"/>
      <c r="C42" s="152"/>
      <c r="D42" s="152"/>
      <c r="E42" s="153"/>
      <c r="F42" s="153"/>
      <c r="G42" s="153"/>
      <c r="H42" s="153"/>
      <c r="I42" s="153"/>
      <c r="J42" s="153"/>
      <c r="K42" s="153"/>
      <c r="L42" s="153"/>
      <c r="M42" s="153"/>
      <c r="N42" s="153"/>
      <c r="O42" s="153"/>
      <c r="P42" s="153"/>
      <c r="Q42" s="153"/>
      <c r="R42" s="153"/>
      <c r="S42" s="153"/>
      <c r="T42" s="153"/>
      <c r="U42" s="153"/>
      <c r="V42" s="153"/>
      <c r="W42" s="153"/>
      <c r="X42" s="153"/>
      <c r="Y42" s="153"/>
      <c r="Z42" s="153"/>
      <c r="AA42" s="153"/>
      <c r="AB42" s="153"/>
      <c r="AC42" s="153"/>
      <c r="AD42" s="153"/>
      <c r="AE42" s="153"/>
      <c r="AF42" s="153"/>
      <c r="AG42" s="153"/>
      <c r="AH42" s="153"/>
      <c r="AI42" s="153"/>
      <c r="AJ42" s="153"/>
      <c r="AK42" s="153"/>
      <c r="AL42" s="153"/>
      <c r="AM42" s="153"/>
      <c r="AN42" s="153"/>
      <c r="AO42" s="153"/>
      <c r="AP42" s="153"/>
      <c r="AQ42" s="153"/>
      <c r="AR42" s="158"/>
    </row>
    <row r="43" spans="1:44" ht="15.75" customHeight="1">
      <c r="A43" s="153"/>
      <c r="B43" s="159"/>
      <c r="C43" s="152"/>
      <c r="D43" s="152"/>
      <c r="E43" s="153"/>
      <c r="F43" s="153"/>
      <c r="G43" s="153"/>
      <c r="H43" s="153"/>
      <c r="I43" s="153"/>
      <c r="J43" s="153"/>
      <c r="K43" s="153"/>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8"/>
    </row>
    <row r="44" spans="1:44" ht="15.75" customHeight="1">
      <c r="A44" s="153"/>
      <c r="B44" s="159"/>
      <c r="C44" s="152"/>
      <c r="D44" s="152"/>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8"/>
    </row>
    <row r="45" spans="1:44" ht="15.75" customHeight="1">
      <c r="A45" s="153"/>
      <c r="B45" s="159"/>
      <c r="C45" s="152"/>
      <c r="D45" s="152"/>
      <c r="E45" s="153"/>
      <c r="F45" s="153"/>
      <c r="G45" s="153"/>
      <c r="H45" s="153"/>
      <c r="I45" s="153"/>
      <c r="J45" s="153"/>
      <c r="K45" s="153"/>
      <c r="L45" s="153"/>
      <c r="M45" s="153"/>
      <c r="N45" s="153"/>
      <c r="O45" s="153"/>
      <c r="P45" s="153"/>
      <c r="Q45" s="153"/>
      <c r="R45" s="153"/>
      <c r="S45" s="153"/>
      <c r="T45" s="153"/>
      <c r="U45" s="153"/>
      <c r="V45" s="153"/>
      <c r="W45" s="153"/>
      <c r="X45" s="153"/>
      <c r="Y45" s="153"/>
      <c r="Z45" s="153"/>
      <c r="AA45" s="153"/>
      <c r="AB45" s="153"/>
      <c r="AC45" s="153"/>
      <c r="AD45" s="153"/>
      <c r="AE45" s="153"/>
      <c r="AF45" s="153"/>
      <c r="AG45" s="153"/>
      <c r="AH45" s="153"/>
      <c r="AI45" s="153"/>
      <c r="AJ45" s="153"/>
      <c r="AK45" s="153"/>
      <c r="AL45" s="153"/>
      <c r="AM45" s="153"/>
      <c r="AN45" s="153"/>
      <c r="AO45" s="153"/>
      <c r="AP45" s="153"/>
      <c r="AQ45" s="153"/>
      <c r="AR45" s="158"/>
    </row>
    <row r="46" spans="1:44" ht="15.75" customHeight="1">
      <c r="A46" s="153"/>
      <c r="B46" s="159"/>
      <c r="C46" s="152"/>
      <c r="D46" s="152"/>
      <c r="E46" s="153"/>
      <c r="F46" s="153"/>
      <c r="G46" s="153"/>
      <c r="H46" s="153"/>
      <c r="I46" s="153"/>
      <c r="J46" s="153"/>
      <c r="K46" s="153"/>
      <c r="L46" s="153"/>
      <c r="M46" s="153"/>
      <c r="N46" s="153"/>
      <c r="O46" s="153"/>
      <c r="P46" s="153"/>
      <c r="Q46" s="153"/>
      <c r="R46" s="153"/>
      <c r="S46" s="153"/>
      <c r="T46" s="153"/>
      <c r="U46" s="153"/>
      <c r="V46" s="153"/>
      <c r="W46" s="153"/>
      <c r="X46" s="153"/>
      <c r="Y46" s="153"/>
      <c r="Z46" s="153"/>
      <c r="AA46" s="153"/>
      <c r="AB46" s="153"/>
      <c r="AC46" s="153"/>
      <c r="AD46" s="153"/>
      <c r="AE46" s="153"/>
      <c r="AF46" s="153"/>
      <c r="AG46" s="153"/>
      <c r="AH46" s="153"/>
      <c r="AI46" s="153"/>
      <c r="AJ46" s="153"/>
      <c r="AK46" s="153"/>
      <c r="AL46" s="153"/>
      <c r="AM46" s="153"/>
      <c r="AN46" s="153"/>
      <c r="AO46" s="153"/>
      <c r="AP46" s="153"/>
      <c r="AQ46" s="153"/>
      <c r="AR46" s="158"/>
    </row>
    <row r="47" spans="1:44" ht="15.75" customHeight="1">
      <c r="A47" s="153"/>
      <c r="B47" s="159"/>
      <c r="C47" s="152"/>
      <c r="D47" s="152"/>
      <c r="E47" s="153"/>
      <c r="F47" s="153"/>
      <c r="G47" s="153"/>
      <c r="H47" s="153"/>
      <c r="I47" s="153"/>
      <c r="J47" s="153"/>
      <c r="K47" s="153"/>
      <c r="L47" s="153"/>
      <c r="M47" s="153"/>
      <c r="N47" s="153"/>
      <c r="O47" s="153"/>
      <c r="P47" s="153"/>
      <c r="Q47" s="153"/>
      <c r="R47" s="153"/>
      <c r="S47" s="153"/>
      <c r="T47" s="153"/>
      <c r="U47" s="153"/>
      <c r="V47" s="153"/>
      <c r="W47" s="153"/>
      <c r="X47" s="153"/>
      <c r="Y47" s="153"/>
      <c r="Z47" s="153"/>
      <c r="AA47" s="153"/>
      <c r="AB47" s="153"/>
      <c r="AC47" s="153"/>
      <c r="AD47" s="153"/>
      <c r="AE47" s="153"/>
      <c r="AF47" s="153"/>
      <c r="AG47" s="153"/>
      <c r="AH47" s="153"/>
      <c r="AI47" s="153"/>
      <c r="AJ47" s="153"/>
      <c r="AK47" s="153"/>
      <c r="AL47" s="153"/>
      <c r="AM47" s="153"/>
      <c r="AN47" s="153"/>
      <c r="AO47" s="153"/>
      <c r="AP47" s="153"/>
      <c r="AQ47" s="153"/>
      <c r="AR47" s="158"/>
    </row>
    <row r="48" spans="1:44" ht="15.75" customHeight="1">
      <c r="A48" s="153"/>
      <c r="B48" s="159"/>
      <c r="C48" s="152"/>
      <c r="D48" s="152"/>
      <c r="E48" s="153"/>
      <c r="F48" s="153"/>
      <c r="G48" s="153"/>
      <c r="H48" s="153"/>
      <c r="I48" s="153"/>
      <c r="J48" s="153"/>
      <c r="K48" s="153"/>
      <c r="L48" s="153"/>
      <c r="M48" s="153"/>
      <c r="N48" s="153"/>
      <c r="O48" s="153"/>
      <c r="P48" s="153"/>
      <c r="Q48" s="153"/>
      <c r="R48" s="153"/>
      <c r="S48" s="153"/>
      <c r="T48" s="153"/>
      <c r="U48" s="153"/>
      <c r="V48" s="153"/>
      <c r="W48" s="153"/>
      <c r="X48" s="153"/>
      <c r="Y48" s="153"/>
      <c r="Z48" s="153"/>
      <c r="AA48" s="153"/>
      <c r="AB48" s="153"/>
      <c r="AC48" s="153"/>
      <c r="AD48" s="153"/>
      <c r="AE48" s="153"/>
      <c r="AF48" s="153"/>
      <c r="AG48" s="153"/>
      <c r="AH48" s="153"/>
      <c r="AI48" s="153"/>
      <c r="AJ48" s="153"/>
      <c r="AK48" s="153"/>
      <c r="AL48" s="153"/>
      <c r="AM48" s="153"/>
      <c r="AN48" s="153"/>
      <c r="AO48" s="153"/>
      <c r="AP48" s="153"/>
      <c r="AQ48" s="153"/>
      <c r="AR48" s="158"/>
    </row>
    <row r="49" spans="1:44" ht="15.75" customHeight="1">
      <c r="A49" s="153"/>
      <c r="B49" s="159"/>
      <c r="C49" s="152"/>
      <c r="D49" s="152"/>
      <c r="E49" s="153"/>
      <c r="F49" s="153"/>
      <c r="G49" s="153"/>
      <c r="H49" s="153"/>
      <c r="I49" s="153"/>
      <c r="J49" s="153"/>
      <c r="K49" s="153"/>
      <c r="L49" s="153"/>
      <c r="M49" s="153"/>
      <c r="N49" s="153"/>
      <c r="O49" s="153"/>
      <c r="P49" s="153"/>
      <c r="Q49" s="153"/>
      <c r="R49" s="153"/>
      <c r="S49" s="153"/>
      <c r="T49" s="153"/>
      <c r="U49" s="153"/>
      <c r="V49" s="153"/>
      <c r="W49" s="153"/>
      <c r="X49" s="153"/>
      <c r="Y49" s="153"/>
      <c r="Z49" s="153"/>
      <c r="AA49" s="153"/>
      <c r="AB49" s="153"/>
      <c r="AC49" s="153"/>
      <c r="AD49" s="153"/>
      <c r="AE49" s="153"/>
      <c r="AF49" s="153"/>
      <c r="AG49" s="153"/>
      <c r="AH49" s="153"/>
      <c r="AI49" s="153"/>
      <c r="AJ49" s="153"/>
      <c r="AK49" s="153"/>
      <c r="AL49" s="153"/>
      <c r="AM49" s="153"/>
      <c r="AN49" s="153"/>
      <c r="AO49" s="153"/>
      <c r="AP49" s="153"/>
      <c r="AQ49" s="153"/>
      <c r="AR49" s="158"/>
    </row>
    <row r="50" spans="1:44" ht="15.75" customHeight="1">
      <c r="A50" s="153"/>
      <c r="B50" s="159"/>
      <c r="C50" s="152"/>
      <c r="D50" s="152"/>
      <c r="E50" s="153"/>
      <c r="F50" s="153"/>
      <c r="G50" s="153"/>
      <c r="H50" s="153"/>
      <c r="I50" s="153"/>
      <c r="J50" s="153"/>
      <c r="K50" s="153"/>
      <c r="L50" s="153"/>
      <c r="M50" s="153"/>
      <c r="N50" s="153"/>
      <c r="O50" s="153"/>
      <c r="P50" s="153"/>
      <c r="Q50" s="153"/>
      <c r="R50" s="153"/>
      <c r="S50" s="153"/>
      <c r="T50" s="153"/>
      <c r="U50" s="153"/>
      <c r="V50" s="153"/>
      <c r="W50" s="153"/>
      <c r="X50" s="153"/>
      <c r="Y50" s="153"/>
      <c r="Z50" s="153"/>
      <c r="AA50" s="153"/>
      <c r="AB50" s="153"/>
      <c r="AC50" s="153"/>
      <c r="AD50" s="153"/>
      <c r="AE50" s="153"/>
      <c r="AF50" s="153"/>
      <c r="AG50" s="153"/>
      <c r="AH50" s="153"/>
      <c r="AI50" s="153"/>
      <c r="AJ50" s="153"/>
      <c r="AK50" s="153"/>
      <c r="AL50" s="153"/>
      <c r="AM50" s="153"/>
      <c r="AN50" s="153"/>
      <c r="AO50" s="153"/>
      <c r="AP50" s="153"/>
      <c r="AQ50" s="153"/>
      <c r="AR50" s="158"/>
    </row>
    <row r="51" spans="1:44" ht="15.75" customHeight="1">
      <c r="A51" s="153"/>
      <c r="B51" s="159"/>
      <c r="C51" s="152"/>
      <c r="D51" s="152"/>
      <c r="E51" s="153"/>
      <c r="F51" s="153"/>
      <c r="G51" s="153"/>
      <c r="H51" s="153"/>
      <c r="I51" s="153"/>
      <c r="J51" s="153"/>
      <c r="K51" s="153"/>
      <c r="L51" s="153"/>
      <c r="M51" s="153"/>
      <c r="N51" s="153"/>
      <c r="O51" s="153"/>
      <c r="P51" s="153"/>
      <c r="Q51" s="153"/>
      <c r="R51" s="153"/>
      <c r="S51" s="153"/>
      <c r="T51" s="153"/>
      <c r="U51" s="153"/>
      <c r="V51" s="153"/>
      <c r="W51" s="153"/>
      <c r="X51" s="153"/>
      <c r="Y51" s="153"/>
      <c r="Z51" s="153"/>
      <c r="AA51" s="153"/>
      <c r="AB51" s="153"/>
      <c r="AC51" s="153"/>
      <c r="AD51" s="153"/>
      <c r="AE51" s="153"/>
      <c r="AF51" s="153"/>
      <c r="AG51" s="153"/>
      <c r="AH51" s="153"/>
      <c r="AI51" s="153"/>
      <c r="AJ51" s="153"/>
      <c r="AK51" s="153"/>
      <c r="AL51" s="153"/>
      <c r="AM51" s="153"/>
      <c r="AN51" s="153"/>
      <c r="AO51" s="153"/>
      <c r="AP51" s="153"/>
      <c r="AQ51" s="153"/>
      <c r="AR51" s="158"/>
    </row>
    <row r="52" spans="1:44" ht="15.75" customHeight="1">
      <c r="A52" s="153"/>
      <c r="B52" s="159"/>
      <c r="C52" s="152"/>
      <c r="D52" s="152"/>
      <c r="E52" s="153"/>
      <c r="F52" s="153"/>
      <c r="G52" s="153"/>
      <c r="H52" s="153"/>
      <c r="I52" s="153"/>
      <c r="J52" s="153"/>
      <c r="K52" s="153"/>
      <c r="L52" s="153"/>
      <c r="M52" s="153"/>
      <c r="N52" s="153"/>
      <c r="O52" s="153"/>
      <c r="P52" s="153"/>
      <c r="Q52" s="153"/>
      <c r="R52" s="153"/>
      <c r="S52" s="153"/>
      <c r="T52" s="153"/>
      <c r="U52" s="153"/>
      <c r="V52" s="153"/>
      <c r="W52" s="153"/>
      <c r="X52" s="153"/>
      <c r="Y52" s="153"/>
      <c r="Z52" s="153"/>
      <c r="AA52" s="153"/>
      <c r="AB52" s="153"/>
      <c r="AC52" s="153"/>
      <c r="AD52" s="153"/>
      <c r="AE52" s="153"/>
      <c r="AF52" s="153"/>
      <c r="AG52" s="153"/>
      <c r="AH52" s="153"/>
      <c r="AI52" s="153"/>
      <c r="AJ52" s="153"/>
      <c r="AK52" s="153"/>
      <c r="AL52" s="153"/>
      <c r="AM52" s="153"/>
      <c r="AN52" s="153"/>
      <c r="AO52" s="153"/>
      <c r="AP52" s="153"/>
      <c r="AQ52" s="153"/>
      <c r="AR52" s="158"/>
    </row>
    <row r="53" spans="1:44" ht="15.75" customHeight="1">
      <c r="A53" s="153"/>
      <c r="B53" s="191"/>
      <c r="C53" s="192"/>
      <c r="D53" s="192"/>
      <c r="E53" s="193"/>
      <c r="F53" s="193"/>
      <c r="G53" s="193"/>
      <c r="H53" s="193"/>
      <c r="I53" s="193"/>
      <c r="J53" s="193"/>
      <c r="K53" s="193"/>
      <c r="L53" s="193"/>
      <c r="M53" s="193"/>
      <c r="N53" s="193"/>
      <c r="O53" s="193"/>
      <c r="P53" s="193"/>
      <c r="Q53" s="193"/>
      <c r="R53" s="193"/>
      <c r="S53" s="193"/>
      <c r="T53" s="193"/>
      <c r="U53" s="193"/>
      <c r="V53" s="193"/>
      <c r="W53" s="193"/>
      <c r="X53" s="193"/>
      <c r="Y53" s="193"/>
      <c r="Z53" s="193"/>
      <c r="AA53" s="193"/>
      <c r="AB53" s="193"/>
      <c r="AC53" s="193"/>
      <c r="AD53" s="193"/>
      <c r="AE53" s="193"/>
      <c r="AF53" s="193"/>
      <c r="AG53" s="193"/>
      <c r="AH53" s="193"/>
      <c r="AI53" s="193"/>
      <c r="AJ53" s="193"/>
      <c r="AK53" s="193"/>
      <c r="AL53" s="193"/>
      <c r="AM53" s="193"/>
      <c r="AN53" s="193"/>
      <c r="AO53" s="193"/>
      <c r="AP53" s="193"/>
      <c r="AQ53" s="193"/>
      <c r="AR53" s="194"/>
    </row>
    <row r="54" spans="1:44" ht="15.75" customHeight="1">
      <c r="A54" s="153"/>
      <c r="B54" s="153"/>
      <c r="C54" s="152"/>
      <c r="D54" s="152"/>
      <c r="E54" s="153"/>
      <c r="F54" s="153"/>
      <c r="G54" s="153"/>
      <c r="H54" s="153"/>
      <c r="I54" s="153"/>
      <c r="J54" s="153"/>
      <c r="K54" s="153"/>
      <c r="L54" s="153"/>
      <c r="M54" s="153"/>
      <c r="N54" s="153"/>
      <c r="O54" s="153"/>
      <c r="P54" s="153"/>
      <c r="Q54" s="153"/>
      <c r="R54" s="153"/>
      <c r="S54" s="153"/>
      <c r="T54" s="153"/>
      <c r="U54" s="153"/>
      <c r="V54" s="153"/>
      <c r="W54" s="153"/>
      <c r="X54" s="153"/>
      <c r="Y54" s="153"/>
      <c r="Z54" s="153"/>
      <c r="AA54" s="153"/>
      <c r="AB54" s="153"/>
      <c r="AC54" s="153"/>
      <c r="AD54" s="153"/>
      <c r="AE54" s="153"/>
      <c r="AF54" s="153"/>
      <c r="AG54" s="153"/>
      <c r="AH54" s="153"/>
      <c r="AI54" s="153"/>
      <c r="AJ54" s="153"/>
      <c r="AK54" s="153"/>
      <c r="AL54" s="153"/>
      <c r="AM54" s="153"/>
      <c r="AN54" s="153"/>
      <c r="AO54" s="153"/>
      <c r="AP54" s="153"/>
      <c r="AQ54" s="153"/>
      <c r="AR54" s="153"/>
    </row>
    <row r="55" spans="1:44" ht="15.75" customHeight="1">
      <c r="A55" s="153"/>
      <c r="B55" s="153"/>
      <c r="C55" s="152"/>
      <c r="D55" s="152"/>
      <c r="E55" s="153"/>
      <c r="F55" s="153"/>
      <c r="G55" s="153"/>
      <c r="H55" s="153"/>
      <c r="I55" s="153"/>
      <c r="J55" s="153"/>
      <c r="K55" s="153"/>
      <c r="L55" s="153"/>
      <c r="M55" s="153"/>
      <c r="N55" s="153"/>
      <c r="O55" s="153"/>
      <c r="P55" s="153"/>
      <c r="Q55" s="153"/>
      <c r="R55" s="153"/>
      <c r="S55" s="153"/>
      <c r="T55" s="153"/>
      <c r="U55" s="153"/>
      <c r="V55" s="153"/>
      <c r="W55" s="153"/>
      <c r="X55" s="153"/>
      <c r="Y55" s="153"/>
      <c r="Z55" s="153"/>
      <c r="AA55" s="153"/>
      <c r="AB55" s="153"/>
      <c r="AC55" s="153"/>
      <c r="AD55" s="153"/>
      <c r="AE55" s="153"/>
      <c r="AF55" s="153"/>
      <c r="AG55" s="153"/>
      <c r="AH55" s="153"/>
      <c r="AI55" s="153"/>
      <c r="AJ55" s="153"/>
      <c r="AK55" s="153"/>
      <c r="AL55" s="153"/>
      <c r="AM55" s="153"/>
      <c r="AN55" s="153"/>
      <c r="AO55" s="153"/>
      <c r="AP55" s="153"/>
      <c r="AQ55" s="153"/>
      <c r="AR55" s="153"/>
    </row>
    <row r="56" spans="1:44" ht="15.75" customHeight="1">
      <c r="A56" s="153"/>
      <c r="B56" s="153"/>
      <c r="C56" s="152"/>
      <c r="D56" s="152"/>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c r="AN56" s="153"/>
      <c r="AO56" s="153"/>
      <c r="AP56" s="153"/>
      <c r="AQ56" s="153"/>
      <c r="AR56" s="153"/>
    </row>
    <row r="57" spans="1:44" ht="15.75" customHeight="1">
      <c r="A57" s="153"/>
      <c r="B57" s="153"/>
      <c r="C57" s="152"/>
      <c r="D57" s="152"/>
      <c r="E57" s="153"/>
      <c r="F57" s="153"/>
      <c r="G57" s="153"/>
      <c r="H57" s="153"/>
      <c r="I57" s="153"/>
      <c r="J57" s="153"/>
      <c r="K57" s="153"/>
      <c r="L57" s="153"/>
      <c r="M57" s="153"/>
      <c r="N57" s="153"/>
      <c r="O57" s="153"/>
      <c r="P57" s="153"/>
      <c r="Q57" s="153"/>
      <c r="R57" s="153"/>
      <c r="S57" s="153"/>
      <c r="T57" s="153"/>
      <c r="U57" s="153"/>
      <c r="V57" s="153"/>
      <c r="W57" s="153"/>
      <c r="X57" s="153"/>
      <c r="Y57" s="153"/>
      <c r="Z57" s="153"/>
      <c r="AA57" s="153"/>
      <c r="AB57" s="153"/>
      <c r="AC57" s="153"/>
      <c r="AD57" s="153"/>
      <c r="AE57" s="153"/>
      <c r="AF57" s="153"/>
      <c r="AG57" s="153"/>
      <c r="AH57" s="153"/>
      <c r="AI57" s="153"/>
      <c r="AJ57" s="153"/>
      <c r="AK57" s="153"/>
      <c r="AL57" s="153"/>
      <c r="AM57" s="153"/>
      <c r="AN57" s="153"/>
      <c r="AO57" s="153"/>
      <c r="AP57" s="153"/>
      <c r="AQ57" s="153"/>
      <c r="AR57" s="153"/>
    </row>
    <row r="58" spans="1:44" ht="15.75" customHeight="1">
      <c r="A58" s="153"/>
      <c r="B58" s="153"/>
      <c r="C58" s="152"/>
      <c r="D58" s="152"/>
      <c r="E58" s="153"/>
      <c r="F58" s="153"/>
      <c r="G58" s="153"/>
      <c r="H58" s="153"/>
      <c r="I58" s="153"/>
      <c r="J58" s="153"/>
      <c r="K58" s="153"/>
      <c r="L58" s="153"/>
      <c r="M58" s="153"/>
      <c r="N58" s="153"/>
      <c r="O58" s="153"/>
      <c r="P58" s="153"/>
      <c r="Q58" s="153"/>
      <c r="R58" s="153"/>
      <c r="S58" s="153"/>
      <c r="T58" s="153"/>
      <c r="U58" s="153"/>
      <c r="V58" s="153"/>
      <c r="W58" s="153"/>
      <c r="X58" s="153"/>
      <c r="Y58" s="153"/>
      <c r="Z58" s="153"/>
      <c r="AA58" s="153"/>
      <c r="AB58" s="153"/>
      <c r="AC58" s="153"/>
      <c r="AD58" s="153"/>
      <c r="AE58" s="153"/>
      <c r="AF58" s="153"/>
      <c r="AG58" s="153"/>
      <c r="AH58" s="153"/>
      <c r="AI58" s="153"/>
      <c r="AJ58" s="153"/>
      <c r="AK58" s="153"/>
      <c r="AL58" s="153"/>
      <c r="AM58" s="153"/>
      <c r="AN58" s="153"/>
      <c r="AO58" s="153"/>
      <c r="AP58" s="153"/>
      <c r="AQ58" s="153"/>
      <c r="AR58" s="153"/>
    </row>
    <row r="59" spans="1:44" ht="15.75" customHeight="1">
      <c r="A59" s="153"/>
      <c r="B59" s="153"/>
      <c r="C59" s="152"/>
      <c r="D59" s="152"/>
      <c r="E59" s="153"/>
      <c r="F59" s="153"/>
      <c r="G59" s="153"/>
      <c r="H59" s="153"/>
      <c r="I59" s="153"/>
      <c r="J59" s="153"/>
      <c r="K59" s="153"/>
      <c r="L59" s="153"/>
      <c r="M59" s="153"/>
      <c r="N59" s="153"/>
      <c r="O59" s="153"/>
      <c r="P59" s="153"/>
      <c r="Q59" s="153"/>
      <c r="R59" s="153"/>
      <c r="S59" s="153"/>
      <c r="T59" s="153"/>
      <c r="U59" s="153"/>
      <c r="V59" s="153"/>
      <c r="W59" s="153"/>
      <c r="X59" s="153"/>
      <c r="Y59" s="153"/>
      <c r="Z59" s="153"/>
      <c r="AA59" s="153"/>
      <c r="AB59" s="153"/>
      <c r="AC59" s="153"/>
      <c r="AD59" s="153"/>
      <c r="AE59" s="153"/>
      <c r="AF59" s="153"/>
      <c r="AG59" s="153"/>
      <c r="AH59" s="153"/>
      <c r="AI59" s="153"/>
      <c r="AJ59" s="153"/>
      <c r="AK59" s="153"/>
      <c r="AL59" s="153"/>
      <c r="AM59" s="153"/>
      <c r="AN59" s="153"/>
      <c r="AO59" s="153"/>
      <c r="AP59" s="153"/>
      <c r="AQ59" s="153"/>
      <c r="AR59" s="153"/>
    </row>
    <row r="60" spans="1:44" ht="15.75" customHeight="1">
      <c r="A60" s="153"/>
      <c r="B60" s="153"/>
      <c r="C60" s="152"/>
      <c r="D60" s="152"/>
      <c r="E60" s="153"/>
      <c r="F60" s="153"/>
      <c r="G60" s="153"/>
      <c r="H60" s="153"/>
      <c r="I60" s="153"/>
      <c r="J60" s="153"/>
      <c r="K60" s="153"/>
      <c r="L60" s="153"/>
      <c r="M60" s="153"/>
      <c r="N60" s="153"/>
      <c r="O60" s="153"/>
      <c r="P60" s="153"/>
      <c r="Q60" s="153"/>
      <c r="R60" s="153"/>
      <c r="S60" s="153"/>
      <c r="T60" s="153"/>
      <c r="U60" s="153"/>
      <c r="V60" s="153"/>
      <c r="W60" s="153"/>
      <c r="X60" s="153"/>
      <c r="Y60" s="153"/>
      <c r="Z60" s="153"/>
      <c r="AA60" s="153"/>
      <c r="AB60" s="153"/>
      <c r="AC60" s="153"/>
      <c r="AD60" s="153"/>
      <c r="AE60" s="153"/>
      <c r="AF60" s="153"/>
      <c r="AG60" s="153"/>
      <c r="AH60" s="153"/>
      <c r="AI60" s="153"/>
      <c r="AJ60" s="153"/>
      <c r="AK60" s="153"/>
      <c r="AL60" s="153"/>
      <c r="AM60" s="153"/>
      <c r="AN60" s="153"/>
      <c r="AO60" s="153"/>
      <c r="AP60" s="153"/>
      <c r="AQ60" s="153"/>
      <c r="AR60" s="153"/>
    </row>
    <row r="61" spans="1:44" ht="15.75" customHeight="1">
      <c r="A61" s="153"/>
      <c r="B61" s="153"/>
      <c r="C61" s="152"/>
      <c r="D61" s="152"/>
      <c r="E61" s="153"/>
      <c r="F61" s="153"/>
      <c r="G61" s="153"/>
      <c r="H61" s="153"/>
      <c r="I61" s="153"/>
      <c r="J61" s="153"/>
      <c r="K61" s="153"/>
      <c r="L61" s="153"/>
      <c r="M61" s="153"/>
      <c r="N61" s="153"/>
      <c r="O61" s="153"/>
      <c r="P61" s="153"/>
      <c r="Q61" s="153"/>
      <c r="R61" s="153"/>
      <c r="S61" s="153"/>
      <c r="T61" s="153"/>
      <c r="U61" s="153"/>
      <c r="V61" s="153"/>
      <c r="W61" s="153"/>
      <c r="X61" s="153"/>
      <c r="Y61" s="153"/>
      <c r="Z61" s="153"/>
      <c r="AA61" s="153"/>
      <c r="AB61" s="153"/>
      <c r="AC61" s="153"/>
      <c r="AD61" s="153"/>
      <c r="AE61" s="153"/>
      <c r="AF61" s="153"/>
      <c r="AG61" s="153"/>
      <c r="AH61" s="153"/>
      <c r="AI61" s="153"/>
      <c r="AJ61" s="153"/>
      <c r="AK61" s="153"/>
      <c r="AL61" s="153"/>
      <c r="AM61" s="153"/>
      <c r="AN61" s="153"/>
      <c r="AO61" s="153"/>
      <c r="AP61" s="153"/>
      <c r="AQ61" s="153"/>
      <c r="AR61" s="153"/>
    </row>
    <row r="62" spans="1:44" ht="15.75" customHeight="1">
      <c r="A62" s="153"/>
      <c r="B62" s="153"/>
      <c r="C62" s="152"/>
      <c r="D62" s="152"/>
      <c r="E62" s="153"/>
      <c r="F62" s="153"/>
      <c r="G62" s="153"/>
      <c r="H62" s="153"/>
      <c r="I62" s="153"/>
      <c r="J62" s="153"/>
      <c r="K62" s="153"/>
      <c r="L62" s="153"/>
      <c r="M62" s="153"/>
      <c r="N62" s="153"/>
      <c r="O62" s="153"/>
      <c r="P62" s="153"/>
      <c r="Q62" s="153"/>
      <c r="R62" s="153"/>
      <c r="S62" s="153"/>
      <c r="T62" s="153"/>
      <c r="U62" s="153"/>
      <c r="V62" s="153"/>
      <c r="W62" s="153"/>
      <c r="X62" s="153"/>
      <c r="Y62" s="153"/>
      <c r="Z62" s="153"/>
      <c r="AA62" s="153"/>
      <c r="AB62" s="153"/>
      <c r="AC62" s="153"/>
      <c r="AD62" s="153"/>
      <c r="AE62" s="153"/>
      <c r="AF62" s="153"/>
      <c r="AG62" s="153"/>
      <c r="AH62" s="153"/>
      <c r="AI62" s="153"/>
      <c r="AJ62" s="153"/>
      <c r="AK62" s="153"/>
      <c r="AL62" s="153"/>
      <c r="AM62" s="153"/>
      <c r="AN62" s="153"/>
      <c r="AO62" s="153"/>
      <c r="AP62" s="153"/>
      <c r="AQ62" s="153"/>
      <c r="AR62" s="153"/>
    </row>
    <row r="63" spans="1:44" ht="15.75" customHeight="1">
      <c r="A63" s="153"/>
      <c r="B63" s="153"/>
      <c r="C63" s="152"/>
      <c r="D63" s="152"/>
      <c r="E63" s="153"/>
      <c r="F63" s="153"/>
      <c r="G63" s="153"/>
      <c r="H63" s="153"/>
      <c r="I63" s="153"/>
      <c r="J63" s="153"/>
      <c r="K63" s="153"/>
      <c r="L63" s="153"/>
      <c r="M63" s="153"/>
      <c r="N63" s="153"/>
      <c r="O63" s="153"/>
      <c r="P63" s="153"/>
      <c r="Q63" s="153"/>
      <c r="R63" s="153"/>
      <c r="S63" s="153"/>
      <c r="T63" s="153"/>
      <c r="U63" s="153"/>
      <c r="V63" s="153"/>
      <c r="W63" s="153"/>
      <c r="X63" s="153"/>
      <c r="Y63" s="153"/>
      <c r="Z63" s="153"/>
      <c r="AA63" s="153"/>
      <c r="AB63" s="153"/>
      <c r="AC63" s="153"/>
      <c r="AD63" s="153"/>
      <c r="AE63" s="153"/>
      <c r="AF63" s="153"/>
      <c r="AG63" s="153"/>
      <c r="AH63" s="153"/>
      <c r="AI63" s="153"/>
      <c r="AJ63" s="153"/>
      <c r="AK63" s="153"/>
      <c r="AL63" s="153"/>
      <c r="AM63" s="153"/>
      <c r="AN63" s="153"/>
      <c r="AO63" s="153"/>
      <c r="AP63" s="153"/>
      <c r="AQ63" s="153"/>
      <c r="AR63" s="153"/>
    </row>
    <row r="64" spans="1:44" ht="15.75" customHeight="1">
      <c r="A64" s="153"/>
      <c r="B64" s="153"/>
      <c r="C64" s="152"/>
      <c r="D64" s="152"/>
      <c r="E64" s="153"/>
      <c r="F64" s="153"/>
      <c r="G64" s="153"/>
      <c r="H64" s="153"/>
      <c r="I64" s="153"/>
      <c r="J64" s="153"/>
      <c r="K64" s="153"/>
      <c r="L64" s="153"/>
      <c r="M64" s="153"/>
      <c r="N64" s="153"/>
      <c r="O64" s="153"/>
      <c r="P64" s="153"/>
      <c r="Q64" s="153"/>
      <c r="R64" s="153"/>
      <c r="S64" s="153"/>
      <c r="T64" s="153"/>
      <c r="U64" s="153"/>
      <c r="V64" s="153"/>
      <c r="W64" s="153"/>
      <c r="X64" s="153"/>
      <c r="Y64" s="153"/>
      <c r="Z64" s="153"/>
      <c r="AA64" s="153"/>
      <c r="AB64" s="153"/>
      <c r="AC64" s="153"/>
      <c r="AD64" s="153"/>
      <c r="AE64" s="153"/>
      <c r="AF64" s="153"/>
      <c r="AG64" s="153"/>
      <c r="AH64" s="153"/>
      <c r="AI64" s="153"/>
      <c r="AJ64" s="153"/>
      <c r="AK64" s="153"/>
      <c r="AL64" s="153"/>
      <c r="AM64" s="153"/>
      <c r="AN64" s="153"/>
      <c r="AO64" s="153"/>
      <c r="AP64" s="153"/>
      <c r="AQ64" s="153"/>
      <c r="AR64" s="153"/>
    </row>
    <row r="65" spans="1:44" ht="15.75" customHeight="1">
      <c r="A65" s="153"/>
      <c r="B65" s="153"/>
      <c r="C65" s="152"/>
      <c r="D65" s="152"/>
      <c r="E65" s="153"/>
      <c r="F65" s="153"/>
      <c r="G65" s="153"/>
      <c r="H65" s="153"/>
      <c r="I65" s="153"/>
      <c r="J65" s="153"/>
      <c r="K65" s="153"/>
      <c r="L65" s="153"/>
      <c r="M65" s="153"/>
      <c r="N65" s="153"/>
      <c r="O65" s="153"/>
      <c r="P65" s="153"/>
      <c r="Q65" s="153"/>
      <c r="R65" s="153"/>
      <c r="S65" s="153"/>
      <c r="T65" s="153"/>
      <c r="U65" s="153"/>
      <c r="V65" s="153"/>
      <c r="W65" s="153"/>
      <c r="X65" s="153"/>
      <c r="Y65" s="153"/>
      <c r="Z65" s="153"/>
      <c r="AA65" s="153"/>
      <c r="AB65" s="153"/>
      <c r="AC65" s="153"/>
      <c r="AD65" s="153"/>
      <c r="AE65" s="153"/>
      <c r="AF65" s="153"/>
      <c r="AG65" s="153"/>
      <c r="AH65" s="153"/>
      <c r="AI65" s="153"/>
      <c r="AJ65" s="153"/>
      <c r="AK65" s="153"/>
      <c r="AL65" s="153"/>
      <c r="AM65" s="153"/>
      <c r="AN65" s="153"/>
      <c r="AO65" s="153"/>
      <c r="AP65" s="153"/>
      <c r="AQ65" s="153"/>
      <c r="AR65" s="153"/>
    </row>
    <row r="66" spans="1:44" ht="15.75" customHeight="1">
      <c r="A66" s="153"/>
      <c r="B66" s="153"/>
      <c r="C66" s="152"/>
      <c r="D66" s="152"/>
      <c r="E66" s="153"/>
      <c r="F66" s="153"/>
      <c r="G66" s="153"/>
      <c r="H66" s="153"/>
      <c r="I66" s="153"/>
      <c r="J66" s="153"/>
      <c r="K66" s="153"/>
      <c r="L66" s="153"/>
      <c r="M66" s="153"/>
      <c r="N66" s="153"/>
      <c r="O66" s="153"/>
      <c r="P66" s="153"/>
      <c r="Q66" s="153"/>
      <c r="R66" s="153"/>
      <c r="S66" s="153"/>
      <c r="T66" s="153"/>
      <c r="U66" s="153"/>
      <c r="V66" s="153"/>
      <c r="W66" s="153"/>
      <c r="X66" s="153"/>
      <c r="Y66" s="153"/>
      <c r="Z66" s="153"/>
      <c r="AA66" s="153"/>
      <c r="AB66" s="153"/>
      <c r="AC66" s="153"/>
      <c r="AD66" s="153"/>
      <c r="AE66" s="153"/>
      <c r="AF66" s="153"/>
      <c r="AG66" s="153"/>
      <c r="AH66" s="153"/>
      <c r="AI66" s="153"/>
      <c r="AJ66" s="153"/>
      <c r="AK66" s="153"/>
      <c r="AL66" s="153"/>
      <c r="AM66" s="153"/>
      <c r="AN66" s="153"/>
      <c r="AO66" s="153"/>
      <c r="AP66" s="153"/>
      <c r="AQ66" s="153"/>
      <c r="AR66" s="153"/>
    </row>
    <row r="67" spans="1:44" ht="15.75" customHeight="1">
      <c r="A67" s="153"/>
      <c r="B67" s="153"/>
      <c r="C67" s="152"/>
      <c r="D67" s="152"/>
      <c r="E67" s="153"/>
      <c r="F67" s="153"/>
      <c r="G67" s="153"/>
      <c r="H67" s="153"/>
      <c r="I67" s="153"/>
      <c r="J67" s="153"/>
      <c r="K67" s="153"/>
      <c r="L67" s="153"/>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3"/>
      <c r="AL67" s="153"/>
      <c r="AM67" s="153"/>
      <c r="AN67" s="153"/>
      <c r="AO67" s="153"/>
      <c r="AP67" s="153"/>
      <c r="AQ67" s="153"/>
      <c r="AR67" s="153"/>
    </row>
    <row r="68" spans="1:44" ht="15.75" customHeight="1">
      <c r="A68" s="153"/>
      <c r="B68" s="153"/>
      <c r="C68" s="152"/>
      <c r="D68" s="152"/>
      <c r="E68" s="153"/>
      <c r="F68" s="153"/>
      <c r="G68" s="153"/>
      <c r="H68" s="153"/>
      <c r="I68" s="153"/>
      <c r="J68" s="153"/>
      <c r="K68" s="153"/>
      <c r="L68" s="153"/>
      <c r="M68" s="153"/>
      <c r="N68" s="153"/>
      <c r="O68" s="153"/>
      <c r="P68" s="153"/>
      <c r="Q68" s="153"/>
      <c r="R68" s="153"/>
      <c r="S68" s="153"/>
      <c r="T68" s="153"/>
      <c r="U68" s="153"/>
      <c r="V68" s="153"/>
      <c r="W68" s="153"/>
      <c r="X68" s="153"/>
      <c r="Y68" s="153"/>
      <c r="Z68" s="153"/>
      <c r="AA68" s="153"/>
      <c r="AB68" s="153"/>
      <c r="AC68" s="153"/>
      <c r="AD68" s="153"/>
      <c r="AE68" s="153"/>
      <c r="AF68" s="153"/>
      <c r="AG68" s="153"/>
      <c r="AH68" s="153"/>
      <c r="AI68" s="153"/>
      <c r="AJ68" s="153"/>
      <c r="AK68" s="153"/>
      <c r="AL68" s="153"/>
      <c r="AM68" s="153"/>
      <c r="AN68" s="153"/>
      <c r="AO68" s="153"/>
      <c r="AP68" s="153"/>
      <c r="AQ68" s="153"/>
      <c r="AR68" s="153"/>
    </row>
    <row r="69" spans="1:44" ht="15.75" customHeight="1">
      <c r="A69" s="153"/>
      <c r="B69" s="153"/>
      <c r="C69" s="152"/>
      <c r="D69" s="152"/>
      <c r="E69" s="153"/>
      <c r="F69" s="153"/>
      <c r="G69" s="153"/>
      <c r="H69" s="153"/>
      <c r="I69" s="153"/>
      <c r="J69" s="153"/>
      <c r="K69" s="153"/>
      <c r="L69" s="153"/>
      <c r="M69" s="153"/>
      <c r="N69" s="153"/>
      <c r="O69" s="153"/>
      <c r="P69" s="153"/>
      <c r="Q69" s="153"/>
      <c r="R69" s="153"/>
      <c r="S69" s="153"/>
      <c r="T69" s="153"/>
      <c r="U69" s="153"/>
      <c r="V69" s="153"/>
      <c r="W69" s="153"/>
      <c r="X69" s="153"/>
      <c r="Y69" s="153"/>
      <c r="Z69" s="153"/>
      <c r="AA69" s="153"/>
      <c r="AB69" s="153"/>
      <c r="AC69" s="153"/>
      <c r="AD69" s="153"/>
      <c r="AE69" s="153"/>
      <c r="AF69" s="153"/>
      <c r="AG69" s="153"/>
      <c r="AH69" s="153"/>
      <c r="AI69" s="153"/>
      <c r="AJ69" s="153"/>
      <c r="AK69" s="153"/>
      <c r="AL69" s="153"/>
      <c r="AM69" s="153"/>
      <c r="AN69" s="153"/>
      <c r="AO69" s="153"/>
      <c r="AP69" s="153"/>
      <c r="AQ69" s="153"/>
      <c r="AR69" s="153"/>
    </row>
    <row r="70" spans="1:44" ht="15.75" customHeight="1">
      <c r="A70" s="153"/>
      <c r="B70" s="153"/>
      <c r="C70" s="152"/>
      <c r="D70" s="152"/>
      <c r="E70" s="153"/>
      <c r="F70" s="153"/>
      <c r="G70" s="153"/>
      <c r="H70" s="153"/>
      <c r="I70" s="153"/>
      <c r="J70" s="153"/>
      <c r="K70" s="153"/>
      <c r="L70" s="153"/>
      <c r="M70" s="153"/>
      <c r="N70" s="153"/>
      <c r="O70" s="153"/>
      <c r="P70" s="153"/>
      <c r="Q70" s="153"/>
      <c r="R70" s="153"/>
      <c r="S70" s="153"/>
      <c r="T70" s="153"/>
      <c r="U70" s="153"/>
      <c r="V70" s="153"/>
      <c r="W70" s="153"/>
      <c r="X70" s="153"/>
      <c r="Y70" s="153"/>
      <c r="Z70" s="153"/>
      <c r="AA70" s="153"/>
      <c r="AB70" s="153"/>
      <c r="AC70" s="153"/>
      <c r="AD70" s="153"/>
      <c r="AE70" s="153"/>
      <c r="AF70" s="153"/>
      <c r="AG70" s="153"/>
      <c r="AH70" s="153"/>
      <c r="AI70" s="153"/>
      <c r="AJ70" s="153"/>
      <c r="AK70" s="153"/>
      <c r="AL70" s="153"/>
      <c r="AM70" s="153"/>
      <c r="AN70" s="153"/>
      <c r="AO70" s="153"/>
      <c r="AP70" s="153"/>
      <c r="AQ70" s="153"/>
      <c r="AR70" s="153"/>
    </row>
    <row r="71" spans="1:44" ht="15.75" customHeight="1">
      <c r="A71" s="153"/>
      <c r="B71" s="153"/>
      <c r="C71" s="152"/>
      <c r="D71" s="152"/>
      <c r="E71" s="153"/>
      <c r="F71" s="153"/>
      <c r="G71" s="153"/>
      <c r="H71" s="153"/>
      <c r="I71" s="153"/>
      <c r="J71" s="153"/>
      <c r="K71" s="153"/>
      <c r="L71" s="153"/>
      <c r="M71" s="153"/>
      <c r="N71" s="153"/>
      <c r="O71" s="153"/>
      <c r="P71" s="153"/>
      <c r="Q71" s="153"/>
      <c r="R71" s="153"/>
      <c r="S71" s="153"/>
      <c r="T71" s="153"/>
      <c r="U71" s="153"/>
      <c r="V71" s="153"/>
      <c r="W71" s="153"/>
      <c r="X71" s="153"/>
      <c r="Y71" s="153"/>
      <c r="Z71" s="153"/>
      <c r="AA71" s="153"/>
      <c r="AB71" s="153"/>
      <c r="AC71" s="153"/>
      <c r="AD71" s="153"/>
      <c r="AE71" s="153"/>
      <c r="AF71" s="153"/>
      <c r="AG71" s="153"/>
      <c r="AH71" s="153"/>
      <c r="AI71" s="153"/>
      <c r="AJ71" s="153"/>
      <c r="AK71" s="153"/>
      <c r="AL71" s="153"/>
      <c r="AM71" s="153"/>
      <c r="AN71" s="153"/>
      <c r="AO71" s="153"/>
      <c r="AP71" s="153"/>
      <c r="AQ71" s="153"/>
      <c r="AR71" s="153"/>
    </row>
    <row r="72" spans="1:44" ht="15.75" customHeight="1">
      <c r="A72" s="153"/>
      <c r="B72" s="153"/>
      <c r="C72" s="152"/>
      <c r="D72" s="152"/>
      <c r="E72" s="153"/>
      <c r="F72" s="153"/>
      <c r="G72" s="153"/>
      <c r="H72" s="153"/>
      <c r="I72" s="153"/>
      <c r="J72" s="153"/>
      <c r="K72" s="153"/>
      <c r="L72" s="153"/>
      <c r="M72" s="153"/>
      <c r="N72" s="153"/>
      <c r="O72" s="153"/>
      <c r="P72" s="153"/>
      <c r="Q72" s="153"/>
      <c r="R72" s="153"/>
      <c r="S72" s="153"/>
      <c r="T72" s="153"/>
      <c r="U72" s="153"/>
      <c r="V72" s="153"/>
      <c r="W72" s="153"/>
      <c r="X72" s="153"/>
      <c r="Y72" s="153"/>
      <c r="Z72" s="153"/>
      <c r="AA72" s="153"/>
      <c r="AB72" s="153"/>
      <c r="AC72" s="153"/>
      <c r="AD72" s="153"/>
      <c r="AE72" s="153"/>
      <c r="AF72" s="153"/>
      <c r="AG72" s="153"/>
      <c r="AH72" s="153"/>
      <c r="AI72" s="153"/>
      <c r="AJ72" s="153"/>
      <c r="AK72" s="153"/>
      <c r="AL72" s="153"/>
      <c r="AM72" s="153"/>
      <c r="AN72" s="153"/>
      <c r="AO72" s="153"/>
      <c r="AP72" s="153"/>
      <c r="AQ72" s="153"/>
      <c r="AR72" s="153"/>
    </row>
    <row r="73" spans="1:44" ht="15.75" customHeight="1">
      <c r="A73" s="153"/>
      <c r="B73" s="153"/>
      <c r="C73" s="152"/>
      <c r="D73" s="152"/>
      <c r="E73" s="153"/>
      <c r="F73" s="153"/>
      <c r="G73" s="153"/>
      <c r="H73" s="153"/>
      <c r="I73" s="153"/>
      <c r="J73" s="153"/>
      <c r="K73" s="153"/>
      <c r="L73" s="153"/>
      <c r="M73" s="153"/>
      <c r="N73" s="153"/>
      <c r="O73" s="153"/>
      <c r="P73" s="153"/>
      <c r="Q73" s="153"/>
      <c r="R73" s="153"/>
      <c r="S73" s="153"/>
      <c r="T73" s="153"/>
      <c r="U73" s="153"/>
      <c r="V73" s="153"/>
      <c r="W73" s="153"/>
      <c r="X73" s="153"/>
      <c r="Y73" s="153"/>
      <c r="Z73" s="153"/>
      <c r="AA73" s="153"/>
      <c r="AB73" s="153"/>
      <c r="AC73" s="153"/>
      <c r="AD73" s="153"/>
      <c r="AE73" s="153"/>
      <c r="AF73" s="153"/>
      <c r="AG73" s="153"/>
      <c r="AH73" s="153"/>
      <c r="AI73" s="153"/>
      <c r="AJ73" s="153"/>
      <c r="AK73" s="153"/>
      <c r="AL73" s="153"/>
      <c r="AM73" s="153"/>
      <c r="AN73" s="153"/>
      <c r="AO73" s="153"/>
      <c r="AP73" s="153"/>
      <c r="AQ73" s="153"/>
      <c r="AR73" s="153"/>
    </row>
    <row r="74" spans="1:44" ht="15.75" customHeight="1">
      <c r="A74" s="153"/>
      <c r="B74" s="153"/>
      <c r="C74" s="152"/>
      <c r="D74" s="152"/>
      <c r="E74" s="153"/>
      <c r="F74" s="153"/>
      <c r="G74" s="153"/>
      <c r="H74" s="153"/>
      <c r="I74" s="153"/>
      <c r="J74" s="153"/>
      <c r="K74" s="153"/>
      <c r="L74" s="153"/>
      <c r="M74" s="153"/>
      <c r="N74" s="153"/>
      <c r="O74" s="153"/>
      <c r="P74" s="153"/>
      <c r="Q74" s="153"/>
      <c r="R74" s="153"/>
      <c r="S74" s="153"/>
      <c r="T74" s="153"/>
      <c r="U74" s="153"/>
      <c r="V74" s="153"/>
      <c r="W74" s="153"/>
      <c r="X74" s="153"/>
      <c r="Y74" s="153"/>
      <c r="Z74" s="153"/>
      <c r="AA74" s="153"/>
      <c r="AB74" s="153"/>
      <c r="AC74" s="153"/>
      <c r="AD74" s="153"/>
      <c r="AE74" s="153"/>
      <c r="AF74" s="153"/>
      <c r="AG74" s="153"/>
      <c r="AH74" s="153"/>
      <c r="AI74" s="153"/>
      <c r="AJ74" s="153"/>
      <c r="AK74" s="153"/>
      <c r="AL74" s="153"/>
      <c r="AM74" s="153"/>
      <c r="AN74" s="153"/>
      <c r="AO74" s="153"/>
      <c r="AP74" s="153"/>
      <c r="AQ74" s="153"/>
      <c r="AR74" s="153"/>
    </row>
    <row r="75" spans="1:44" ht="15.75" customHeight="1">
      <c r="A75" s="153"/>
      <c r="B75" s="153"/>
      <c r="C75" s="152"/>
      <c r="D75" s="152"/>
      <c r="E75" s="153"/>
      <c r="F75" s="153"/>
      <c r="G75" s="153"/>
      <c r="H75" s="153"/>
      <c r="I75" s="153"/>
      <c r="J75" s="153"/>
      <c r="K75" s="153"/>
      <c r="L75" s="153"/>
      <c r="M75" s="153"/>
      <c r="N75" s="153"/>
      <c r="O75" s="153"/>
      <c r="P75" s="153"/>
      <c r="Q75" s="153"/>
      <c r="R75" s="153"/>
      <c r="S75" s="153"/>
      <c r="T75" s="153"/>
      <c r="U75" s="153"/>
      <c r="V75" s="153"/>
      <c r="W75" s="153"/>
      <c r="X75" s="153"/>
      <c r="Y75" s="153"/>
      <c r="Z75" s="153"/>
      <c r="AA75" s="153"/>
      <c r="AB75" s="153"/>
      <c r="AC75" s="153"/>
      <c r="AD75" s="153"/>
      <c r="AE75" s="153"/>
      <c r="AF75" s="153"/>
      <c r="AG75" s="153"/>
      <c r="AH75" s="153"/>
      <c r="AI75" s="153"/>
      <c r="AJ75" s="153"/>
      <c r="AK75" s="153"/>
      <c r="AL75" s="153"/>
      <c r="AM75" s="153"/>
      <c r="AN75" s="153"/>
      <c r="AO75" s="153"/>
      <c r="AP75" s="153"/>
      <c r="AQ75" s="153"/>
      <c r="AR75" s="153"/>
    </row>
    <row r="76" spans="1:44" ht="15.75" customHeight="1">
      <c r="A76" s="153"/>
      <c r="B76" s="153"/>
      <c r="C76" s="152"/>
      <c r="D76" s="152"/>
      <c r="E76" s="153"/>
      <c r="F76" s="153"/>
      <c r="G76" s="153"/>
      <c r="H76" s="153"/>
      <c r="I76" s="153"/>
      <c r="J76" s="153"/>
      <c r="K76" s="153"/>
      <c r="L76" s="153"/>
      <c r="M76" s="153"/>
      <c r="N76" s="153"/>
      <c r="O76" s="153"/>
      <c r="P76" s="153"/>
      <c r="Q76" s="153"/>
      <c r="R76" s="153"/>
      <c r="S76" s="153"/>
      <c r="T76" s="153"/>
      <c r="U76" s="153"/>
      <c r="V76" s="153"/>
      <c r="W76" s="153"/>
      <c r="X76" s="153"/>
      <c r="Y76" s="153"/>
      <c r="Z76" s="153"/>
      <c r="AA76" s="153"/>
      <c r="AB76" s="153"/>
      <c r="AC76" s="153"/>
      <c r="AD76" s="153"/>
      <c r="AE76" s="153"/>
      <c r="AF76" s="153"/>
      <c r="AG76" s="153"/>
      <c r="AH76" s="153"/>
      <c r="AI76" s="153"/>
      <c r="AJ76" s="153"/>
      <c r="AK76" s="153"/>
      <c r="AL76" s="153"/>
      <c r="AM76" s="153"/>
      <c r="AN76" s="153"/>
      <c r="AO76" s="153"/>
      <c r="AP76" s="153"/>
      <c r="AQ76" s="153"/>
      <c r="AR76" s="153"/>
    </row>
    <row r="77" spans="1:44" ht="15.75" customHeight="1">
      <c r="A77" s="153"/>
      <c r="B77" s="153"/>
      <c r="C77" s="152"/>
      <c r="D77" s="152"/>
      <c r="E77" s="153"/>
      <c r="F77" s="153"/>
      <c r="G77" s="153"/>
      <c r="H77" s="153"/>
      <c r="I77" s="153"/>
      <c r="J77" s="153"/>
      <c r="K77" s="153"/>
      <c r="L77" s="153"/>
      <c r="M77" s="153"/>
      <c r="N77" s="153"/>
      <c r="O77" s="153"/>
      <c r="P77" s="153"/>
      <c r="Q77" s="153"/>
      <c r="R77" s="153"/>
      <c r="S77" s="153"/>
      <c r="T77" s="153"/>
      <c r="U77" s="153"/>
      <c r="V77" s="153"/>
      <c r="W77" s="153"/>
      <c r="X77" s="153"/>
      <c r="Y77" s="153"/>
      <c r="Z77" s="153"/>
      <c r="AA77" s="153"/>
      <c r="AB77" s="153"/>
      <c r="AC77" s="153"/>
      <c r="AD77" s="153"/>
      <c r="AE77" s="153"/>
      <c r="AF77" s="153"/>
      <c r="AG77" s="153"/>
      <c r="AH77" s="153"/>
      <c r="AI77" s="153"/>
      <c r="AJ77" s="153"/>
      <c r="AK77" s="153"/>
      <c r="AL77" s="153"/>
      <c r="AM77" s="153"/>
      <c r="AN77" s="153"/>
      <c r="AO77" s="153"/>
      <c r="AP77" s="153"/>
      <c r="AQ77" s="153"/>
      <c r="AR77" s="153"/>
    </row>
    <row r="78" spans="1:44" ht="15.75" customHeight="1">
      <c r="A78" s="153"/>
      <c r="B78" s="153"/>
      <c r="C78" s="152"/>
      <c r="D78" s="152"/>
      <c r="E78" s="153"/>
      <c r="F78" s="153"/>
      <c r="G78" s="153"/>
      <c r="H78" s="153"/>
      <c r="I78" s="153"/>
      <c r="J78" s="153"/>
      <c r="K78" s="153"/>
      <c r="L78" s="153"/>
      <c r="M78" s="153"/>
      <c r="N78" s="153"/>
      <c r="O78" s="153"/>
      <c r="P78" s="153"/>
      <c r="Q78" s="153"/>
      <c r="R78" s="153"/>
      <c r="S78" s="153"/>
      <c r="T78" s="153"/>
      <c r="U78" s="153"/>
      <c r="V78" s="153"/>
      <c r="W78" s="153"/>
      <c r="X78" s="153"/>
      <c r="Y78" s="153"/>
      <c r="Z78" s="153"/>
      <c r="AA78" s="153"/>
      <c r="AB78" s="153"/>
      <c r="AC78" s="153"/>
      <c r="AD78" s="153"/>
      <c r="AE78" s="153"/>
      <c r="AF78" s="153"/>
      <c r="AG78" s="153"/>
      <c r="AH78" s="153"/>
      <c r="AI78" s="153"/>
      <c r="AJ78" s="153"/>
      <c r="AK78" s="153"/>
      <c r="AL78" s="153"/>
      <c r="AM78" s="153"/>
      <c r="AN78" s="153"/>
      <c r="AO78" s="153"/>
      <c r="AP78" s="153"/>
      <c r="AQ78" s="153"/>
      <c r="AR78" s="153"/>
    </row>
    <row r="79" spans="1:44" ht="15.75" customHeight="1">
      <c r="A79" s="153"/>
      <c r="B79" s="153"/>
      <c r="C79" s="152"/>
      <c r="D79" s="152"/>
      <c r="E79" s="153"/>
      <c r="F79" s="153"/>
      <c r="G79" s="153"/>
      <c r="H79" s="153"/>
      <c r="I79" s="153"/>
      <c r="J79" s="153"/>
      <c r="K79" s="153"/>
      <c r="L79" s="153"/>
      <c r="M79" s="153"/>
      <c r="N79" s="153"/>
      <c r="O79" s="153"/>
      <c r="P79" s="153"/>
      <c r="Q79" s="153"/>
      <c r="R79" s="153"/>
      <c r="S79" s="153"/>
      <c r="T79" s="153"/>
      <c r="U79" s="153"/>
      <c r="V79" s="153"/>
      <c r="W79" s="153"/>
      <c r="X79" s="153"/>
      <c r="Y79" s="153"/>
      <c r="Z79" s="153"/>
      <c r="AA79" s="153"/>
      <c r="AB79" s="153"/>
      <c r="AC79" s="153"/>
      <c r="AD79" s="153"/>
      <c r="AE79" s="153"/>
      <c r="AF79" s="153"/>
      <c r="AG79" s="153"/>
      <c r="AH79" s="153"/>
      <c r="AI79" s="153"/>
      <c r="AJ79" s="153"/>
      <c r="AK79" s="153"/>
      <c r="AL79" s="153"/>
      <c r="AM79" s="153"/>
      <c r="AN79" s="153"/>
      <c r="AO79" s="153"/>
      <c r="AP79" s="153"/>
      <c r="AQ79" s="153"/>
      <c r="AR79" s="153"/>
    </row>
    <row r="80" spans="1:44" ht="15.75" customHeight="1">
      <c r="A80" s="153"/>
      <c r="B80" s="153"/>
      <c r="C80" s="152"/>
      <c r="D80" s="152"/>
      <c r="E80" s="153"/>
      <c r="F80" s="153"/>
      <c r="G80" s="153"/>
      <c r="H80" s="153"/>
      <c r="I80" s="153"/>
      <c r="J80" s="153"/>
      <c r="K80" s="153"/>
      <c r="L80" s="153"/>
      <c r="M80" s="153"/>
      <c r="N80" s="153"/>
      <c r="O80" s="153"/>
      <c r="P80" s="153"/>
      <c r="Q80" s="153"/>
      <c r="R80" s="153"/>
      <c r="S80" s="153"/>
      <c r="T80" s="153"/>
      <c r="U80" s="153"/>
      <c r="V80" s="153"/>
      <c r="W80" s="153"/>
      <c r="X80" s="153"/>
      <c r="Y80" s="153"/>
      <c r="Z80" s="153"/>
      <c r="AA80" s="153"/>
      <c r="AB80" s="153"/>
      <c r="AC80" s="153"/>
      <c r="AD80" s="153"/>
      <c r="AE80" s="153"/>
      <c r="AF80" s="153"/>
      <c r="AG80" s="153"/>
      <c r="AH80" s="153"/>
      <c r="AI80" s="153"/>
      <c r="AJ80" s="153"/>
      <c r="AK80" s="153"/>
      <c r="AL80" s="153"/>
      <c r="AM80" s="153"/>
      <c r="AN80" s="153"/>
      <c r="AO80" s="153"/>
      <c r="AP80" s="153"/>
      <c r="AQ80" s="153"/>
      <c r="AR80" s="153"/>
    </row>
    <row r="81" spans="1:44" ht="15.75" customHeight="1">
      <c r="A81" s="153"/>
      <c r="B81" s="153"/>
      <c r="C81" s="152"/>
      <c r="D81" s="152"/>
      <c r="E81" s="153"/>
      <c r="F81" s="153"/>
      <c r="G81" s="153"/>
      <c r="H81" s="153"/>
      <c r="I81" s="153"/>
      <c r="J81" s="153"/>
      <c r="K81" s="153"/>
      <c r="L81" s="153"/>
      <c r="M81" s="153"/>
      <c r="N81" s="153"/>
      <c r="O81" s="153"/>
      <c r="P81" s="153"/>
      <c r="Q81" s="153"/>
      <c r="R81" s="153"/>
      <c r="S81" s="153"/>
      <c r="T81" s="153"/>
      <c r="U81" s="153"/>
      <c r="V81" s="153"/>
      <c r="W81" s="153"/>
      <c r="X81" s="153"/>
      <c r="Y81" s="153"/>
      <c r="Z81" s="153"/>
      <c r="AA81" s="153"/>
      <c r="AB81" s="153"/>
      <c r="AC81" s="153"/>
      <c r="AD81" s="153"/>
      <c r="AE81" s="153"/>
      <c r="AF81" s="153"/>
      <c r="AG81" s="153"/>
      <c r="AH81" s="153"/>
      <c r="AI81" s="153"/>
      <c r="AJ81" s="153"/>
      <c r="AK81" s="153"/>
      <c r="AL81" s="153"/>
      <c r="AM81" s="153"/>
      <c r="AN81" s="153"/>
      <c r="AO81" s="153"/>
      <c r="AP81" s="153"/>
      <c r="AQ81" s="153"/>
      <c r="AR81" s="153"/>
    </row>
    <row r="82" spans="1:44" ht="15.75" customHeight="1">
      <c r="A82" s="153"/>
      <c r="B82" s="153"/>
      <c r="C82" s="152"/>
      <c r="D82" s="152"/>
      <c r="E82" s="153"/>
      <c r="F82" s="153"/>
      <c r="G82" s="153"/>
      <c r="H82" s="153"/>
      <c r="I82" s="153"/>
      <c r="J82" s="153"/>
      <c r="K82" s="153"/>
      <c r="L82" s="153"/>
      <c r="M82" s="153"/>
      <c r="N82" s="153"/>
      <c r="O82" s="153"/>
      <c r="P82" s="153"/>
      <c r="Q82" s="153"/>
      <c r="R82" s="153"/>
      <c r="S82" s="153"/>
      <c r="T82" s="153"/>
      <c r="U82" s="153"/>
      <c r="V82" s="153"/>
      <c r="W82" s="153"/>
      <c r="X82" s="153"/>
      <c r="Y82" s="153"/>
      <c r="Z82" s="153"/>
      <c r="AA82" s="153"/>
      <c r="AB82" s="153"/>
      <c r="AC82" s="153"/>
      <c r="AD82" s="153"/>
      <c r="AE82" s="153"/>
      <c r="AF82" s="153"/>
      <c r="AG82" s="153"/>
      <c r="AH82" s="153"/>
      <c r="AI82" s="153"/>
      <c r="AJ82" s="153"/>
      <c r="AK82" s="153"/>
      <c r="AL82" s="153"/>
      <c r="AM82" s="153"/>
      <c r="AN82" s="153"/>
      <c r="AO82" s="153"/>
      <c r="AP82" s="153"/>
      <c r="AQ82" s="153"/>
      <c r="AR82" s="153"/>
    </row>
    <row r="83" spans="1:44" ht="15.75" customHeight="1">
      <c r="A83" s="153"/>
      <c r="B83" s="153"/>
      <c r="C83" s="152"/>
      <c r="D83" s="152"/>
      <c r="E83" s="153"/>
      <c r="F83" s="153"/>
      <c r="G83" s="153"/>
      <c r="H83" s="153"/>
      <c r="I83" s="153"/>
      <c r="J83" s="153"/>
      <c r="K83" s="153"/>
      <c r="L83" s="153"/>
      <c r="M83" s="153"/>
      <c r="N83" s="153"/>
      <c r="O83" s="153"/>
      <c r="P83" s="153"/>
      <c r="Q83" s="153"/>
      <c r="R83" s="153"/>
      <c r="S83" s="153"/>
      <c r="T83" s="153"/>
      <c r="U83" s="153"/>
      <c r="V83" s="153"/>
      <c r="W83" s="153"/>
      <c r="X83" s="153"/>
      <c r="Y83" s="153"/>
      <c r="Z83" s="153"/>
      <c r="AA83" s="153"/>
      <c r="AB83" s="153"/>
      <c r="AC83" s="153"/>
      <c r="AD83" s="153"/>
      <c r="AE83" s="153"/>
      <c r="AF83" s="153"/>
      <c r="AG83" s="153"/>
      <c r="AH83" s="153"/>
      <c r="AI83" s="153"/>
      <c r="AJ83" s="153"/>
      <c r="AK83" s="153"/>
      <c r="AL83" s="153"/>
      <c r="AM83" s="153"/>
      <c r="AN83" s="153"/>
      <c r="AO83" s="153"/>
      <c r="AP83" s="153"/>
      <c r="AQ83" s="153"/>
      <c r="AR83" s="153"/>
    </row>
    <row r="84" spans="1:44" ht="15.75" customHeight="1">
      <c r="A84" s="153"/>
      <c r="B84" s="153"/>
      <c r="C84" s="152"/>
      <c r="D84" s="152"/>
      <c r="E84" s="153"/>
      <c r="F84" s="153"/>
      <c r="G84" s="153"/>
      <c r="H84" s="153"/>
      <c r="I84" s="153"/>
      <c r="J84" s="153"/>
      <c r="K84" s="153"/>
      <c r="L84" s="153"/>
      <c r="M84" s="153"/>
      <c r="N84" s="153"/>
      <c r="O84" s="153"/>
      <c r="P84" s="153"/>
      <c r="Q84" s="153"/>
      <c r="R84" s="153"/>
      <c r="S84" s="153"/>
      <c r="T84" s="153"/>
      <c r="U84" s="153"/>
      <c r="V84" s="153"/>
      <c r="W84" s="153"/>
      <c r="X84" s="153"/>
      <c r="Y84" s="153"/>
      <c r="Z84" s="153"/>
      <c r="AA84" s="153"/>
      <c r="AB84" s="153"/>
      <c r="AC84" s="153"/>
      <c r="AD84" s="153"/>
      <c r="AE84" s="153"/>
      <c r="AF84" s="153"/>
      <c r="AG84" s="153"/>
      <c r="AH84" s="153"/>
      <c r="AI84" s="153"/>
      <c r="AJ84" s="153"/>
      <c r="AK84" s="153"/>
      <c r="AL84" s="153"/>
      <c r="AM84" s="153"/>
      <c r="AN84" s="153"/>
      <c r="AO84" s="153"/>
      <c r="AP84" s="153"/>
      <c r="AQ84" s="153"/>
      <c r="AR84" s="153"/>
    </row>
    <row r="85" spans="1:44" ht="15.75" customHeight="1">
      <c r="A85" s="153"/>
      <c r="B85" s="153"/>
      <c r="C85" s="152"/>
      <c r="D85" s="152"/>
      <c r="E85" s="153"/>
      <c r="F85" s="153"/>
      <c r="G85" s="153"/>
      <c r="H85" s="153"/>
      <c r="I85" s="153"/>
      <c r="J85" s="153"/>
      <c r="K85" s="153"/>
      <c r="L85" s="153"/>
      <c r="M85" s="153"/>
      <c r="N85" s="153"/>
      <c r="O85" s="153"/>
      <c r="P85" s="153"/>
      <c r="Q85" s="153"/>
      <c r="R85" s="153"/>
      <c r="S85" s="153"/>
      <c r="T85" s="153"/>
      <c r="U85" s="153"/>
      <c r="V85" s="153"/>
      <c r="W85" s="153"/>
      <c r="X85" s="153"/>
      <c r="Y85" s="153"/>
      <c r="Z85" s="153"/>
      <c r="AA85" s="153"/>
      <c r="AB85" s="153"/>
      <c r="AC85" s="153"/>
      <c r="AD85" s="153"/>
      <c r="AE85" s="153"/>
      <c r="AF85" s="153"/>
      <c r="AG85" s="153"/>
      <c r="AH85" s="153"/>
      <c r="AI85" s="153"/>
      <c r="AJ85" s="153"/>
      <c r="AK85" s="153"/>
      <c r="AL85" s="153"/>
      <c r="AM85" s="153"/>
      <c r="AN85" s="153"/>
      <c r="AO85" s="153"/>
      <c r="AP85" s="153"/>
      <c r="AQ85" s="153"/>
      <c r="AR85" s="153"/>
    </row>
    <row r="86" spans="1:44" ht="15.75" customHeight="1">
      <c r="A86" s="153"/>
      <c r="B86" s="153"/>
      <c r="C86" s="152"/>
      <c r="D86" s="152"/>
      <c r="E86" s="153"/>
      <c r="F86" s="153"/>
      <c r="G86" s="153"/>
      <c r="H86" s="153"/>
      <c r="I86" s="153"/>
      <c r="J86" s="153"/>
      <c r="K86" s="153"/>
      <c r="L86" s="153"/>
      <c r="M86" s="153"/>
      <c r="N86" s="153"/>
      <c r="O86" s="153"/>
      <c r="P86" s="153"/>
      <c r="Q86" s="153"/>
      <c r="R86" s="153"/>
      <c r="S86" s="153"/>
      <c r="T86" s="153"/>
      <c r="U86" s="153"/>
      <c r="V86" s="153"/>
      <c r="W86" s="153"/>
      <c r="X86" s="153"/>
      <c r="Y86" s="153"/>
      <c r="Z86" s="153"/>
      <c r="AA86" s="153"/>
      <c r="AB86" s="153"/>
      <c r="AC86" s="153"/>
      <c r="AD86" s="153"/>
      <c r="AE86" s="153"/>
      <c r="AF86" s="153"/>
      <c r="AG86" s="153"/>
      <c r="AH86" s="153"/>
      <c r="AI86" s="153"/>
      <c r="AJ86" s="153"/>
      <c r="AK86" s="153"/>
      <c r="AL86" s="153"/>
      <c r="AM86" s="153"/>
      <c r="AN86" s="153"/>
      <c r="AO86" s="153"/>
      <c r="AP86" s="153"/>
      <c r="AQ86" s="153"/>
      <c r="AR86" s="153"/>
    </row>
    <row r="87" spans="1:44" ht="15.75" customHeight="1">
      <c r="A87" s="153"/>
      <c r="B87" s="153"/>
      <c r="C87" s="152"/>
      <c r="D87" s="152"/>
      <c r="E87" s="153"/>
      <c r="F87" s="153"/>
      <c r="G87" s="153"/>
      <c r="H87" s="153"/>
      <c r="I87" s="153"/>
      <c r="J87" s="153"/>
      <c r="K87" s="153"/>
      <c r="L87" s="153"/>
      <c r="M87" s="153"/>
      <c r="N87" s="153"/>
      <c r="O87" s="153"/>
      <c r="P87" s="153"/>
      <c r="Q87" s="153"/>
      <c r="R87" s="153"/>
      <c r="S87" s="153"/>
      <c r="T87" s="153"/>
      <c r="U87" s="153"/>
      <c r="V87" s="153"/>
      <c r="W87" s="153"/>
      <c r="X87" s="153"/>
      <c r="Y87" s="153"/>
      <c r="Z87" s="153"/>
      <c r="AA87" s="153"/>
      <c r="AB87" s="153"/>
      <c r="AC87" s="153"/>
      <c r="AD87" s="153"/>
      <c r="AE87" s="153"/>
      <c r="AF87" s="153"/>
      <c r="AG87" s="153"/>
      <c r="AH87" s="153"/>
      <c r="AI87" s="153"/>
      <c r="AJ87" s="153"/>
      <c r="AK87" s="153"/>
      <c r="AL87" s="153"/>
      <c r="AM87" s="153"/>
      <c r="AN87" s="153"/>
      <c r="AO87" s="153"/>
      <c r="AP87" s="153"/>
      <c r="AQ87" s="153"/>
      <c r="AR87" s="153"/>
    </row>
    <row r="88" spans="1:44" ht="15.75" customHeight="1">
      <c r="A88" s="153"/>
      <c r="B88" s="153"/>
      <c r="C88" s="152"/>
      <c r="D88" s="152"/>
      <c r="E88" s="153"/>
      <c r="F88" s="153"/>
      <c r="G88" s="153"/>
      <c r="H88" s="153"/>
      <c r="I88" s="153"/>
      <c r="J88" s="153"/>
      <c r="K88" s="153"/>
      <c r="L88" s="153"/>
      <c r="M88" s="153"/>
      <c r="N88" s="153"/>
      <c r="O88" s="153"/>
      <c r="P88" s="153"/>
      <c r="Q88" s="153"/>
      <c r="R88" s="153"/>
      <c r="S88" s="153"/>
      <c r="T88" s="153"/>
      <c r="U88" s="153"/>
      <c r="V88" s="153"/>
      <c r="W88" s="153"/>
      <c r="X88" s="153"/>
      <c r="Y88" s="153"/>
      <c r="Z88" s="153"/>
      <c r="AA88" s="153"/>
      <c r="AB88" s="153"/>
      <c r="AC88" s="153"/>
      <c r="AD88" s="153"/>
      <c r="AE88" s="153"/>
      <c r="AF88" s="153"/>
      <c r="AG88" s="153"/>
      <c r="AH88" s="153"/>
      <c r="AI88" s="153"/>
      <c r="AJ88" s="153"/>
      <c r="AK88" s="153"/>
      <c r="AL88" s="153"/>
      <c r="AM88" s="153"/>
      <c r="AN88" s="153"/>
      <c r="AO88" s="153"/>
      <c r="AP88" s="153"/>
      <c r="AQ88" s="153"/>
      <c r="AR88" s="153"/>
    </row>
    <row r="89" spans="1:44" ht="15.75" customHeight="1">
      <c r="A89" s="153"/>
      <c r="B89" s="153"/>
      <c r="C89" s="152"/>
      <c r="D89" s="152"/>
      <c r="E89" s="153"/>
      <c r="F89" s="153"/>
      <c r="G89" s="153"/>
      <c r="H89" s="153"/>
      <c r="I89" s="153"/>
      <c r="J89" s="153"/>
      <c r="K89" s="153"/>
      <c r="L89" s="153"/>
      <c r="M89" s="153"/>
      <c r="N89" s="153"/>
      <c r="O89" s="153"/>
      <c r="P89" s="153"/>
      <c r="Q89" s="153"/>
      <c r="R89" s="153"/>
      <c r="S89" s="153"/>
      <c r="T89" s="153"/>
      <c r="U89" s="153"/>
      <c r="V89" s="153"/>
      <c r="W89" s="153"/>
      <c r="X89" s="153"/>
      <c r="Y89" s="153"/>
      <c r="Z89" s="153"/>
      <c r="AA89" s="153"/>
      <c r="AB89" s="153"/>
      <c r="AC89" s="153"/>
      <c r="AD89" s="153"/>
      <c r="AE89" s="153"/>
      <c r="AF89" s="153"/>
      <c r="AG89" s="153"/>
      <c r="AH89" s="153"/>
      <c r="AI89" s="153"/>
      <c r="AJ89" s="153"/>
      <c r="AK89" s="153"/>
      <c r="AL89" s="153"/>
      <c r="AM89" s="153"/>
      <c r="AN89" s="153"/>
      <c r="AO89" s="153"/>
      <c r="AP89" s="153"/>
      <c r="AQ89" s="153"/>
      <c r="AR89" s="153"/>
    </row>
    <row r="90" spans="1:44" ht="15.75" customHeight="1">
      <c r="A90" s="153"/>
      <c r="B90" s="153"/>
      <c r="C90" s="152"/>
      <c r="D90" s="152"/>
      <c r="E90" s="153"/>
      <c r="F90" s="153"/>
      <c r="G90" s="153"/>
      <c r="H90" s="153"/>
      <c r="I90" s="153"/>
      <c r="J90" s="153"/>
      <c r="K90" s="153"/>
      <c r="L90" s="153"/>
      <c r="M90" s="153"/>
      <c r="N90" s="153"/>
      <c r="O90" s="153"/>
      <c r="P90" s="153"/>
      <c r="Q90" s="153"/>
      <c r="R90" s="153"/>
      <c r="S90" s="153"/>
      <c r="T90" s="153"/>
      <c r="U90" s="153"/>
      <c r="V90" s="153"/>
      <c r="W90" s="153"/>
      <c r="X90" s="153"/>
      <c r="Y90" s="153"/>
      <c r="Z90" s="153"/>
      <c r="AA90" s="153"/>
      <c r="AB90" s="153"/>
      <c r="AC90" s="153"/>
      <c r="AD90" s="153"/>
      <c r="AE90" s="153"/>
      <c r="AF90" s="153"/>
      <c r="AG90" s="153"/>
      <c r="AH90" s="153"/>
      <c r="AI90" s="153"/>
      <c r="AJ90" s="153"/>
      <c r="AK90" s="153"/>
      <c r="AL90" s="153"/>
      <c r="AM90" s="153"/>
      <c r="AN90" s="153"/>
      <c r="AO90" s="153"/>
      <c r="AP90" s="153"/>
      <c r="AQ90" s="153"/>
      <c r="AR90" s="153"/>
    </row>
    <row r="91" spans="1:44" ht="15.75" customHeight="1">
      <c r="A91" s="153"/>
      <c r="B91" s="153"/>
      <c r="C91" s="152"/>
      <c r="D91" s="152"/>
      <c r="E91" s="153"/>
      <c r="F91" s="153"/>
      <c r="G91" s="153"/>
      <c r="H91" s="153"/>
      <c r="I91" s="153"/>
      <c r="J91" s="153"/>
      <c r="K91" s="153"/>
      <c r="L91" s="153"/>
      <c r="M91" s="153"/>
      <c r="N91" s="153"/>
      <c r="O91" s="153"/>
      <c r="P91" s="153"/>
      <c r="Q91" s="153"/>
      <c r="R91" s="153"/>
      <c r="S91" s="153"/>
      <c r="T91" s="153"/>
      <c r="U91" s="153"/>
      <c r="V91" s="153"/>
      <c r="W91" s="153"/>
      <c r="X91" s="153"/>
      <c r="Y91" s="153"/>
      <c r="Z91" s="153"/>
      <c r="AA91" s="153"/>
      <c r="AB91" s="153"/>
      <c r="AC91" s="153"/>
      <c r="AD91" s="153"/>
      <c r="AE91" s="153"/>
      <c r="AF91" s="153"/>
      <c r="AG91" s="153"/>
      <c r="AH91" s="153"/>
      <c r="AI91" s="153"/>
      <c r="AJ91" s="153"/>
      <c r="AK91" s="153"/>
      <c r="AL91" s="153"/>
      <c r="AM91" s="153"/>
      <c r="AN91" s="153"/>
      <c r="AO91" s="153"/>
      <c r="AP91" s="153"/>
      <c r="AQ91" s="153"/>
      <c r="AR91" s="153"/>
    </row>
    <row r="92" spans="1:44" ht="15.75" customHeight="1">
      <c r="A92" s="153"/>
      <c r="B92" s="153"/>
      <c r="C92" s="152"/>
      <c r="D92" s="152"/>
      <c r="E92" s="153"/>
      <c r="F92" s="153"/>
      <c r="G92" s="153"/>
      <c r="H92" s="153"/>
      <c r="I92" s="153"/>
      <c r="J92" s="153"/>
      <c r="K92" s="153"/>
      <c r="L92" s="153"/>
      <c r="M92" s="153"/>
      <c r="N92" s="153"/>
      <c r="O92" s="153"/>
      <c r="P92" s="153"/>
      <c r="Q92" s="153"/>
      <c r="R92" s="153"/>
      <c r="S92" s="153"/>
      <c r="T92" s="153"/>
      <c r="U92" s="153"/>
      <c r="V92" s="153"/>
      <c r="W92" s="153"/>
      <c r="X92" s="153"/>
      <c r="Y92" s="153"/>
      <c r="Z92" s="153"/>
      <c r="AA92" s="153"/>
      <c r="AB92" s="153"/>
      <c r="AC92" s="153"/>
      <c r="AD92" s="153"/>
      <c r="AE92" s="153"/>
      <c r="AF92" s="153"/>
      <c r="AG92" s="153"/>
      <c r="AH92" s="153"/>
      <c r="AI92" s="153"/>
      <c r="AJ92" s="153"/>
      <c r="AK92" s="153"/>
      <c r="AL92" s="153"/>
      <c r="AM92" s="153"/>
      <c r="AN92" s="153"/>
      <c r="AO92" s="153"/>
      <c r="AP92" s="153"/>
      <c r="AQ92" s="153"/>
      <c r="AR92" s="153"/>
    </row>
    <row r="93" spans="1:44" ht="15.75" customHeight="1">
      <c r="A93" s="153"/>
      <c r="B93" s="153"/>
      <c r="C93" s="152"/>
      <c r="D93" s="152"/>
      <c r="E93" s="153"/>
      <c r="F93" s="153"/>
      <c r="G93" s="153"/>
      <c r="H93" s="153"/>
      <c r="I93" s="153"/>
      <c r="J93" s="153"/>
      <c r="K93" s="153"/>
      <c r="L93" s="153"/>
      <c r="M93" s="153"/>
      <c r="N93" s="153"/>
      <c r="O93" s="153"/>
      <c r="P93" s="153"/>
      <c r="Q93" s="153"/>
      <c r="R93" s="153"/>
      <c r="S93" s="153"/>
      <c r="T93" s="153"/>
      <c r="U93" s="153"/>
      <c r="V93" s="153"/>
      <c r="W93" s="153"/>
      <c r="X93" s="153"/>
      <c r="Y93" s="153"/>
      <c r="Z93" s="153"/>
      <c r="AA93" s="153"/>
      <c r="AB93" s="153"/>
      <c r="AC93" s="153"/>
      <c r="AD93" s="153"/>
      <c r="AE93" s="153"/>
      <c r="AF93" s="153"/>
      <c r="AG93" s="153"/>
      <c r="AH93" s="153"/>
      <c r="AI93" s="153"/>
      <c r="AJ93" s="153"/>
      <c r="AK93" s="153"/>
      <c r="AL93" s="153"/>
      <c r="AM93" s="153"/>
      <c r="AN93" s="153"/>
      <c r="AO93" s="153"/>
      <c r="AP93" s="153"/>
      <c r="AQ93" s="153"/>
      <c r="AR93" s="153"/>
    </row>
    <row r="94" spans="1:44" ht="15.75" customHeight="1">
      <c r="A94" s="153"/>
      <c r="B94" s="153"/>
      <c r="C94" s="152"/>
      <c r="D94" s="152"/>
      <c r="E94" s="153"/>
      <c r="F94" s="153"/>
      <c r="G94" s="153"/>
      <c r="H94" s="153"/>
      <c r="I94" s="153"/>
      <c r="J94" s="153"/>
      <c r="K94" s="153"/>
      <c r="L94" s="153"/>
      <c r="M94" s="153"/>
      <c r="N94" s="153"/>
      <c r="O94" s="153"/>
      <c r="P94" s="153"/>
      <c r="Q94" s="153"/>
      <c r="R94" s="153"/>
      <c r="S94" s="153"/>
      <c r="T94" s="153"/>
      <c r="U94" s="153"/>
      <c r="V94" s="153"/>
      <c r="W94" s="153"/>
      <c r="X94" s="153"/>
      <c r="Y94" s="153"/>
      <c r="Z94" s="153"/>
      <c r="AA94" s="153"/>
      <c r="AB94" s="153"/>
      <c r="AC94" s="153"/>
      <c r="AD94" s="153"/>
      <c r="AE94" s="153"/>
      <c r="AF94" s="153"/>
      <c r="AG94" s="153"/>
      <c r="AH94" s="153"/>
      <c r="AI94" s="153"/>
      <c r="AJ94" s="153"/>
      <c r="AK94" s="153"/>
      <c r="AL94" s="153"/>
      <c r="AM94" s="153"/>
      <c r="AN94" s="153"/>
      <c r="AO94" s="153"/>
      <c r="AP94" s="153"/>
      <c r="AQ94" s="153"/>
      <c r="AR94" s="153"/>
    </row>
    <row r="95" spans="1:44" ht="15.75" customHeight="1">
      <c r="A95" s="153"/>
      <c r="B95" s="153"/>
      <c r="C95" s="152"/>
      <c r="D95" s="152"/>
      <c r="E95" s="153"/>
      <c r="F95" s="153"/>
      <c r="G95" s="153"/>
      <c r="H95" s="153"/>
      <c r="I95" s="153"/>
      <c r="J95" s="153"/>
      <c r="K95" s="153"/>
      <c r="L95" s="153"/>
      <c r="M95" s="153"/>
      <c r="N95" s="153"/>
      <c r="O95" s="153"/>
      <c r="P95" s="153"/>
      <c r="Q95" s="153"/>
      <c r="R95" s="153"/>
      <c r="S95" s="153"/>
      <c r="T95" s="153"/>
      <c r="U95" s="153"/>
      <c r="V95" s="153"/>
      <c r="W95" s="153"/>
      <c r="X95" s="153"/>
      <c r="Y95" s="153"/>
      <c r="Z95" s="153"/>
      <c r="AA95" s="153"/>
      <c r="AB95" s="153"/>
      <c r="AC95" s="153"/>
      <c r="AD95" s="153"/>
      <c r="AE95" s="153"/>
      <c r="AF95" s="153"/>
      <c r="AG95" s="153"/>
      <c r="AH95" s="153"/>
      <c r="AI95" s="153"/>
      <c r="AJ95" s="153"/>
      <c r="AK95" s="153"/>
      <c r="AL95" s="153"/>
      <c r="AM95" s="153"/>
      <c r="AN95" s="153"/>
      <c r="AO95" s="153"/>
      <c r="AP95" s="153"/>
      <c r="AQ95" s="153"/>
      <c r="AR95" s="153"/>
    </row>
    <row r="96" spans="1:44" ht="15.75" customHeight="1">
      <c r="A96" s="153"/>
      <c r="B96" s="153"/>
      <c r="C96" s="152"/>
      <c r="D96" s="152"/>
      <c r="E96" s="153"/>
      <c r="F96" s="153"/>
      <c r="G96" s="153"/>
      <c r="H96" s="153"/>
      <c r="I96" s="153"/>
      <c r="J96" s="153"/>
      <c r="K96" s="153"/>
      <c r="L96" s="153"/>
      <c r="M96" s="153"/>
      <c r="N96" s="153"/>
      <c r="O96" s="153"/>
      <c r="P96" s="153"/>
      <c r="Q96" s="153"/>
      <c r="R96" s="153"/>
      <c r="S96" s="153"/>
      <c r="T96" s="153"/>
      <c r="U96" s="153"/>
      <c r="V96" s="153"/>
      <c r="W96" s="153"/>
      <c r="X96" s="153"/>
      <c r="Y96" s="153"/>
      <c r="Z96" s="153"/>
      <c r="AA96" s="153"/>
      <c r="AB96" s="153"/>
      <c r="AC96" s="153"/>
      <c r="AD96" s="153"/>
      <c r="AE96" s="153"/>
      <c r="AF96" s="153"/>
      <c r="AG96" s="153"/>
      <c r="AH96" s="153"/>
      <c r="AI96" s="153"/>
      <c r="AJ96" s="153"/>
      <c r="AK96" s="153"/>
      <c r="AL96" s="153"/>
      <c r="AM96" s="153"/>
      <c r="AN96" s="153"/>
      <c r="AO96" s="153"/>
      <c r="AP96" s="153"/>
      <c r="AQ96" s="153"/>
      <c r="AR96" s="153"/>
    </row>
    <row r="97" spans="1:44" ht="15.75" customHeight="1">
      <c r="A97" s="153"/>
      <c r="B97" s="153"/>
      <c r="C97" s="152"/>
      <c r="D97" s="152"/>
      <c r="E97" s="153"/>
      <c r="F97" s="153"/>
      <c r="G97" s="153"/>
      <c r="H97" s="153"/>
      <c r="I97" s="153"/>
      <c r="J97" s="153"/>
      <c r="K97" s="153"/>
      <c r="L97" s="153"/>
      <c r="M97" s="153"/>
      <c r="N97" s="153"/>
      <c r="O97" s="153"/>
      <c r="P97" s="153"/>
      <c r="Q97" s="153"/>
      <c r="R97" s="153"/>
      <c r="S97" s="153"/>
      <c r="T97" s="153"/>
      <c r="U97" s="153"/>
      <c r="V97" s="153"/>
      <c r="W97" s="153"/>
      <c r="X97" s="153"/>
      <c r="Y97" s="153"/>
      <c r="Z97" s="153"/>
      <c r="AA97" s="153"/>
      <c r="AB97" s="153"/>
      <c r="AC97" s="153"/>
      <c r="AD97" s="153"/>
      <c r="AE97" s="153"/>
      <c r="AF97" s="153"/>
      <c r="AG97" s="153"/>
      <c r="AH97" s="153"/>
      <c r="AI97" s="153"/>
      <c r="AJ97" s="153"/>
      <c r="AK97" s="153"/>
      <c r="AL97" s="153"/>
      <c r="AM97" s="153"/>
      <c r="AN97" s="153"/>
      <c r="AO97" s="153"/>
      <c r="AP97" s="153"/>
      <c r="AQ97" s="153"/>
      <c r="AR97" s="153"/>
    </row>
    <row r="98" spans="1:44" ht="15.75" customHeight="1">
      <c r="A98" s="153"/>
      <c r="B98" s="153"/>
      <c r="C98" s="152"/>
      <c r="D98" s="152"/>
      <c r="E98" s="153"/>
      <c r="F98" s="153"/>
      <c r="G98" s="153"/>
      <c r="H98" s="153"/>
      <c r="I98" s="153"/>
      <c r="J98" s="153"/>
      <c r="K98" s="153"/>
      <c r="L98" s="153"/>
      <c r="M98" s="153"/>
      <c r="N98" s="153"/>
      <c r="O98" s="153"/>
      <c r="P98" s="153"/>
      <c r="Q98" s="153"/>
      <c r="R98" s="153"/>
      <c r="S98" s="153"/>
      <c r="T98" s="153"/>
      <c r="U98" s="153"/>
      <c r="V98" s="153"/>
      <c r="W98" s="153"/>
      <c r="X98" s="153"/>
      <c r="Y98" s="153"/>
      <c r="Z98" s="153"/>
      <c r="AA98" s="153"/>
      <c r="AB98" s="153"/>
      <c r="AC98" s="153"/>
      <c r="AD98" s="153"/>
      <c r="AE98" s="153"/>
      <c r="AF98" s="153"/>
      <c r="AG98" s="153"/>
      <c r="AH98" s="153"/>
      <c r="AI98" s="153"/>
      <c r="AJ98" s="153"/>
      <c r="AK98" s="153"/>
      <c r="AL98" s="153"/>
      <c r="AM98" s="153"/>
      <c r="AN98" s="153"/>
      <c r="AO98" s="153"/>
      <c r="AP98" s="153"/>
      <c r="AQ98" s="153"/>
      <c r="AR98" s="153"/>
    </row>
    <row r="99" spans="1:44" ht="15.75" customHeight="1">
      <c r="A99" s="153"/>
      <c r="B99" s="153"/>
      <c r="C99" s="152"/>
      <c r="D99" s="152"/>
      <c r="E99" s="153"/>
      <c r="F99" s="153"/>
      <c r="G99" s="153"/>
      <c r="H99" s="153"/>
      <c r="I99" s="153"/>
      <c r="J99" s="153"/>
      <c r="K99" s="153"/>
      <c r="L99" s="153"/>
      <c r="M99" s="153"/>
      <c r="N99" s="153"/>
      <c r="O99" s="153"/>
      <c r="P99" s="153"/>
      <c r="Q99" s="153"/>
      <c r="R99" s="153"/>
      <c r="S99" s="153"/>
      <c r="T99" s="153"/>
      <c r="U99" s="153"/>
      <c r="V99" s="153"/>
      <c r="W99" s="153"/>
      <c r="X99" s="153"/>
      <c r="Y99" s="153"/>
      <c r="Z99" s="153"/>
      <c r="AA99" s="153"/>
      <c r="AB99" s="153"/>
      <c r="AC99" s="153"/>
      <c r="AD99" s="153"/>
      <c r="AE99" s="153"/>
      <c r="AF99" s="153"/>
      <c r="AG99" s="153"/>
      <c r="AH99" s="153"/>
      <c r="AI99" s="153"/>
      <c r="AJ99" s="153"/>
      <c r="AK99" s="153"/>
      <c r="AL99" s="153"/>
      <c r="AM99" s="153"/>
      <c r="AN99" s="153"/>
      <c r="AO99" s="153"/>
      <c r="AP99" s="153"/>
      <c r="AQ99" s="153"/>
      <c r="AR99" s="153"/>
    </row>
    <row r="100" spans="1:44" ht="15.75" customHeight="1">
      <c r="A100" s="153"/>
      <c r="B100" s="153"/>
      <c r="C100" s="152"/>
      <c r="D100" s="152"/>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c r="AA100" s="153"/>
      <c r="AB100" s="153"/>
      <c r="AC100" s="153"/>
      <c r="AD100" s="153"/>
      <c r="AE100" s="153"/>
      <c r="AF100" s="153"/>
      <c r="AG100" s="153"/>
      <c r="AH100" s="153"/>
      <c r="AI100" s="153"/>
      <c r="AJ100" s="153"/>
      <c r="AK100" s="153"/>
      <c r="AL100" s="153"/>
      <c r="AM100" s="153"/>
      <c r="AN100" s="153"/>
      <c r="AO100" s="153"/>
      <c r="AP100" s="153"/>
      <c r="AQ100" s="153"/>
      <c r="AR100" s="153"/>
    </row>
    <row r="101" spans="1:44" ht="15.75" customHeight="1">
      <c r="A101" s="153"/>
      <c r="B101" s="153"/>
      <c r="C101" s="152"/>
      <c r="D101" s="152"/>
      <c r="E101" s="153"/>
      <c r="F101" s="153"/>
      <c r="G101" s="153"/>
      <c r="H101" s="153"/>
      <c r="I101" s="153"/>
      <c r="J101" s="153"/>
      <c r="K101" s="153"/>
      <c r="L101" s="153"/>
      <c r="M101" s="153"/>
      <c r="N101" s="153"/>
      <c r="O101" s="153"/>
      <c r="P101" s="153"/>
      <c r="Q101" s="153"/>
      <c r="R101" s="153"/>
      <c r="S101" s="153"/>
      <c r="T101" s="153"/>
      <c r="U101" s="153"/>
      <c r="V101" s="153"/>
      <c r="W101" s="153"/>
      <c r="X101" s="153"/>
      <c r="Y101" s="153"/>
      <c r="Z101" s="153"/>
      <c r="AA101" s="153"/>
      <c r="AB101" s="153"/>
      <c r="AC101" s="153"/>
      <c r="AD101" s="153"/>
      <c r="AE101" s="153"/>
      <c r="AF101" s="153"/>
      <c r="AG101" s="153"/>
      <c r="AH101" s="153"/>
      <c r="AI101" s="153"/>
      <c r="AJ101" s="153"/>
      <c r="AK101" s="153"/>
      <c r="AL101" s="153"/>
      <c r="AM101" s="153"/>
      <c r="AN101" s="153"/>
      <c r="AO101" s="153"/>
      <c r="AP101" s="153"/>
      <c r="AQ101" s="153"/>
      <c r="AR101" s="153"/>
    </row>
    <row r="102" spans="1:44" ht="15.75" customHeight="1">
      <c r="A102" s="153"/>
      <c r="B102" s="153"/>
      <c r="C102" s="152"/>
      <c r="D102" s="152"/>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c r="AA102" s="153"/>
      <c r="AB102" s="153"/>
      <c r="AC102" s="153"/>
      <c r="AD102" s="153"/>
      <c r="AE102" s="153"/>
      <c r="AF102" s="153"/>
      <c r="AG102" s="153"/>
      <c r="AH102" s="153"/>
      <c r="AI102" s="153"/>
      <c r="AJ102" s="153"/>
      <c r="AK102" s="153"/>
      <c r="AL102" s="153"/>
      <c r="AM102" s="153"/>
      <c r="AN102" s="153"/>
      <c r="AO102" s="153"/>
      <c r="AP102" s="153"/>
      <c r="AQ102" s="153"/>
      <c r="AR102" s="153"/>
    </row>
    <row r="103" spans="1:44" ht="15.75" customHeight="1">
      <c r="A103" s="153"/>
      <c r="B103" s="153"/>
      <c r="C103" s="152"/>
      <c r="D103" s="152"/>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c r="AA103" s="153"/>
      <c r="AB103" s="153"/>
      <c r="AC103" s="153"/>
      <c r="AD103" s="153"/>
      <c r="AE103" s="153"/>
      <c r="AF103" s="153"/>
      <c r="AG103" s="153"/>
      <c r="AH103" s="153"/>
      <c r="AI103" s="153"/>
      <c r="AJ103" s="153"/>
      <c r="AK103" s="153"/>
      <c r="AL103" s="153"/>
      <c r="AM103" s="153"/>
      <c r="AN103" s="153"/>
      <c r="AO103" s="153"/>
      <c r="AP103" s="153"/>
      <c r="AQ103" s="153"/>
      <c r="AR103" s="153"/>
    </row>
    <row r="104" spans="1:44" ht="15.75" customHeight="1">
      <c r="A104" s="153"/>
      <c r="B104" s="153"/>
      <c r="C104" s="152"/>
      <c r="D104" s="152"/>
      <c r="E104" s="153"/>
      <c r="F104" s="153"/>
      <c r="G104" s="153"/>
      <c r="H104" s="153"/>
      <c r="I104" s="153"/>
      <c r="J104" s="153"/>
      <c r="K104" s="153"/>
      <c r="L104" s="153"/>
      <c r="M104" s="153"/>
      <c r="N104" s="153"/>
      <c r="O104" s="153"/>
      <c r="P104" s="153"/>
      <c r="Q104" s="153"/>
      <c r="R104" s="153"/>
      <c r="S104" s="153"/>
      <c r="T104" s="153"/>
      <c r="U104" s="153"/>
      <c r="V104" s="153"/>
      <c r="W104" s="153"/>
      <c r="X104" s="153"/>
      <c r="Y104" s="153"/>
      <c r="Z104" s="153"/>
      <c r="AA104" s="153"/>
      <c r="AB104" s="153"/>
      <c r="AC104" s="153"/>
      <c r="AD104" s="153"/>
      <c r="AE104" s="153"/>
      <c r="AF104" s="153"/>
      <c r="AG104" s="153"/>
      <c r="AH104" s="153"/>
      <c r="AI104" s="153"/>
      <c r="AJ104" s="153"/>
      <c r="AK104" s="153"/>
      <c r="AL104" s="153"/>
      <c r="AM104" s="153"/>
      <c r="AN104" s="153"/>
      <c r="AO104" s="153"/>
      <c r="AP104" s="153"/>
      <c r="AQ104" s="153"/>
      <c r="AR104" s="153"/>
    </row>
    <row r="105" spans="1:44" ht="15.75" customHeight="1">
      <c r="A105" s="153"/>
      <c r="B105" s="153"/>
      <c r="C105" s="152"/>
      <c r="D105" s="152"/>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c r="AA105" s="153"/>
      <c r="AB105" s="153"/>
      <c r="AC105" s="153"/>
      <c r="AD105" s="153"/>
      <c r="AE105" s="153"/>
      <c r="AF105" s="153"/>
      <c r="AG105" s="153"/>
      <c r="AH105" s="153"/>
      <c r="AI105" s="153"/>
      <c r="AJ105" s="153"/>
      <c r="AK105" s="153"/>
      <c r="AL105" s="153"/>
      <c r="AM105" s="153"/>
      <c r="AN105" s="153"/>
      <c r="AO105" s="153"/>
      <c r="AP105" s="153"/>
      <c r="AQ105" s="153"/>
      <c r="AR105" s="153"/>
    </row>
    <row r="106" spans="1:44" ht="15.75" customHeight="1">
      <c r="A106" s="153"/>
      <c r="B106" s="153"/>
      <c r="C106" s="152"/>
      <c r="D106" s="152"/>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c r="AA106" s="153"/>
      <c r="AB106" s="153"/>
      <c r="AC106" s="153"/>
      <c r="AD106" s="153"/>
      <c r="AE106" s="153"/>
      <c r="AF106" s="153"/>
      <c r="AG106" s="153"/>
      <c r="AH106" s="153"/>
      <c r="AI106" s="153"/>
      <c r="AJ106" s="153"/>
      <c r="AK106" s="153"/>
      <c r="AL106" s="153"/>
      <c r="AM106" s="153"/>
      <c r="AN106" s="153"/>
      <c r="AO106" s="153"/>
      <c r="AP106" s="153"/>
      <c r="AQ106" s="153"/>
      <c r="AR106" s="153"/>
    </row>
    <row r="107" spans="1:44" ht="15.75" customHeight="1">
      <c r="A107" s="153"/>
      <c r="B107" s="153"/>
      <c r="C107" s="152"/>
      <c r="D107" s="152"/>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c r="AA107" s="153"/>
      <c r="AB107" s="153"/>
      <c r="AC107" s="153"/>
      <c r="AD107" s="153"/>
      <c r="AE107" s="153"/>
      <c r="AF107" s="153"/>
      <c r="AG107" s="153"/>
      <c r="AH107" s="153"/>
      <c r="AI107" s="153"/>
      <c r="AJ107" s="153"/>
      <c r="AK107" s="153"/>
      <c r="AL107" s="153"/>
      <c r="AM107" s="153"/>
      <c r="AN107" s="153"/>
      <c r="AO107" s="153"/>
      <c r="AP107" s="153"/>
      <c r="AQ107" s="153"/>
      <c r="AR107" s="153"/>
    </row>
    <row r="108" spans="1:44" ht="15.75" customHeight="1">
      <c r="A108" s="153"/>
      <c r="B108" s="153"/>
      <c r="C108" s="152"/>
      <c r="D108" s="152"/>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c r="AA108" s="153"/>
      <c r="AB108" s="153"/>
      <c r="AC108" s="153"/>
      <c r="AD108" s="153"/>
      <c r="AE108" s="153"/>
      <c r="AF108" s="153"/>
      <c r="AG108" s="153"/>
      <c r="AH108" s="153"/>
      <c r="AI108" s="153"/>
      <c r="AJ108" s="153"/>
      <c r="AK108" s="153"/>
      <c r="AL108" s="153"/>
      <c r="AM108" s="153"/>
      <c r="AN108" s="153"/>
      <c r="AO108" s="153"/>
      <c r="AP108" s="153"/>
      <c r="AQ108" s="153"/>
      <c r="AR108" s="153"/>
    </row>
    <row r="109" spans="1:44" ht="15.75" customHeight="1">
      <c r="A109" s="153"/>
      <c r="B109" s="153"/>
      <c r="C109" s="152"/>
      <c r="D109" s="152"/>
      <c r="E109" s="153"/>
      <c r="F109" s="153"/>
      <c r="G109" s="153"/>
      <c r="H109" s="153"/>
      <c r="I109" s="153"/>
      <c r="J109" s="153"/>
      <c r="K109" s="153"/>
      <c r="L109" s="153"/>
      <c r="M109" s="153"/>
      <c r="N109" s="153"/>
      <c r="O109" s="153"/>
      <c r="P109" s="153"/>
      <c r="Q109" s="153"/>
      <c r="R109" s="153"/>
      <c r="S109" s="153"/>
      <c r="T109" s="153"/>
      <c r="U109" s="153"/>
      <c r="V109" s="153"/>
      <c r="W109" s="153"/>
      <c r="X109" s="153"/>
      <c r="Y109" s="153"/>
      <c r="Z109" s="153"/>
      <c r="AA109" s="153"/>
      <c r="AB109" s="153"/>
      <c r="AC109" s="153"/>
      <c r="AD109" s="153"/>
      <c r="AE109" s="153"/>
      <c r="AF109" s="153"/>
      <c r="AG109" s="153"/>
      <c r="AH109" s="153"/>
      <c r="AI109" s="153"/>
      <c r="AJ109" s="153"/>
      <c r="AK109" s="153"/>
      <c r="AL109" s="153"/>
      <c r="AM109" s="153"/>
      <c r="AN109" s="153"/>
      <c r="AO109" s="153"/>
      <c r="AP109" s="153"/>
      <c r="AQ109" s="153"/>
      <c r="AR109" s="153"/>
    </row>
    <row r="110" spans="1:44" ht="15.75" customHeight="1">
      <c r="A110" s="153"/>
      <c r="B110" s="153"/>
      <c r="C110" s="152"/>
      <c r="D110" s="152"/>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row>
    <row r="111" spans="1:44" ht="15.75" customHeight="1">
      <c r="A111" s="153"/>
      <c r="B111" s="153"/>
      <c r="C111" s="152"/>
      <c r="D111" s="152"/>
      <c r="E111" s="153"/>
      <c r="F111" s="153"/>
      <c r="G111" s="153"/>
      <c r="H111" s="153"/>
      <c r="I111" s="153"/>
      <c r="J111" s="153"/>
      <c r="K111" s="153"/>
      <c r="L111" s="153"/>
      <c r="M111" s="153"/>
      <c r="N111" s="153"/>
      <c r="O111" s="153"/>
      <c r="P111" s="153"/>
      <c r="Q111" s="153"/>
      <c r="R111" s="153"/>
      <c r="S111" s="153"/>
      <c r="T111" s="153"/>
      <c r="U111" s="153"/>
      <c r="V111" s="153"/>
      <c r="W111" s="153"/>
      <c r="X111" s="153"/>
      <c r="Y111" s="153"/>
      <c r="Z111" s="153"/>
      <c r="AA111" s="153"/>
      <c r="AB111" s="153"/>
      <c r="AC111" s="153"/>
      <c r="AD111" s="153"/>
      <c r="AE111" s="153"/>
      <c r="AF111" s="153"/>
      <c r="AG111" s="153"/>
      <c r="AH111" s="153"/>
      <c r="AI111" s="153"/>
      <c r="AJ111" s="153"/>
      <c r="AK111" s="153"/>
      <c r="AL111" s="153"/>
      <c r="AM111" s="153"/>
      <c r="AN111" s="153"/>
      <c r="AO111" s="153"/>
      <c r="AP111" s="153"/>
      <c r="AQ111" s="153"/>
      <c r="AR111" s="153"/>
    </row>
    <row r="112" spans="1:44" ht="15.75" customHeight="1">
      <c r="A112" s="153"/>
      <c r="B112" s="153"/>
      <c r="C112" s="152"/>
      <c r="D112" s="152"/>
      <c r="E112" s="153"/>
      <c r="F112" s="153"/>
      <c r="G112" s="153"/>
      <c r="H112" s="153"/>
      <c r="I112" s="153"/>
      <c r="J112" s="153"/>
      <c r="K112" s="153"/>
      <c r="L112" s="153"/>
      <c r="M112" s="153"/>
      <c r="N112" s="153"/>
      <c r="O112" s="153"/>
      <c r="P112" s="153"/>
      <c r="Q112" s="153"/>
      <c r="R112" s="153"/>
      <c r="S112" s="153"/>
      <c r="T112" s="153"/>
      <c r="U112" s="153"/>
      <c r="V112" s="153"/>
      <c r="W112" s="153"/>
      <c r="X112" s="153"/>
      <c r="Y112" s="153"/>
      <c r="Z112" s="153"/>
      <c r="AA112" s="153"/>
      <c r="AB112" s="153"/>
      <c r="AC112" s="153"/>
      <c r="AD112" s="153"/>
      <c r="AE112" s="153"/>
      <c r="AF112" s="153"/>
      <c r="AG112" s="153"/>
      <c r="AH112" s="153"/>
      <c r="AI112" s="153"/>
      <c r="AJ112" s="153"/>
      <c r="AK112" s="153"/>
      <c r="AL112" s="153"/>
      <c r="AM112" s="153"/>
      <c r="AN112" s="153"/>
      <c r="AO112" s="153"/>
      <c r="AP112" s="153"/>
      <c r="AQ112" s="153"/>
      <c r="AR112" s="153"/>
    </row>
    <row r="113" spans="1:44" ht="15.75" customHeight="1">
      <c r="A113" s="153"/>
      <c r="B113" s="153"/>
      <c r="C113" s="152"/>
      <c r="D113" s="152"/>
      <c r="E113" s="153"/>
      <c r="F113" s="153"/>
      <c r="G113" s="153"/>
      <c r="H113" s="153"/>
      <c r="I113" s="153"/>
      <c r="J113" s="153"/>
      <c r="K113" s="153"/>
      <c r="L113" s="153"/>
      <c r="M113" s="153"/>
      <c r="N113" s="153"/>
      <c r="O113" s="153"/>
      <c r="P113" s="153"/>
      <c r="Q113" s="153"/>
      <c r="R113" s="153"/>
      <c r="S113" s="153"/>
      <c r="T113" s="153"/>
      <c r="U113" s="153"/>
      <c r="V113" s="153"/>
      <c r="W113" s="153"/>
      <c r="X113" s="153"/>
      <c r="Y113" s="153"/>
      <c r="Z113" s="153"/>
      <c r="AA113" s="153"/>
      <c r="AB113" s="153"/>
      <c r="AC113" s="153"/>
      <c r="AD113" s="153"/>
      <c r="AE113" s="153"/>
      <c r="AF113" s="153"/>
      <c r="AG113" s="153"/>
      <c r="AH113" s="153"/>
      <c r="AI113" s="153"/>
      <c r="AJ113" s="153"/>
      <c r="AK113" s="153"/>
      <c r="AL113" s="153"/>
      <c r="AM113" s="153"/>
      <c r="AN113" s="153"/>
      <c r="AO113" s="153"/>
      <c r="AP113" s="153"/>
      <c r="AQ113" s="153"/>
      <c r="AR113" s="153"/>
    </row>
    <row r="114" spans="1:44" ht="15.75" customHeight="1">
      <c r="A114" s="153"/>
      <c r="B114" s="153"/>
      <c r="C114" s="152"/>
      <c r="D114" s="152"/>
      <c r="E114" s="153"/>
      <c r="F114" s="153"/>
      <c r="G114" s="153"/>
      <c r="H114" s="153"/>
      <c r="I114" s="153"/>
      <c r="J114" s="153"/>
      <c r="K114" s="153"/>
      <c r="L114" s="153"/>
      <c r="M114" s="153"/>
      <c r="N114" s="153"/>
      <c r="O114" s="153"/>
      <c r="P114" s="153"/>
      <c r="Q114" s="153"/>
      <c r="R114" s="153"/>
      <c r="S114" s="153"/>
      <c r="T114" s="153"/>
      <c r="U114" s="153"/>
      <c r="V114" s="153"/>
      <c r="W114" s="153"/>
      <c r="X114" s="153"/>
      <c r="Y114" s="153"/>
      <c r="Z114" s="153"/>
      <c r="AA114" s="153"/>
      <c r="AB114" s="153"/>
      <c r="AC114" s="153"/>
      <c r="AD114" s="153"/>
      <c r="AE114" s="153"/>
      <c r="AF114" s="153"/>
      <c r="AG114" s="153"/>
      <c r="AH114" s="153"/>
      <c r="AI114" s="153"/>
      <c r="AJ114" s="153"/>
      <c r="AK114" s="153"/>
      <c r="AL114" s="153"/>
      <c r="AM114" s="153"/>
      <c r="AN114" s="153"/>
      <c r="AO114" s="153"/>
      <c r="AP114" s="153"/>
      <c r="AQ114" s="153"/>
      <c r="AR114" s="153"/>
    </row>
    <row r="115" spans="1:44" ht="15.75" customHeight="1">
      <c r="A115" s="153"/>
      <c r="B115" s="153"/>
      <c r="C115" s="152"/>
      <c r="D115" s="152"/>
      <c r="E115" s="153"/>
      <c r="F115" s="153"/>
      <c r="G115" s="153"/>
      <c r="H115" s="153"/>
      <c r="I115" s="153"/>
      <c r="J115" s="153"/>
      <c r="K115" s="153"/>
      <c r="L115" s="153"/>
      <c r="M115" s="153"/>
      <c r="N115" s="153"/>
      <c r="O115" s="153"/>
      <c r="P115" s="153"/>
      <c r="Q115" s="153"/>
      <c r="R115" s="153"/>
      <c r="S115" s="153"/>
      <c r="T115" s="153"/>
      <c r="U115" s="153"/>
      <c r="V115" s="153"/>
      <c r="W115" s="153"/>
      <c r="X115" s="153"/>
      <c r="Y115" s="153"/>
      <c r="Z115" s="153"/>
      <c r="AA115" s="153"/>
      <c r="AB115" s="153"/>
      <c r="AC115" s="153"/>
      <c r="AD115" s="153"/>
      <c r="AE115" s="153"/>
      <c r="AF115" s="153"/>
      <c r="AG115" s="153"/>
      <c r="AH115" s="153"/>
      <c r="AI115" s="153"/>
      <c r="AJ115" s="153"/>
      <c r="AK115" s="153"/>
      <c r="AL115" s="153"/>
      <c r="AM115" s="153"/>
      <c r="AN115" s="153"/>
      <c r="AO115" s="153"/>
      <c r="AP115" s="153"/>
      <c r="AQ115" s="153"/>
      <c r="AR115" s="153"/>
    </row>
    <row r="116" spans="1:44" ht="15.75" customHeight="1">
      <c r="A116" s="153"/>
      <c r="B116" s="153"/>
      <c r="C116" s="152"/>
      <c r="D116" s="152"/>
      <c r="E116" s="153"/>
      <c r="F116" s="153"/>
      <c r="G116" s="153"/>
      <c r="H116" s="153"/>
      <c r="I116" s="153"/>
      <c r="J116" s="153"/>
      <c r="K116" s="153"/>
      <c r="L116" s="153"/>
      <c r="M116" s="153"/>
      <c r="N116" s="153"/>
      <c r="O116" s="153"/>
      <c r="P116" s="153"/>
      <c r="Q116" s="153"/>
      <c r="R116" s="153"/>
      <c r="S116" s="153"/>
      <c r="T116" s="153"/>
      <c r="U116" s="153"/>
      <c r="V116" s="153"/>
      <c r="W116" s="153"/>
      <c r="X116" s="153"/>
      <c r="Y116" s="153"/>
      <c r="Z116" s="153"/>
      <c r="AA116" s="153"/>
      <c r="AB116" s="153"/>
      <c r="AC116" s="153"/>
      <c r="AD116" s="153"/>
      <c r="AE116" s="153"/>
      <c r="AF116" s="153"/>
      <c r="AG116" s="153"/>
      <c r="AH116" s="153"/>
      <c r="AI116" s="153"/>
      <c r="AJ116" s="153"/>
      <c r="AK116" s="153"/>
      <c r="AL116" s="153"/>
      <c r="AM116" s="153"/>
      <c r="AN116" s="153"/>
      <c r="AO116" s="153"/>
      <c r="AP116" s="153"/>
      <c r="AQ116" s="153"/>
      <c r="AR116" s="153"/>
    </row>
    <row r="117" spans="1:44" ht="15.75" customHeight="1">
      <c r="A117" s="153"/>
      <c r="B117" s="153"/>
      <c r="C117" s="152"/>
      <c r="D117" s="152"/>
      <c r="E117" s="153"/>
      <c r="F117" s="153"/>
      <c r="G117" s="153"/>
      <c r="H117" s="153"/>
      <c r="I117" s="153"/>
      <c r="J117" s="153"/>
      <c r="K117" s="153"/>
      <c r="L117" s="153"/>
      <c r="M117" s="153"/>
      <c r="N117" s="153"/>
      <c r="O117" s="153"/>
      <c r="P117" s="153"/>
      <c r="Q117" s="153"/>
      <c r="R117" s="153"/>
      <c r="S117" s="153"/>
      <c r="T117" s="153"/>
      <c r="U117" s="153"/>
      <c r="V117" s="153"/>
      <c r="W117" s="153"/>
      <c r="X117" s="153"/>
      <c r="Y117" s="153"/>
      <c r="Z117" s="153"/>
      <c r="AA117" s="153"/>
      <c r="AB117" s="153"/>
      <c r="AC117" s="153"/>
      <c r="AD117" s="153"/>
      <c r="AE117" s="153"/>
      <c r="AF117" s="153"/>
      <c r="AG117" s="153"/>
      <c r="AH117" s="153"/>
      <c r="AI117" s="153"/>
      <c r="AJ117" s="153"/>
      <c r="AK117" s="153"/>
      <c r="AL117" s="153"/>
      <c r="AM117" s="153"/>
      <c r="AN117" s="153"/>
      <c r="AO117" s="153"/>
      <c r="AP117" s="153"/>
      <c r="AQ117" s="153"/>
      <c r="AR117" s="153"/>
    </row>
    <row r="118" spans="1:44" ht="15.75" customHeight="1">
      <c r="A118" s="153"/>
      <c r="B118" s="153"/>
      <c r="C118" s="152"/>
      <c r="D118" s="152"/>
      <c r="E118" s="153"/>
      <c r="F118" s="153"/>
      <c r="G118" s="153"/>
      <c r="H118" s="153"/>
      <c r="I118" s="153"/>
      <c r="J118" s="153"/>
      <c r="K118" s="153"/>
      <c r="L118" s="153"/>
      <c r="M118" s="153"/>
      <c r="N118" s="153"/>
      <c r="O118" s="153"/>
      <c r="P118" s="153"/>
      <c r="Q118" s="153"/>
      <c r="R118" s="153"/>
      <c r="S118" s="153"/>
      <c r="T118" s="153"/>
      <c r="U118" s="153"/>
      <c r="V118" s="153"/>
      <c r="W118" s="153"/>
      <c r="X118" s="153"/>
      <c r="Y118" s="153"/>
      <c r="Z118" s="153"/>
      <c r="AA118" s="153"/>
      <c r="AB118" s="153"/>
      <c r="AC118" s="153"/>
      <c r="AD118" s="153"/>
      <c r="AE118" s="153"/>
      <c r="AF118" s="153"/>
      <c r="AG118" s="153"/>
      <c r="AH118" s="153"/>
      <c r="AI118" s="153"/>
      <c r="AJ118" s="153"/>
      <c r="AK118" s="153"/>
      <c r="AL118" s="153"/>
      <c r="AM118" s="153"/>
      <c r="AN118" s="153"/>
      <c r="AO118" s="153"/>
      <c r="AP118" s="153"/>
      <c r="AQ118" s="153"/>
      <c r="AR118" s="153"/>
    </row>
    <row r="119" spans="1:44" ht="15.75" customHeight="1">
      <c r="A119" s="153"/>
      <c r="B119" s="153"/>
      <c r="C119" s="152"/>
      <c r="D119" s="152"/>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c r="AA119" s="153"/>
      <c r="AB119" s="153"/>
      <c r="AC119" s="153"/>
      <c r="AD119" s="153"/>
      <c r="AE119" s="153"/>
      <c r="AF119" s="153"/>
      <c r="AG119" s="153"/>
      <c r="AH119" s="153"/>
      <c r="AI119" s="153"/>
      <c r="AJ119" s="153"/>
      <c r="AK119" s="153"/>
      <c r="AL119" s="153"/>
      <c r="AM119" s="153"/>
      <c r="AN119" s="153"/>
      <c r="AO119" s="153"/>
      <c r="AP119" s="153"/>
      <c r="AQ119" s="153"/>
      <c r="AR119" s="153"/>
    </row>
    <row r="120" spans="1:44" ht="15.75" customHeight="1">
      <c r="A120" s="153"/>
      <c r="B120" s="153"/>
      <c r="C120" s="152"/>
      <c r="D120" s="152"/>
      <c r="E120" s="153"/>
      <c r="F120" s="153"/>
      <c r="G120" s="153"/>
      <c r="H120" s="153"/>
      <c r="I120" s="153"/>
      <c r="J120" s="153"/>
      <c r="K120" s="153"/>
      <c r="L120" s="153"/>
      <c r="M120" s="153"/>
      <c r="N120" s="153"/>
      <c r="O120" s="153"/>
      <c r="P120" s="153"/>
      <c r="Q120" s="153"/>
      <c r="R120" s="153"/>
      <c r="S120" s="153"/>
      <c r="T120" s="153"/>
      <c r="U120" s="153"/>
      <c r="V120" s="153"/>
      <c r="W120" s="153"/>
      <c r="X120" s="153"/>
      <c r="Y120" s="153"/>
      <c r="Z120" s="153"/>
      <c r="AA120" s="153"/>
      <c r="AB120" s="153"/>
      <c r="AC120" s="153"/>
      <c r="AD120" s="153"/>
      <c r="AE120" s="153"/>
      <c r="AF120" s="153"/>
      <c r="AG120" s="153"/>
      <c r="AH120" s="153"/>
      <c r="AI120" s="153"/>
      <c r="AJ120" s="153"/>
      <c r="AK120" s="153"/>
      <c r="AL120" s="153"/>
      <c r="AM120" s="153"/>
      <c r="AN120" s="153"/>
      <c r="AO120" s="153"/>
      <c r="AP120" s="153"/>
      <c r="AQ120" s="153"/>
      <c r="AR120" s="153"/>
    </row>
    <row r="121" spans="1:44" ht="15.75" customHeight="1">
      <c r="A121" s="153"/>
      <c r="B121" s="153"/>
      <c r="C121" s="152"/>
      <c r="D121" s="152"/>
      <c r="E121" s="153"/>
      <c r="F121" s="153"/>
      <c r="G121" s="153"/>
      <c r="H121" s="153"/>
      <c r="I121" s="153"/>
      <c r="J121" s="153"/>
      <c r="K121" s="153"/>
      <c r="L121" s="153"/>
      <c r="M121" s="153"/>
      <c r="N121" s="153"/>
      <c r="O121" s="153"/>
      <c r="P121" s="153"/>
      <c r="Q121" s="153"/>
      <c r="R121" s="153"/>
      <c r="S121" s="153"/>
      <c r="T121" s="153"/>
      <c r="U121" s="153"/>
      <c r="V121" s="153"/>
      <c r="W121" s="153"/>
      <c r="X121" s="153"/>
      <c r="Y121" s="153"/>
      <c r="Z121" s="153"/>
      <c r="AA121" s="153"/>
      <c r="AB121" s="153"/>
      <c r="AC121" s="153"/>
      <c r="AD121" s="153"/>
      <c r="AE121" s="153"/>
      <c r="AF121" s="153"/>
      <c r="AG121" s="153"/>
      <c r="AH121" s="153"/>
      <c r="AI121" s="153"/>
      <c r="AJ121" s="153"/>
      <c r="AK121" s="153"/>
      <c r="AL121" s="153"/>
      <c r="AM121" s="153"/>
      <c r="AN121" s="153"/>
      <c r="AO121" s="153"/>
      <c r="AP121" s="153"/>
      <c r="AQ121" s="153"/>
      <c r="AR121" s="153"/>
    </row>
    <row r="122" spans="1:44" ht="15.75" customHeight="1">
      <c r="A122" s="153"/>
      <c r="B122" s="153"/>
      <c r="C122" s="152"/>
      <c r="D122" s="152"/>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c r="AA122" s="153"/>
      <c r="AB122" s="153"/>
      <c r="AC122" s="153"/>
      <c r="AD122" s="153"/>
      <c r="AE122" s="153"/>
      <c r="AF122" s="153"/>
      <c r="AG122" s="153"/>
      <c r="AH122" s="153"/>
      <c r="AI122" s="153"/>
      <c r="AJ122" s="153"/>
      <c r="AK122" s="153"/>
      <c r="AL122" s="153"/>
      <c r="AM122" s="153"/>
      <c r="AN122" s="153"/>
      <c r="AO122" s="153"/>
      <c r="AP122" s="153"/>
      <c r="AQ122" s="153"/>
      <c r="AR122" s="153"/>
    </row>
    <row r="123" spans="1:44" ht="15.75" customHeight="1">
      <c r="A123" s="153"/>
      <c r="B123" s="153"/>
      <c r="C123" s="152"/>
      <c r="D123" s="152"/>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c r="AA123" s="153"/>
      <c r="AB123" s="153"/>
      <c r="AC123" s="153"/>
      <c r="AD123" s="153"/>
      <c r="AE123" s="153"/>
      <c r="AF123" s="153"/>
      <c r="AG123" s="153"/>
      <c r="AH123" s="153"/>
      <c r="AI123" s="153"/>
      <c r="AJ123" s="153"/>
      <c r="AK123" s="153"/>
      <c r="AL123" s="153"/>
      <c r="AM123" s="153"/>
      <c r="AN123" s="153"/>
      <c r="AO123" s="153"/>
      <c r="AP123" s="153"/>
      <c r="AQ123" s="153"/>
      <c r="AR123" s="153"/>
    </row>
    <row r="124" spans="1:44" ht="15.75" customHeight="1">
      <c r="A124" s="153"/>
      <c r="B124" s="153"/>
      <c r="C124" s="152"/>
      <c r="D124" s="152"/>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c r="AA124" s="153"/>
      <c r="AB124" s="153"/>
      <c r="AC124" s="153"/>
      <c r="AD124" s="153"/>
      <c r="AE124" s="153"/>
      <c r="AF124" s="153"/>
      <c r="AG124" s="153"/>
      <c r="AH124" s="153"/>
      <c r="AI124" s="153"/>
      <c r="AJ124" s="153"/>
      <c r="AK124" s="153"/>
      <c r="AL124" s="153"/>
      <c r="AM124" s="153"/>
      <c r="AN124" s="153"/>
      <c r="AO124" s="153"/>
      <c r="AP124" s="153"/>
      <c r="AQ124" s="153"/>
      <c r="AR124" s="153"/>
    </row>
    <row r="125" spans="1:44" ht="15.75" customHeight="1">
      <c r="A125" s="153"/>
      <c r="B125" s="153"/>
      <c r="C125" s="152"/>
      <c r="D125" s="152"/>
      <c r="E125" s="153"/>
      <c r="F125" s="153"/>
      <c r="G125" s="153"/>
      <c r="H125" s="153"/>
      <c r="I125" s="153"/>
      <c r="J125" s="153"/>
      <c r="K125" s="153"/>
      <c r="L125" s="153"/>
      <c r="M125" s="153"/>
      <c r="N125" s="153"/>
      <c r="O125" s="153"/>
      <c r="P125" s="153"/>
      <c r="Q125" s="153"/>
      <c r="R125" s="153"/>
      <c r="S125" s="153"/>
      <c r="T125" s="153"/>
      <c r="U125" s="153"/>
      <c r="V125" s="153"/>
      <c r="W125" s="153"/>
      <c r="X125" s="153"/>
      <c r="Y125" s="153"/>
      <c r="Z125" s="153"/>
      <c r="AA125" s="153"/>
      <c r="AB125" s="153"/>
      <c r="AC125" s="153"/>
      <c r="AD125" s="153"/>
      <c r="AE125" s="153"/>
      <c r="AF125" s="153"/>
      <c r="AG125" s="153"/>
      <c r="AH125" s="153"/>
      <c r="AI125" s="153"/>
      <c r="AJ125" s="153"/>
      <c r="AK125" s="153"/>
      <c r="AL125" s="153"/>
      <c r="AM125" s="153"/>
      <c r="AN125" s="153"/>
      <c r="AO125" s="153"/>
      <c r="AP125" s="153"/>
      <c r="AQ125" s="153"/>
      <c r="AR125" s="153"/>
    </row>
    <row r="126" spans="1:44" ht="15.75" customHeight="1">
      <c r="A126" s="153"/>
      <c r="B126" s="153"/>
      <c r="C126" s="152"/>
      <c r="D126" s="152"/>
      <c r="E126" s="153"/>
      <c r="F126" s="153"/>
      <c r="G126" s="153"/>
      <c r="H126" s="153"/>
      <c r="I126" s="153"/>
      <c r="J126" s="153"/>
      <c r="K126" s="153"/>
      <c r="L126" s="153"/>
      <c r="M126" s="153"/>
      <c r="N126" s="153"/>
      <c r="O126" s="153"/>
      <c r="P126" s="153"/>
      <c r="Q126" s="153"/>
      <c r="R126" s="153"/>
      <c r="S126" s="153"/>
      <c r="T126" s="153"/>
      <c r="U126" s="153"/>
      <c r="V126" s="153"/>
      <c r="W126" s="153"/>
      <c r="X126" s="153"/>
      <c r="Y126" s="153"/>
      <c r="Z126" s="153"/>
      <c r="AA126" s="153"/>
      <c r="AB126" s="153"/>
      <c r="AC126" s="153"/>
      <c r="AD126" s="153"/>
      <c r="AE126" s="153"/>
      <c r="AF126" s="153"/>
      <c r="AG126" s="153"/>
      <c r="AH126" s="153"/>
      <c r="AI126" s="153"/>
      <c r="AJ126" s="153"/>
      <c r="AK126" s="153"/>
      <c r="AL126" s="153"/>
      <c r="AM126" s="153"/>
      <c r="AN126" s="153"/>
      <c r="AO126" s="153"/>
      <c r="AP126" s="153"/>
      <c r="AQ126" s="153"/>
      <c r="AR126" s="153"/>
    </row>
    <row r="127" spans="1:44" ht="15.75" customHeight="1">
      <c r="A127" s="153"/>
      <c r="B127" s="153"/>
      <c r="C127" s="152"/>
      <c r="D127" s="152"/>
      <c r="E127" s="153"/>
      <c r="F127" s="153"/>
      <c r="G127" s="153"/>
      <c r="H127" s="153"/>
      <c r="I127" s="153"/>
      <c r="J127" s="153"/>
      <c r="K127" s="153"/>
      <c r="L127" s="153"/>
      <c r="M127" s="153"/>
      <c r="N127" s="153"/>
      <c r="O127" s="153"/>
      <c r="P127" s="153"/>
      <c r="Q127" s="153"/>
      <c r="R127" s="153"/>
      <c r="S127" s="153"/>
      <c r="T127" s="153"/>
      <c r="U127" s="153"/>
      <c r="V127" s="153"/>
      <c r="W127" s="153"/>
      <c r="X127" s="153"/>
      <c r="Y127" s="153"/>
      <c r="Z127" s="153"/>
      <c r="AA127" s="153"/>
      <c r="AB127" s="153"/>
      <c r="AC127" s="153"/>
      <c r="AD127" s="153"/>
      <c r="AE127" s="153"/>
      <c r="AF127" s="153"/>
      <c r="AG127" s="153"/>
      <c r="AH127" s="153"/>
      <c r="AI127" s="153"/>
      <c r="AJ127" s="153"/>
      <c r="AK127" s="153"/>
      <c r="AL127" s="153"/>
      <c r="AM127" s="153"/>
      <c r="AN127" s="153"/>
      <c r="AO127" s="153"/>
      <c r="AP127" s="153"/>
      <c r="AQ127" s="153"/>
      <c r="AR127" s="153"/>
    </row>
    <row r="128" spans="1:44" ht="15.75" customHeight="1">
      <c r="A128" s="153"/>
      <c r="B128" s="153"/>
      <c r="C128" s="152"/>
      <c r="D128" s="152"/>
      <c r="E128" s="153"/>
      <c r="F128" s="153"/>
      <c r="G128" s="153"/>
      <c r="H128" s="153"/>
      <c r="I128" s="153"/>
      <c r="J128" s="153"/>
      <c r="K128" s="153"/>
      <c r="L128" s="153"/>
      <c r="M128" s="153"/>
      <c r="N128" s="153"/>
      <c r="O128" s="153"/>
      <c r="P128" s="153"/>
      <c r="Q128" s="153"/>
      <c r="R128" s="153"/>
      <c r="S128" s="153"/>
      <c r="T128" s="153"/>
      <c r="U128" s="153"/>
      <c r="V128" s="153"/>
      <c r="W128" s="153"/>
      <c r="X128" s="153"/>
      <c r="Y128" s="153"/>
      <c r="Z128" s="153"/>
      <c r="AA128" s="153"/>
      <c r="AB128" s="153"/>
      <c r="AC128" s="153"/>
      <c r="AD128" s="153"/>
      <c r="AE128" s="153"/>
      <c r="AF128" s="153"/>
      <c r="AG128" s="153"/>
      <c r="AH128" s="153"/>
      <c r="AI128" s="153"/>
      <c r="AJ128" s="153"/>
      <c r="AK128" s="153"/>
      <c r="AL128" s="153"/>
      <c r="AM128" s="153"/>
      <c r="AN128" s="153"/>
      <c r="AO128" s="153"/>
      <c r="AP128" s="153"/>
      <c r="AQ128" s="153"/>
      <c r="AR128" s="153"/>
    </row>
    <row r="129" spans="1:44" ht="15.75" customHeight="1">
      <c r="A129" s="153"/>
      <c r="B129" s="153"/>
      <c r="C129" s="152"/>
      <c r="D129" s="152"/>
      <c r="E129" s="153"/>
      <c r="F129" s="153"/>
      <c r="G129" s="153"/>
      <c r="H129" s="153"/>
      <c r="I129" s="153"/>
      <c r="J129" s="153"/>
      <c r="K129" s="153"/>
      <c r="L129" s="153"/>
      <c r="M129" s="153"/>
      <c r="N129" s="153"/>
      <c r="O129" s="153"/>
      <c r="P129" s="153"/>
      <c r="Q129" s="153"/>
      <c r="R129" s="153"/>
      <c r="S129" s="153"/>
      <c r="T129" s="153"/>
      <c r="U129" s="153"/>
      <c r="V129" s="153"/>
      <c r="W129" s="153"/>
      <c r="X129" s="153"/>
      <c r="Y129" s="153"/>
      <c r="Z129" s="153"/>
      <c r="AA129" s="153"/>
      <c r="AB129" s="153"/>
      <c r="AC129" s="153"/>
      <c r="AD129" s="153"/>
      <c r="AE129" s="153"/>
      <c r="AF129" s="153"/>
      <c r="AG129" s="153"/>
      <c r="AH129" s="153"/>
      <c r="AI129" s="153"/>
      <c r="AJ129" s="153"/>
      <c r="AK129" s="153"/>
      <c r="AL129" s="153"/>
      <c r="AM129" s="153"/>
      <c r="AN129" s="153"/>
      <c r="AO129" s="153"/>
      <c r="AP129" s="153"/>
      <c r="AQ129" s="153"/>
      <c r="AR129" s="153"/>
    </row>
    <row r="130" spans="1:44" ht="15.75" customHeight="1">
      <c r="A130" s="153"/>
      <c r="B130" s="153"/>
      <c r="C130" s="152"/>
      <c r="D130" s="152"/>
      <c r="E130" s="153"/>
      <c r="F130" s="153"/>
      <c r="G130" s="153"/>
      <c r="H130" s="153"/>
      <c r="I130" s="153"/>
      <c r="J130" s="153"/>
      <c r="K130" s="153"/>
      <c r="L130" s="153"/>
      <c r="M130" s="153"/>
      <c r="N130" s="153"/>
      <c r="O130" s="153"/>
      <c r="P130" s="153"/>
      <c r="Q130" s="153"/>
      <c r="R130" s="153"/>
      <c r="S130" s="153"/>
      <c r="T130" s="153"/>
      <c r="U130" s="153"/>
      <c r="V130" s="153"/>
      <c r="W130" s="153"/>
      <c r="X130" s="153"/>
      <c r="Y130" s="153"/>
      <c r="Z130" s="153"/>
      <c r="AA130" s="153"/>
      <c r="AB130" s="153"/>
      <c r="AC130" s="153"/>
      <c r="AD130" s="153"/>
      <c r="AE130" s="153"/>
      <c r="AF130" s="153"/>
      <c r="AG130" s="153"/>
      <c r="AH130" s="153"/>
      <c r="AI130" s="153"/>
      <c r="AJ130" s="153"/>
      <c r="AK130" s="153"/>
      <c r="AL130" s="153"/>
      <c r="AM130" s="153"/>
      <c r="AN130" s="153"/>
      <c r="AO130" s="153"/>
      <c r="AP130" s="153"/>
      <c r="AQ130" s="153"/>
      <c r="AR130" s="153"/>
    </row>
    <row r="131" spans="1:44" ht="15.75" customHeight="1">
      <c r="A131" s="153"/>
      <c r="B131" s="153"/>
      <c r="C131" s="152"/>
      <c r="D131" s="152"/>
      <c r="E131" s="153"/>
      <c r="F131" s="153"/>
      <c r="G131" s="153"/>
      <c r="H131" s="153"/>
      <c r="I131" s="153"/>
      <c r="J131" s="153"/>
      <c r="K131" s="153"/>
      <c r="L131" s="153"/>
      <c r="M131" s="153"/>
      <c r="N131" s="153"/>
      <c r="O131" s="153"/>
      <c r="P131" s="153"/>
      <c r="Q131" s="153"/>
      <c r="R131" s="153"/>
      <c r="S131" s="153"/>
      <c r="T131" s="153"/>
      <c r="U131" s="153"/>
      <c r="V131" s="153"/>
      <c r="W131" s="153"/>
      <c r="X131" s="153"/>
      <c r="Y131" s="153"/>
      <c r="Z131" s="153"/>
      <c r="AA131" s="153"/>
      <c r="AB131" s="153"/>
      <c r="AC131" s="153"/>
      <c r="AD131" s="153"/>
      <c r="AE131" s="153"/>
      <c r="AF131" s="153"/>
      <c r="AG131" s="153"/>
      <c r="AH131" s="153"/>
      <c r="AI131" s="153"/>
      <c r="AJ131" s="153"/>
      <c r="AK131" s="153"/>
      <c r="AL131" s="153"/>
      <c r="AM131" s="153"/>
      <c r="AN131" s="153"/>
      <c r="AO131" s="153"/>
      <c r="AP131" s="153"/>
      <c r="AQ131" s="153"/>
      <c r="AR131" s="153"/>
    </row>
    <row r="132" spans="1:44" ht="15.75" customHeight="1">
      <c r="A132" s="153"/>
      <c r="B132" s="153"/>
      <c r="C132" s="152"/>
      <c r="D132" s="152"/>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c r="AA132" s="153"/>
      <c r="AB132" s="153"/>
      <c r="AC132" s="153"/>
      <c r="AD132" s="153"/>
      <c r="AE132" s="153"/>
      <c r="AF132" s="153"/>
      <c r="AG132" s="153"/>
      <c r="AH132" s="153"/>
      <c r="AI132" s="153"/>
      <c r="AJ132" s="153"/>
      <c r="AK132" s="153"/>
      <c r="AL132" s="153"/>
      <c r="AM132" s="153"/>
      <c r="AN132" s="153"/>
      <c r="AO132" s="153"/>
      <c r="AP132" s="153"/>
      <c r="AQ132" s="153"/>
      <c r="AR132" s="153"/>
    </row>
    <row r="133" spans="1:44" ht="15.75" customHeight="1">
      <c r="A133" s="153"/>
      <c r="B133" s="153"/>
      <c r="C133" s="152"/>
      <c r="D133" s="152"/>
      <c r="E133" s="153"/>
      <c r="F133" s="153"/>
      <c r="G133" s="153"/>
      <c r="H133" s="153"/>
      <c r="I133" s="153"/>
      <c r="J133" s="153"/>
      <c r="K133" s="153"/>
      <c r="L133" s="153"/>
      <c r="M133" s="153"/>
      <c r="N133" s="153"/>
      <c r="O133" s="153"/>
      <c r="P133" s="153"/>
      <c r="Q133" s="153"/>
      <c r="R133" s="153"/>
      <c r="S133" s="153"/>
      <c r="T133" s="153"/>
      <c r="U133" s="153"/>
      <c r="V133" s="153"/>
      <c r="W133" s="153"/>
      <c r="X133" s="153"/>
      <c r="Y133" s="153"/>
      <c r="Z133" s="153"/>
      <c r="AA133" s="153"/>
      <c r="AB133" s="153"/>
      <c r="AC133" s="153"/>
      <c r="AD133" s="153"/>
      <c r="AE133" s="153"/>
      <c r="AF133" s="153"/>
      <c r="AG133" s="153"/>
      <c r="AH133" s="153"/>
      <c r="AI133" s="153"/>
      <c r="AJ133" s="153"/>
      <c r="AK133" s="153"/>
      <c r="AL133" s="153"/>
      <c r="AM133" s="153"/>
      <c r="AN133" s="153"/>
      <c r="AO133" s="153"/>
      <c r="AP133" s="153"/>
      <c r="AQ133" s="153"/>
      <c r="AR133" s="153"/>
    </row>
    <row r="134" spans="1:44" ht="15.75" customHeight="1">
      <c r="A134" s="153"/>
      <c r="B134" s="153"/>
      <c r="C134" s="152"/>
      <c r="D134" s="152"/>
      <c r="E134" s="153"/>
      <c r="F134" s="153"/>
      <c r="G134" s="153"/>
      <c r="H134" s="153"/>
      <c r="I134" s="153"/>
      <c r="J134" s="153"/>
      <c r="K134" s="153"/>
      <c r="L134" s="153"/>
      <c r="M134" s="153"/>
      <c r="N134" s="153"/>
      <c r="O134" s="153"/>
      <c r="P134" s="153"/>
      <c r="Q134" s="153"/>
      <c r="R134" s="153"/>
      <c r="S134" s="153"/>
      <c r="T134" s="153"/>
      <c r="U134" s="153"/>
      <c r="V134" s="153"/>
      <c r="W134" s="153"/>
      <c r="X134" s="153"/>
      <c r="Y134" s="153"/>
      <c r="Z134" s="153"/>
      <c r="AA134" s="153"/>
      <c r="AB134" s="153"/>
      <c r="AC134" s="153"/>
      <c r="AD134" s="153"/>
      <c r="AE134" s="153"/>
      <c r="AF134" s="153"/>
      <c r="AG134" s="153"/>
      <c r="AH134" s="153"/>
      <c r="AI134" s="153"/>
      <c r="AJ134" s="153"/>
      <c r="AK134" s="153"/>
      <c r="AL134" s="153"/>
      <c r="AM134" s="153"/>
      <c r="AN134" s="153"/>
      <c r="AO134" s="153"/>
      <c r="AP134" s="153"/>
      <c r="AQ134" s="153"/>
      <c r="AR134" s="153"/>
    </row>
    <row r="135" spans="1:44" ht="15.75" customHeight="1">
      <c r="A135" s="153"/>
      <c r="B135" s="153"/>
      <c r="C135" s="152"/>
      <c r="D135" s="152"/>
      <c r="E135" s="153"/>
      <c r="F135" s="153"/>
      <c r="G135" s="153"/>
      <c r="H135" s="153"/>
      <c r="I135" s="153"/>
      <c r="J135" s="153"/>
      <c r="K135" s="153"/>
      <c r="L135" s="153"/>
      <c r="M135" s="153"/>
      <c r="N135" s="153"/>
      <c r="O135" s="153"/>
      <c r="P135" s="153"/>
      <c r="Q135" s="153"/>
      <c r="R135" s="153"/>
      <c r="S135" s="153"/>
      <c r="T135" s="153"/>
      <c r="U135" s="153"/>
      <c r="V135" s="153"/>
      <c r="W135" s="153"/>
      <c r="X135" s="153"/>
      <c r="Y135" s="153"/>
      <c r="Z135" s="153"/>
      <c r="AA135" s="153"/>
      <c r="AB135" s="153"/>
      <c r="AC135" s="153"/>
      <c r="AD135" s="153"/>
      <c r="AE135" s="153"/>
      <c r="AF135" s="153"/>
      <c r="AG135" s="153"/>
      <c r="AH135" s="153"/>
      <c r="AI135" s="153"/>
      <c r="AJ135" s="153"/>
      <c r="AK135" s="153"/>
      <c r="AL135" s="153"/>
      <c r="AM135" s="153"/>
      <c r="AN135" s="153"/>
      <c r="AO135" s="153"/>
      <c r="AP135" s="153"/>
      <c r="AQ135" s="153"/>
      <c r="AR135" s="153"/>
    </row>
    <row r="136" spans="1:44" ht="15.75" customHeight="1">
      <c r="A136" s="153"/>
      <c r="B136" s="153"/>
      <c r="C136" s="152"/>
      <c r="D136" s="152"/>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c r="AA136" s="153"/>
      <c r="AB136" s="153"/>
      <c r="AC136" s="153"/>
      <c r="AD136" s="153"/>
      <c r="AE136" s="153"/>
      <c r="AF136" s="153"/>
      <c r="AG136" s="153"/>
      <c r="AH136" s="153"/>
      <c r="AI136" s="153"/>
      <c r="AJ136" s="153"/>
      <c r="AK136" s="153"/>
      <c r="AL136" s="153"/>
      <c r="AM136" s="153"/>
      <c r="AN136" s="153"/>
      <c r="AO136" s="153"/>
      <c r="AP136" s="153"/>
      <c r="AQ136" s="153"/>
      <c r="AR136" s="153"/>
    </row>
    <row r="137" spans="1:44" ht="15.75" customHeight="1">
      <c r="A137" s="153"/>
      <c r="B137" s="153"/>
      <c r="C137" s="152"/>
      <c r="D137" s="152"/>
      <c r="E137" s="153"/>
      <c r="F137" s="153"/>
      <c r="G137" s="153"/>
      <c r="H137" s="153"/>
      <c r="I137" s="153"/>
      <c r="J137" s="153"/>
      <c r="K137" s="153"/>
      <c r="L137" s="153"/>
      <c r="M137" s="153"/>
      <c r="N137" s="153"/>
      <c r="O137" s="153"/>
      <c r="P137" s="153"/>
      <c r="Q137" s="153"/>
      <c r="R137" s="153"/>
      <c r="S137" s="153"/>
      <c r="T137" s="153"/>
      <c r="U137" s="153"/>
      <c r="V137" s="153"/>
      <c r="W137" s="153"/>
      <c r="X137" s="153"/>
      <c r="Y137" s="153"/>
      <c r="Z137" s="153"/>
      <c r="AA137" s="153"/>
      <c r="AB137" s="153"/>
      <c r="AC137" s="153"/>
      <c r="AD137" s="153"/>
      <c r="AE137" s="153"/>
      <c r="AF137" s="153"/>
      <c r="AG137" s="153"/>
      <c r="AH137" s="153"/>
      <c r="AI137" s="153"/>
      <c r="AJ137" s="153"/>
      <c r="AK137" s="153"/>
      <c r="AL137" s="153"/>
      <c r="AM137" s="153"/>
      <c r="AN137" s="153"/>
      <c r="AO137" s="153"/>
      <c r="AP137" s="153"/>
      <c r="AQ137" s="153"/>
      <c r="AR137" s="153"/>
    </row>
    <row r="138" spans="1:44" ht="15.75" customHeight="1">
      <c r="A138" s="153"/>
      <c r="B138" s="153"/>
      <c r="C138" s="152"/>
      <c r="D138" s="152"/>
      <c r="E138" s="153"/>
      <c r="F138" s="153"/>
      <c r="G138" s="153"/>
      <c r="H138" s="153"/>
      <c r="I138" s="153"/>
      <c r="J138" s="153"/>
      <c r="K138" s="153"/>
      <c r="L138" s="153"/>
      <c r="M138" s="153"/>
      <c r="N138" s="153"/>
      <c r="O138" s="153"/>
      <c r="P138" s="153"/>
      <c r="Q138" s="153"/>
      <c r="R138" s="153"/>
      <c r="S138" s="153"/>
      <c r="T138" s="153"/>
      <c r="U138" s="153"/>
      <c r="V138" s="153"/>
      <c r="W138" s="153"/>
      <c r="X138" s="153"/>
      <c r="Y138" s="153"/>
      <c r="Z138" s="153"/>
      <c r="AA138" s="153"/>
      <c r="AB138" s="153"/>
      <c r="AC138" s="153"/>
      <c r="AD138" s="153"/>
      <c r="AE138" s="153"/>
      <c r="AF138" s="153"/>
      <c r="AG138" s="153"/>
      <c r="AH138" s="153"/>
      <c r="AI138" s="153"/>
      <c r="AJ138" s="153"/>
      <c r="AK138" s="153"/>
      <c r="AL138" s="153"/>
      <c r="AM138" s="153"/>
      <c r="AN138" s="153"/>
      <c r="AO138" s="153"/>
      <c r="AP138" s="153"/>
      <c r="AQ138" s="153"/>
      <c r="AR138" s="153"/>
    </row>
    <row r="139" spans="1:44" ht="15.75" customHeight="1">
      <c r="A139" s="153"/>
      <c r="B139" s="153"/>
      <c r="C139" s="152"/>
      <c r="D139" s="152"/>
      <c r="E139" s="153"/>
      <c r="F139" s="153"/>
      <c r="G139" s="153"/>
      <c r="H139" s="153"/>
      <c r="I139" s="153"/>
      <c r="J139" s="153"/>
      <c r="K139" s="153"/>
      <c r="L139" s="153"/>
      <c r="M139" s="153"/>
      <c r="N139" s="153"/>
      <c r="O139" s="153"/>
      <c r="P139" s="153"/>
      <c r="Q139" s="153"/>
      <c r="R139" s="153"/>
      <c r="S139" s="153"/>
      <c r="T139" s="153"/>
      <c r="U139" s="153"/>
      <c r="V139" s="153"/>
      <c r="W139" s="153"/>
      <c r="X139" s="153"/>
      <c r="Y139" s="153"/>
      <c r="Z139" s="153"/>
      <c r="AA139" s="153"/>
      <c r="AB139" s="153"/>
      <c r="AC139" s="153"/>
      <c r="AD139" s="153"/>
      <c r="AE139" s="153"/>
      <c r="AF139" s="153"/>
      <c r="AG139" s="153"/>
      <c r="AH139" s="153"/>
      <c r="AI139" s="153"/>
      <c r="AJ139" s="153"/>
      <c r="AK139" s="153"/>
      <c r="AL139" s="153"/>
      <c r="AM139" s="153"/>
      <c r="AN139" s="153"/>
      <c r="AO139" s="153"/>
      <c r="AP139" s="153"/>
      <c r="AQ139" s="153"/>
      <c r="AR139" s="153"/>
    </row>
    <row r="140" spans="1:44" ht="15.75" customHeight="1">
      <c r="A140" s="153"/>
      <c r="B140" s="153"/>
      <c r="C140" s="152"/>
      <c r="D140" s="152"/>
      <c r="E140" s="153"/>
      <c r="F140" s="153"/>
      <c r="G140" s="153"/>
      <c r="H140" s="153"/>
      <c r="I140" s="153"/>
      <c r="J140" s="153"/>
      <c r="K140" s="153"/>
      <c r="L140" s="153"/>
      <c r="M140" s="153"/>
      <c r="N140" s="153"/>
      <c r="O140" s="153"/>
      <c r="P140" s="153"/>
      <c r="Q140" s="153"/>
      <c r="R140" s="153"/>
      <c r="S140" s="153"/>
      <c r="T140" s="153"/>
      <c r="U140" s="153"/>
      <c r="V140" s="153"/>
      <c r="W140" s="153"/>
      <c r="X140" s="153"/>
      <c r="Y140" s="153"/>
      <c r="Z140" s="153"/>
      <c r="AA140" s="153"/>
      <c r="AB140" s="153"/>
      <c r="AC140" s="153"/>
      <c r="AD140" s="153"/>
      <c r="AE140" s="153"/>
      <c r="AF140" s="153"/>
      <c r="AG140" s="153"/>
      <c r="AH140" s="153"/>
      <c r="AI140" s="153"/>
      <c r="AJ140" s="153"/>
      <c r="AK140" s="153"/>
      <c r="AL140" s="153"/>
      <c r="AM140" s="153"/>
      <c r="AN140" s="153"/>
      <c r="AO140" s="153"/>
      <c r="AP140" s="153"/>
      <c r="AQ140" s="153"/>
      <c r="AR140" s="153"/>
    </row>
    <row r="141" spans="1:44" ht="15.75" customHeight="1">
      <c r="A141" s="153"/>
      <c r="B141" s="153"/>
      <c r="C141" s="152"/>
      <c r="D141" s="152"/>
      <c r="E141" s="153"/>
      <c r="F141" s="153"/>
      <c r="G141" s="153"/>
      <c r="H141" s="153"/>
      <c r="I141" s="153"/>
      <c r="J141" s="153"/>
      <c r="K141" s="153"/>
      <c r="L141" s="153"/>
      <c r="M141" s="153"/>
      <c r="N141" s="153"/>
      <c r="O141" s="153"/>
      <c r="P141" s="153"/>
      <c r="Q141" s="153"/>
      <c r="R141" s="153"/>
      <c r="S141" s="153"/>
      <c r="T141" s="153"/>
      <c r="U141" s="153"/>
      <c r="V141" s="153"/>
      <c r="W141" s="153"/>
      <c r="X141" s="153"/>
      <c r="Y141" s="153"/>
      <c r="Z141" s="153"/>
      <c r="AA141" s="153"/>
      <c r="AB141" s="153"/>
      <c r="AC141" s="153"/>
      <c r="AD141" s="153"/>
      <c r="AE141" s="153"/>
      <c r="AF141" s="153"/>
      <c r="AG141" s="153"/>
      <c r="AH141" s="153"/>
      <c r="AI141" s="153"/>
      <c r="AJ141" s="153"/>
      <c r="AK141" s="153"/>
      <c r="AL141" s="153"/>
      <c r="AM141" s="153"/>
      <c r="AN141" s="153"/>
      <c r="AO141" s="153"/>
      <c r="AP141" s="153"/>
      <c r="AQ141" s="153"/>
      <c r="AR141" s="153"/>
    </row>
    <row r="142" spans="1:44" ht="15.75" customHeight="1">
      <c r="A142" s="153"/>
      <c r="B142" s="153"/>
      <c r="C142" s="152"/>
      <c r="D142" s="152"/>
      <c r="E142" s="153"/>
      <c r="F142" s="153"/>
      <c r="G142" s="153"/>
      <c r="H142" s="153"/>
      <c r="I142" s="153"/>
      <c r="J142" s="153"/>
      <c r="K142" s="153"/>
      <c r="L142" s="153"/>
      <c r="M142" s="153"/>
      <c r="N142" s="153"/>
      <c r="O142" s="153"/>
      <c r="P142" s="153"/>
      <c r="Q142" s="153"/>
      <c r="R142" s="153"/>
      <c r="S142" s="153"/>
      <c r="T142" s="153"/>
      <c r="U142" s="153"/>
      <c r="V142" s="153"/>
      <c r="W142" s="153"/>
      <c r="X142" s="153"/>
      <c r="Y142" s="153"/>
      <c r="Z142" s="153"/>
      <c r="AA142" s="153"/>
      <c r="AB142" s="153"/>
      <c r="AC142" s="153"/>
      <c r="AD142" s="153"/>
      <c r="AE142" s="153"/>
      <c r="AF142" s="153"/>
      <c r="AG142" s="153"/>
      <c r="AH142" s="153"/>
      <c r="AI142" s="153"/>
      <c r="AJ142" s="153"/>
      <c r="AK142" s="153"/>
      <c r="AL142" s="153"/>
      <c r="AM142" s="153"/>
      <c r="AN142" s="153"/>
      <c r="AO142" s="153"/>
      <c r="AP142" s="153"/>
      <c r="AQ142" s="153"/>
      <c r="AR142" s="153"/>
    </row>
    <row r="143" spans="1:44" ht="15.75" customHeight="1">
      <c r="A143" s="153"/>
      <c r="B143" s="153"/>
      <c r="C143" s="152"/>
      <c r="D143" s="152"/>
      <c r="E143" s="153"/>
      <c r="F143" s="153"/>
      <c r="G143" s="153"/>
      <c r="H143" s="153"/>
      <c r="I143" s="153"/>
      <c r="J143" s="153"/>
      <c r="K143" s="153"/>
      <c r="L143" s="153"/>
      <c r="M143" s="153"/>
      <c r="N143" s="153"/>
      <c r="O143" s="153"/>
      <c r="P143" s="153"/>
      <c r="Q143" s="153"/>
      <c r="R143" s="153"/>
      <c r="S143" s="153"/>
      <c r="T143" s="153"/>
      <c r="U143" s="153"/>
      <c r="V143" s="153"/>
      <c r="W143" s="153"/>
      <c r="X143" s="153"/>
      <c r="Y143" s="153"/>
      <c r="Z143" s="153"/>
      <c r="AA143" s="153"/>
      <c r="AB143" s="153"/>
      <c r="AC143" s="153"/>
      <c r="AD143" s="153"/>
      <c r="AE143" s="153"/>
      <c r="AF143" s="153"/>
      <c r="AG143" s="153"/>
      <c r="AH143" s="153"/>
      <c r="AI143" s="153"/>
      <c r="AJ143" s="153"/>
      <c r="AK143" s="153"/>
      <c r="AL143" s="153"/>
      <c r="AM143" s="153"/>
      <c r="AN143" s="153"/>
      <c r="AO143" s="153"/>
      <c r="AP143" s="153"/>
      <c r="AQ143" s="153"/>
      <c r="AR143" s="153"/>
    </row>
    <row r="144" spans="1:44" ht="15.75" customHeight="1">
      <c r="A144" s="153"/>
      <c r="B144" s="153"/>
      <c r="C144" s="152"/>
      <c r="D144" s="152"/>
      <c r="E144" s="153"/>
      <c r="F144" s="153"/>
      <c r="G144" s="153"/>
      <c r="H144" s="153"/>
      <c r="I144" s="153"/>
      <c r="J144" s="153"/>
      <c r="K144" s="153"/>
      <c r="L144" s="153"/>
      <c r="M144" s="153"/>
      <c r="N144" s="153"/>
      <c r="O144" s="153"/>
      <c r="P144" s="153"/>
      <c r="Q144" s="153"/>
      <c r="R144" s="153"/>
      <c r="S144" s="153"/>
      <c r="T144" s="153"/>
      <c r="U144" s="153"/>
      <c r="V144" s="153"/>
      <c r="W144" s="153"/>
      <c r="X144" s="153"/>
      <c r="Y144" s="153"/>
      <c r="Z144" s="153"/>
      <c r="AA144" s="153"/>
      <c r="AB144" s="153"/>
      <c r="AC144" s="153"/>
      <c r="AD144" s="153"/>
      <c r="AE144" s="153"/>
      <c r="AF144" s="153"/>
      <c r="AG144" s="153"/>
      <c r="AH144" s="153"/>
      <c r="AI144" s="153"/>
      <c r="AJ144" s="153"/>
      <c r="AK144" s="153"/>
      <c r="AL144" s="153"/>
      <c r="AM144" s="153"/>
      <c r="AN144" s="153"/>
      <c r="AO144" s="153"/>
      <c r="AP144" s="153"/>
      <c r="AQ144" s="153"/>
      <c r="AR144" s="153"/>
    </row>
    <row r="145" spans="1:44" ht="15.75" customHeight="1">
      <c r="A145" s="153"/>
      <c r="B145" s="153"/>
      <c r="C145" s="152"/>
      <c r="D145" s="152"/>
      <c r="E145" s="153"/>
      <c r="F145" s="153"/>
      <c r="G145" s="153"/>
      <c r="H145" s="153"/>
      <c r="I145" s="153"/>
      <c r="J145" s="153"/>
      <c r="K145" s="153"/>
      <c r="L145" s="153"/>
      <c r="M145" s="153"/>
      <c r="N145" s="153"/>
      <c r="O145" s="153"/>
      <c r="P145" s="153"/>
      <c r="Q145" s="153"/>
      <c r="R145" s="153"/>
      <c r="S145" s="153"/>
      <c r="T145" s="153"/>
      <c r="U145" s="153"/>
      <c r="V145" s="153"/>
      <c r="W145" s="153"/>
      <c r="X145" s="153"/>
      <c r="Y145" s="153"/>
      <c r="Z145" s="153"/>
      <c r="AA145" s="153"/>
      <c r="AB145" s="153"/>
      <c r="AC145" s="153"/>
      <c r="AD145" s="153"/>
      <c r="AE145" s="153"/>
      <c r="AF145" s="153"/>
      <c r="AG145" s="153"/>
      <c r="AH145" s="153"/>
      <c r="AI145" s="153"/>
      <c r="AJ145" s="153"/>
      <c r="AK145" s="153"/>
      <c r="AL145" s="153"/>
      <c r="AM145" s="153"/>
      <c r="AN145" s="153"/>
      <c r="AO145" s="153"/>
      <c r="AP145" s="153"/>
      <c r="AQ145" s="153"/>
      <c r="AR145" s="153"/>
    </row>
    <row r="146" spans="1:44" ht="15.75" customHeight="1">
      <c r="A146" s="153"/>
      <c r="B146" s="153"/>
      <c r="C146" s="152"/>
      <c r="D146" s="152"/>
      <c r="E146" s="153"/>
      <c r="F146" s="153"/>
      <c r="G146" s="153"/>
      <c r="H146" s="153"/>
      <c r="I146" s="153"/>
      <c r="J146" s="153"/>
      <c r="K146" s="153"/>
      <c r="L146" s="153"/>
      <c r="M146" s="153"/>
      <c r="N146" s="153"/>
      <c r="O146" s="153"/>
      <c r="P146" s="153"/>
      <c r="Q146" s="153"/>
      <c r="R146" s="153"/>
      <c r="S146" s="153"/>
      <c r="T146" s="153"/>
      <c r="U146" s="153"/>
      <c r="V146" s="153"/>
      <c r="W146" s="153"/>
      <c r="X146" s="153"/>
      <c r="Y146" s="153"/>
      <c r="Z146" s="153"/>
      <c r="AA146" s="153"/>
      <c r="AB146" s="153"/>
      <c r="AC146" s="153"/>
      <c r="AD146" s="153"/>
      <c r="AE146" s="153"/>
      <c r="AF146" s="153"/>
      <c r="AG146" s="153"/>
      <c r="AH146" s="153"/>
      <c r="AI146" s="153"/>
      <c r="AJ146" s="153"/>
      <c r="AK146" s="153"/>
      <c r="AL146" s="153"/>
      <c r="AM146" s="153"/>
      <c r="AN146" s="153"/>
      <c r="AO146" s="153"/>
      <c r="AP146" s="153"/>
      <c r="AQ146" s="153"/>
      <c r="AR146" s="153"/>
    </row>
    <row r="147" spans="1:44" ht="15.75" customHeight="1">
      <c r="A147" s="153"/>
      <c r="B147" s="153"/>
      <c r="C147" s="152"/>
      <c r="D147" s="152"/>
      <c r="E147" s="153"/>
      <c r="F147" s="153"/>
      <c r="G147" s="153"/>
      <c r="H147" s="153"/>
      <c r="I147" s="153"/>
      <c r="J147" s="153"/>
      <c r="K147" s="153"/>
      <c r="L147" s="153"/>
      <c r="M147" s="153"/>
      <c r="N147" s="153"/>
      <c r="O147" s="153"/>
      <c r="P147" s="153"/>
      <c r="Q147" s="153"/>
      <c r="R147" s="153"/>
      <c r="S147" s="153"/>
      <c r="T147" s="153"/>
      <c r="U147" s="153"/>
      <c r="V147" s="153"/>
      <c r="W147" s="153"/>
      <c r="X147" s="153"/>
      <c r="Y147" s="153"/>
      <c r="Z147" s="153"/>
      <c r="AA147" s="153"/>
      <c r="AB147" s="153"/>
      <c r="AC147" s="153"/>
      <c r="AD147" s="153"/>
      <c r="AE147" s="153"/>
      <c r="AF147" s="153"/>
      <c r="AG147" s="153"/>
      <c r="AH147" s="153"/>
      <c r="AI147" s="153"/>
      <c r="AJ147" s="153"/>
      <c r="AK147" s="153"/>
      <c r="AL147" s="153"/>
      <c r="AM147" s="153"/>
      <c r="AN147" s="153"/>
      <c r="AO147" s="153"/>
      <c r="AP147" s="153"/>
      <c r="AQ147" s="153"/>
      <c r="AR147" s="153"/>
    </row>
    <row r="148" spans="1:44" ht="15.75" customHeight="1">
      <c r="A148" s="153"/>
      <c r="B148" s="153"/>
      <c r="C148" s="152"/>
      <c r="D148" s="152"/>
      <c r="E148" s="153"/>
      <c r="F148" s="153"/>
      <c r="G148" s="153"/>
      <c r="H148" s="153"/>
      <c r="I148" s="153"/>
      <c r="J148" s="153"/>
      <c r="K148" s="153"/>
      <c r="L148" s="153"/>
      <c r="M148" s="153"/>
      <c r="N148" s="153"/>
      <c r="O148" s="153"/>
      <c r="P148" s="153"/>
      <c r="Q148" s="153"/>
      <c r="R148" s="153"/>
      <c r="S148" s="153"/>
      <c r="T148" s="153"/>
      <c r="U148" s="153"/>
      <c r="V148" s="153"/>
      <c r="W148" s="153"/>
      <c r="X148" s="153"/>
      <c r="Y148" s="153"/>
      <c r="Z148" s="153"/>
      <c r="AA148" s="153"/>
      <c r="AB148" s="153"/>
      <c r="AC148" s="153"/>
      <c r="AD148" s="153"/>
      <c r="AE148" s="153"/>
      <c r="AF148" s="153"/>
      <c r="AG148" s="153"/>
      <c r="AH148" s="153"/>
      <c r="AI148" s="153"/>
      <c r="AJ148" s="153"/>
      <c r="AK148" s="153"/>
      <c r="AL148" s="153"/>
      <c r="AM148" s="153"/>
      <c r="AN148" s="153"/>
      <c r="AO148" s="153"/>
      <c r="AP148" s="153"/>
      <c r="AQ148" s="153"/>
      <c r="AR148" s="153"/>
    </row>
    <row r="149" spans="1:44" ht="15.75" customHeight="1">
      <c r="A149" s="153"/>
      <c r="B149" s="153"/>
      <c r="C149" s="152"/>
      <c r="D149" s="152"/>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c r="AA149" s="153"/>
      <c r="AB149" s="153"/>
      <c r="AC149" s="153"/>
      <c r="AD149" s="153"/>
      <c r="AE149" s="153"/>
      <c r="AF149" s="153"/>
      <c r="AG149" s="153"/>
      <c r="AH149" s="153"/>
      <c r="AI149" s="153"/>
      <c r="AJ149" s="153"/>
      <c r="AK149" s="153"/>
      <c r="AL149" s="153"/>
      <c r="AM149" s="153"/>
      <c r="AN149" s="153"/>
      <c r="AO149" s="153"/>
      <c r="AP149" s="153"/>
      <c r="AQ149" s="153"/>
      <c r="AR149" s="153"/>
    </row>
    <row r="150" spans="1:44" ht="15.75" customHeight="1">
      <c r="A150" s="153"/>
      <c r="B150" s="153"/>
      <c r="C150" s="152"/>
      <c r="D150" s="152"/>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c r="AA150" s="153"/>
      <c r="AB150" s="153"/>
      <c r="AC150" s="153"/>
      <c r="AD150" s="153"/>
      <c r="AE150" s="153"/>
      <c r="AF150" s="153"/>
      <c r="AG150" s="153"/>
      <c r="AH150" s="153"/>
      <c r="AI150" s="153"/>
      <c r="AJ150" s="153"/>
      <c r="AK150" s="153"/>
      <c r="AL150" s="153"/>
      <c r="AM150" s="153"/>
      <c r="AN150" s="153"/>
      <c r="AO150" s="153"/>
      <c r="AP150" s="153"/>
      <c r="AQ150" s="153"/>
      <c r="AR150" s="153"/>
    </row>
    <row r="151" spans="1:44" ht="15.75" customHeight="1">
      <c r="A151" s="153"/>
      <c r="B151" s="153"/>
      <c r="C151" s="152"/>
      <c r="D151" s="152"/>
      <c r="E151" s="153"/>
      <c r="F151" s="153"/>
      <c r="G151" s="153"/>
      <c r="H151" s="153"/>
      <c r="I151" s="153"/>
      <c r="J151" s="153"/>
      <c r="K151" s="153"/>
      <c r="L151" s="153"/>
      <c r="M151" s="153"/>
      <c r="N151" s="153"/>
      <c r="O151" s="153"/>
      <c r="P151" s="153"/>
      <c r="Q151" s="153"/>
      <c r="R151" s="153"/>
      <c r="S151" s="153"/>
      <c r="T151" s="153"/>
      <c r="U151" s="153"/>
      <c r="V151" s="153"/>
      <c r="W151" s="153"/>
      <c r="X151" s="153"/>
      <c r="Y151" s="153"/>
      <c r="Z151" s="153"/>
      <c r="AA151" s="153"/>
      <c r="AB151" s="153"/>
      <c r="AC151" s="153"/>
      <c r="AD151" s="153"/>
      <c r="AE151" s="153"/>
      <c r="AF151" s="153"/>
      <c r="AG151" s="153"/>
      <c r="AH151" s="153"/>
      <c r="AI151" s="153"/>
      <c r="AJ151" s="153"/>
      <c r="AK151" s="153"/>
      <c r="AL151" s="153"/>
      <c r="AM151" s="153"/>
      <c r="AN151" s="153"/>
      <c r="AO151" s="153"/>
      <c r="AP151" s="153"/>
      <c r="AQ151" s="153"/>
      <c r="AR151" s="153"/>
    </row>
    <row r="152" spans="1:44" ht="15.75" customHeight="1">
      <c r="A152" s="153"/>
      <c r="B152" s="153"/>
      <c r="C152" s="152"/>
      <c r="D152" s="152"/>
      <c r="E152" s="153"/>
      <c r="F152" s="153"/>
      <c r="G152" s="153"/>
      <c r="H152" s="153"/>
      <c r="I152" s="153"/>
      <c r="J152" s="153"/>
      <c r="K152" s="153"/>
      <c r="L152" s="153"/>
      <c r="M152" s="153"/>
      <c r="N152" s="153"/>
      <c r="O152" s="153"/>
      <c r="P152" s="153"/>
      <c r="Q152" s="153"/>
      <c r="R152" s="153"/>
      <c r="S152" s="153"/>
      <c r="T152" s="153"/>
      <c r="U152" s="153"/>
      <c r="V152" s="153"/>
      <c r="W152" s="153"/>
      <c r="X152" s="153"/>
      <c r="Y152" s="153"/>
      <c r="Z152" s="153"/>
      <c r="AA152" s="153"/>
      <c r="AB152" s="153"/>
      <c r="AC152" s="153"/>
      <c r="AD152" s="153"/>
      <c r="AE152" s="153"/>
      <c r="AF152" s="153"/>
      <c r="AG152" s="153"/>
      <c r="AH152" s="153"/>
      <c r="AI152" s="153"/>
      <c r="AJ152" s="153"/>
      <c r="AK152" s="153"/>
      <c r="AL152" s="153"/>
      <c r="AM152" s="153"/>
      <c r="AN152" s="153"/>
      <c r="AO152" s="153"/>
      <c r="AP152" s="153"/>
      <c r="AQ152" s="153"/>
      <c r="AR152" s="153"/>
    </row>
    <row r="153" spans="1:44" ht="15.75" customHeight="1">
      <c r="A153" s="153"/>
      <c r="B153" s="153"/>
      <c r="C153" s="152"/>
      <c r="D153" s="152"/>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c r="AA153" s="153"/>
      <c r="AB153" s="153"/>
      <c r="AC153" s="153"/>
      <c r="AD153" s="153"/>
      <c r="AE153" s="153"/>
      <c r="AF153" s="153"/>
      <c r="AG153" s="153"/>
      <c r="AH153" s="153"/>
      <c r="AI153" s="153"/>
      <c r="AJ153" s="153"/>
      <c r="AK153" s="153"/>
      <c r="AL153" s="153"/>
      <c r="AM153" s="153"/>
      <c r="AN153" s="153"/>
      <c r="AO153" s="153"/>
      <c r="AP153" s="153"/>
      <c r="AQ153" s="153"/>
      <c r="AR153" s="153"/>
    </row>
    <row r="154" spans="1:44" ht="15.75" customHeight="1">
      <c r="A154" s="153"/>
      <c r="B154" s="153"/>
      <c r="C154" s="152"/>
      <c r="D154" s="152"/>
      <c r="E154" s="153"/>
      <c r="F154" s="153"/>
      <c r="G154" s="153"/>
      <c r="H154" s="153"/>
      <c r="I154" s="153"/>
      <c r="J154" s="153"/>
      <c r="K154" s="153"/>
      <c r="L154" s="153"/>
      <c r="M154" s="153"/>
      <c r="N154" s="153"/>
      <c r="O154" s="153"/>
      <c r="P154" s="153"/>
      <c r="Q154" s="153"/>
      <c r="R154" s="153"/>
      <c r="S154" s="153"/>
      <c r="T154" s="153"/>
      <c r="U154" s="153"/>
      <c r="V154" s="153"/>
      <c r="W154" s="153"/>
      <c r="X154" s="153"/>
      <c r="Y154" s="153"/>
      <c r="Z154" s="153"/>
      <c r="AA154" s="153"/>
      <c r="AB154" s="153"/>
      <c r="AC154" s="153"/>
      <c r="AD154" s="153"/>
      <c r="AE154" s="153"/>
      <c r="AF154" s="153"/>
      <c r="AG154" s="153"/>
      <c r="AH154" s="153"/>
      <c r="AI154" s="153"/>
      <c r="AJ154" s="153"/>
      <c r="AK154" s="153"/>
      <c r="AL154" s="153"/>
      <c r="AM154" s="153"/>
      <c r="AN154" s="153"/>
      <c r="AO154" s="153"/>
      <c r="AP154" s="153"/>
      <c r="AQ154" s="153"/>
      <c r="AR154" s="153"/>
    </row>
    <row r="155" spans="1:44" ht="15.75" customHeight="1">
      <c r="A155" s="153"/>
      <c r="B155" s="153"/>
      <c r="C155" s="152"/>
      <c r="D155" s="152"/>
      <c r="E155" s="153"/>
      <c r="F155" s="153"/>
      <c r="G155" s="153"/>
      <c r="H155" s="153"/>
      <c r="I155" s="153"/>
      <c r="J155" s="153"/>
      <c r="K155" s="153"/>
      <c r="L155" s="153"/>
      <c r="M155" s="153"/>
      <c r="N155" s="153"/>
      <c r="O155" s="153"/>
      <c r="P155" s="153"/>
      <c r="Q155" s="153"/>
      <c r="R155" s="153"/>
      <c r="S155" s="153"/>
      <c r="T155" s="153"/>
      <c r="U155" s="153"/>
      <c r="V155" s="153"/>
      <c r="W155" s="153"/>
      <c r="X155" s="153"/>
      <c r="Y155" s="153"/>
      <c r="Z155" s="153"/>
      <c r="AA155" s="153"/>
      <c r="AB155" s="153"/>
      <c r="AC155" s="153"/>
      <c r="AD155" s="153"/>
      <c r="AE155" s="153"/>
      <c r="AF155" s="153"/>
      <c r="AG155" s="153"/>
      <c r="AH155" s="153"/>
      <c r="AI155" s="153"/>
      <c r="AJ155" s="153"/>
      <c r="AK155" s="153"/>
      <c r="AL155" s="153"/>
      <c r="AM155" s="153"/>
      <c r="AN155" s="153"/>
      <c r="AO155" s="153"/>
      <c r="AP155" s="153"/>
      <c r="AQ155" s="153"/>
      <c r="AR155" s="153"/>
    </row>
    <row r="156" spans="1:44" ht="15.75" customHeight="1">
      <c r="A156" s="153"/>
      <c r="B156" s="153"/>
      <c r="C156" s="152"/>
      <c r="D156" s="152"/>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c r="AA156" s="153"/>
      <c r="AB156" s="153"/>
      <c r="AC156" s="153"/>
      <c r="AD156" s="153"/>
      <c r="AE156" s="153"/>
      <c r="AF156" s="153"/>
      <c r="AG156" s="153"/>
      <c r="AH156" s="153"/>
      <c r="AI156" s="153"/>
      <c r="AJ156" s="153"/>
      <c r="AK156" s="153"/>
      <c r="AL156" s="153"/>
      <c r="AM156" s="153"/>
      <c r="AN156" s="153"/>
      <c r="AO156" s="153"/>
      <c r="AP156" s="153"/>
      <c r="AQ156" s="153"/>
      <c r="AR156" s="153"/>
    </row>
    <row r="157" spans="1:44" ht="15.75" customHeight="1">
      <c r="A157" s="153"/>
      <c r="B157" s="153"/>
      <c r="C157" s="152"/>
      <c r="D157" s="152"/>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c r="AA157" s="153"/>
      <c r="AB157" s="153"/>
      <c r="AC157" s="153"/>
      <c r="AD157" s="153"/>
      <c r="AE157" s="153"/>
      <c r="AF157" s="153"/>
      <c r="AG157" s="153"/>
      <c r="AH157" s="153"/>
      <c r="AI157" s="153"/>
      <c r="AJ157" s="153"/>
      <c r="AK157" s="153"/>
      <c r="AL157" s="153"/>
      <c r="AM157" s="153"/>
      <c r="AN157" s="153"/>
      <c r="AO157" s="153"/>
      <c r="AP157" s="153"/>
      <c r="AQ157" s="153"/>
      <c r="AR157" s="153"/>
    </row>
    <row r="158" spans="1:44" ht="15.75" customHeight="1">
      <c r="A158" s="153"/>
      <c r="B158" s="153"/>
      <c r="C158" s="152"/>
      <c r="D158" s="152"/>
      <c r="E158" s="153"/>
      <c r="F158" s="153"/>
      <c r="G158" s="153"/>
      <c r="H158" s="153"/>
      <c r="I158" s="153"/>
      <c r="J158" s="153"/>
      <c r="K158" s="153"/>
      <c r="L158" s="153"/>
      <c r="M158" s="153"/>
      <c r="N158" s="153"/>
      <c r="O158" s="153"/>
      <c r="P158" s="153"/>
      <c r="Q158" s="153"/>
      <c r="R158" s="153"/>
      <c r="S158" s="153"/>
      <c r="T158" s="153"/>
      <c r="U158" s="153"/>
      <c r="V158" s="153"/>
      <c r="W158" s="153"/>
      <c r="X158" s="153"/>
      <c r="Y158" s="153"/>
      <c r="Z158" s="153"/>
      <c r="AA158" s="153"/>
      <c r="AB158" s="153"/>
      <c r="AC158" s="153"/>
      <c r="AD158" s="153"/>
      <c r="AE158" s="153"/>
      <c r="AF158" s="153"/>
      <c r="AG158" s="153"/>
      <c r="AH158" s="153"/>
      <c r="AI158" s="153"/>
      <c r="AJ158" s="153"/>
      <c r="AK158" s="153"/>
      <c r="AL158" s="153"/>
      <c r="AM158" s="153"/>
      <c r="AN158" s="153"/>
      <c r="AO158" s="153"/>
      <c r="AP158" s="153"/>
      <c r="AQ158" s="153"/>
      <c r="AR158" s="153"/>
    </row>
    <row r="159" spans="1:44" ht="15.75" customHeight="1">
      <c r="A159" s="153"/>
      <c r="B159" s="153"/>
      <c r="C159" s="152"/>
      <c r="D159" s="152"/>
      <c r="E159" s="153"/>
      <c r="F159" s="153"/>
      <c r="G159" s="153"/>
      <c r="H159" s="153"/>
      <c r="I159" s="153"/>
      <c r="J159" s="153"/>
      <c r="K159" s="153"/>
      <c r="L159" s="153"/>
      <c r="M159" s="153"/>
      <c r="N159" s="153"/>
      <c r="O159" s="153"/>
      <c r="P159" s="153"/>
      <c r="Q159" s="153"/>
      <c r="R159" s="153"/>
      <c r="S159" s="153"/>
      <c r="T159" s="153"/>
      <c r="U159" s="153"/>
      <c r="V159" s="153"/>
      <c r="W159" s="153"/>
      <c r="X159" s="153"/>
      <c r="Y159" s="153"/>
      <c r="Z159" s="153"/>
      <c r="AA159" s="153"/>
      <c r="AB159" s="153"/>
      <c r="AC159" s="153"/>
      <c r="AD159" s="153"/>
      <c r="AE159" s="153"/>
      <c r="AF159" s="153"/>
      <c r="AG159" s="153"/>
      <c r="AH159" s="153"/>
      <c r="AI159" s="153"/>
      <c r="AJ159" s="153"/>
      <c r="AK159" s="153"/>
      <c r="AL159" s="153"/>
      <c r="AM159" s="153"/>
      <c r="AN159" s="153"/>
      <c r="AO159" s="153"/>
      <c r="AP159" s="153"/>
      <c r="AQ159" s="153"/>
      <c r="AR159" s="153"/>
    </row>
    <row r="160" spans="1:44" ht="15.75" customHeight="1">
      <c r="A160" s="153"/>
      <c r="B160" s="153"/>
      <c r="C160" s="152"/>
      <c r="D160" s="152"/>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c r="AA160" s="153"/>
      <c r="AB160" s="153"/>
      <c r="AC160" s="153"/>
      <c r="AD160" s="153"/>
      <c r="AE160" s="153"/>
      <c r="AF160" s="153"/>
      <c r="AG160" s="153"/>
      <c r="AH160" s="153"/>
      <c r="AI160" s="153"/>
      <c r="AJ160" s="153"/>
      <c r="AK160" s="153"/>
      <c r="AL160" s="153"/>
      <c r="AM160" s="153"/>
      <c r="AN160" s="153"/>
      <c r="AO160" s="153"/>
      <c r="AP160" s="153"/>
      <c r="AQ160" s="153"/>
      <c r="AR160" s="153"/>
    </row>
    <row r="161" spans="1:44" ht="15.75" customHeight="1">
      <c r="A161" s="153"/>
      <c r="B161" s="153"/>
      <c r="C161" s="152"/>
      <c r="D161" s="152"/>
      <c r="E161" s="153"/>
      <c r="F161" s="153"/>
      <c r="G161" s="153"/>
      <c r="H161" s="153"/>
      <c r="I161" s="153"/>
      <c r="J161" s="153"/>
      <c r="K161" s="153"/>
      <c r="L161" s="153"/>
      <c r="M161" s="153"/>
      <c r="N161" s="153"/>
      <c r="O161" s="153"/>
      <c r="P161" s="153"/>
      <c r="Q161" s="153"/>
      <c r="R161" s="153"/>
      <c r="S161" s="153"/>
      <c r="T161" s="153"/>
      <c r="U161" s="153"/>
      <c r="V161" s="153"/>
      <c r="W161" s="153"/>
      <c r="X161" s="153"/>
      <c r="Y161" s="153"/>
      <c r="Z161" s="153"/>
      <c r="AA161" s="153"/>
      <c r="AB161" s="153"/>
      <c r="AC161" s="153"/>
      <c r="AD161" s="153"/>
      <c r="AE161" s="153"/>
      <c r="AF161" s="153"/>
      <c r="AG161" s="153"/>
      <c r="AH161" s="153"/>
      <c r="AI161" s="153"/>
      <c r="AJ161" s="153"/>
      <c r="AK161" s="153"/>
      <c r="AL161" s="153"/>
      <c r="AM161" s="153"/>
      <c r="AN161" s="153"/>
      <c r="AO161" s="153"/>
      <c r="AP161" s="153"/>
      <c r="AQ161" s="153"/>
      <c r="AR161" s="153"/>
    </row>
    <row r="162" spans="1:44" ht="15.75" customHeight="1">
      <c r="A162" s="153"/>
      <c r="B162" s="153"/>
      <c r="C162" s="152"/>
      <c r="D162" s="152"/>
      <c r="E162" s="153"/>
      <c r="F162" s="153"/>
      <c r="G162" s="153"/>
      <c r="H162" s="153"/>
      <c r="I162" s="153"/>
      <c r="J162" s="153"/>
      <c r="K162" s="153"/>
      <c r="L162" s="153"/>
      <c r="M162" s="153"/>
      <c r="N162" s="153"/>
      <c r="O162" s="153"/>
      <c r="P162" s="153"/>
      <c r="Q162" s="153"/>
      <c r="R162" s="153"/>
      <c r="S162" s="153"/>
      <c r="T162" s="153"/>
      <c r="U162" s="153"/>
      <c r="V162" s="153"/>
      <c r="W162" s="153"/>
      <c r="X162" s="153"/>
      <c r="Y162" s="153"/>
      <c r="Z162" s="153"/>
      <c r="AA162" s="153"/>
      <c r="AB162" s="153"/>
      <c r="AC162" s="153"/>
      <c r="AD162" s="153"/>
      <c r="AE162" s="153"/>
      <c r="AF162" s="153"/>
      <c r="AG162" s="153"/>
      <c r="AH162" s="153"/>
      <c r="AI162" s="153"/>
      <c r="AJ162" s="153"/>
      <c r="AK162" s="153"/>
      <c r="AL162" s="153"/>
      <c r="AM162" s="153"/>
      <c r="AN162" s="153"/>
      <c r="AO162" s="153"/>
      <c r="AP162" s="153"/>
      <c r="AQ162" s="153"/>
      <c r="AR162" s="153"/>
    </row>
    <row r="163" spans="1:44" ht="15.75" customHeight="1">
      <c r="A163" s="153"/>
      <c r="B163" s="153"/>
      <c r="C163" s="152"/>
      <c r="D163" s="152"/>
      <c r="E163" s="153"/>
      <c r="F163" s="153"/>
      <c r="G163" s="153"/>
      <c r="H163" s="153"/>
      <c r="I163" s="153"/>
      <c r="J163" s="153"/>
      <c r="K163" s="153"/>
      <c r="L163" s="153"/>
      <c r="M163" s="153"/>
      <c r="N163" s="153"/>
      <c r="O163" s="153"/>
      <c r="P163" s="153"/>
      <c r="Q163" s="153"/>
      <c r="R163" s="153"/>
      <c r="S163" s="153"/>
      <c r="T163" s="153"/>
      <c r="U163" s="153"/>
      <c r="V163" s="153"/>
      <c r="W163" s="153"/>
      <c r="X163" s="153"/>
      <c r="Y163" s="153"/>
      <c r="Z163" s="153"/>
      <c r="AA163" s="153"/>
      <c r="AB163" s="153"/>
      <c r="AC163" s="153"/>
      <c r="AD163" s="153"/>
      <c r="AE163" s="153"/>
      <c r="AF163" s="153"/>
      <c r="AG163" s="153"/>
      <c r="AH163" s="153"/>
      <c r="AI163" s="153"/>
      <c r="AJ163" s="153"/>
      <c r="AK163" s="153"/>
      <c r="AL163" s="153"/>
      <c r="AM163" s="153"/>
      <c r="AN163" s="153"/>
      <c r="AO163" s="153"/>
      <c r="AP163" s="153"/>
      <c r="AQ163" s="153"/>
      <c r="AR163" s="153"/>
    </row>
    <row r="164" spans="1:44" ht="15.75" customHeight="1">
      <c r="A164" s="153"/>
      <c r="B164" s="153"/>
      <c r="C164" s="152"/>
      <c r="D164" s="152"/>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c r="AA164" s="153"/>
      <c r="AB164" s="153"/>
      <c r="AC164" s="153"/>
      <c r="AD164" s="153"/>
      <c r="AE164" s="153"/>
      <c r="AF164" s="153"/>
      <c r="AG164" s="153"/>
      <c r="AH164" s="153"/>
      <c r="AI164" s="153"/>
      <c r="AJ164" s="153"/>
      <c r="AK164" s="153"/>
      <c r="AL164" s="153"/>
      <c r="AM164" s="153"/>
      <c r="AN164" s="153"/>
      <c r="AO164" s="153"/>
      <c r="AP164" s="153"/>
      <c r="AQ164" s="153"/>
      <c r="AR164" s="153"/>
    </row>
    <row r="165" spans="1:44" ht="15.75" customHeight="1">
      <c r="A165" s="153"/>
      <c r="B165" s="153"/>
      <c r="C165" s="152"/>
      <c r="D165" s="152"/>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c r="AA165" s="153"/>
      <c r="AB165" s="153"/>
      <c r="AC165" s="153"/>
      <c r="AD165" s="153"/>
      <c r="AE165" s="153"/>
      <c r="AF165" s="153"/>
      <c r="AG165" s="153"/>
      <c r="AH165" s="153"/>
      <c r="AI165" s="153"/>
      <c r="AJ165" s="153"/>
      <c r="AK165" s="153"/>
      <c r="AL165" s="153"/>
      <c r="AM165" s="153"/>
      <c r="AN165" s="153"/>
      <c r="AO165" s="153"/>
      <c r="AP165" s="153"/>
      <c r="AQ165" s="153"/>
      <c r="AR165" s="153"/>
    </row>
    <row r="166" spans="1:44" ht="15.75" customHeight="1">
      <c r="A166" s="153"/>
      <c r="B166" s="153"/>
      <c r="C166" s="152"/>
      <c r="D166" s="152"/>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c r="AA166" s="153"/>
      <c r="AB166" s="153"/>
      <c r="AC166" s="153"/>
      <c r="AD166" s="153"/>
      <c r="AE166" s="153"/>
      <c r="AF166" s="153"/>
      <c r="AG166" s="153"/>
      <c r="AH166" s="153"/>
      <c r="AI166" s="153"/>
      <c r="AJ166" s="153"/>
      <c r="AK166" s="153"/>
      <c r="AL166" s="153"/>
      <c r="AM166" s="153"/>
      <c r="AN166" s="153"/>
      <c r="AO166" s="153"/>
      <c r="AP166" s="153"/>
      <c r="AQ166" s="153"/>
      <c r="AR166" s="153"/>
    </row>
    <row r="167" spans="1:44" ht="15.75" customHeight="1">
      <c r="A167" s="153"/>
      <c r="B167" s="153"/>
      <c r="C167" s="152"/>
      <c r="D167" s="152"/>
      <c r="E167" s="153"/>
      <c r="F167" s="153"/>
      <c r="G167" s="153"/>
      <c r="H167" s="153"/>
      <c r="I167" s="153"/>
      <c r="J167" s="153"/>
      <c r="K167" s="153"/>
      <c r="L167" s="153"/>
      <c r="M167" s="153"/>
      <c r="N167" s="153"/>
      <c r="O167" s="153"/>
      <c r="P167" s="153"/>
      <c r="Q167" s="153"/>
      <c r="R167" s="153"/>
      <c r="S167" s="153"/>
      <c r="T167" s="153"/>
      <c r="U167" s="153"/>
      <c r="V167" s="153"/>
      <c r="W167" s="153"/>
      <c r="X167" s="153"/>
      <c r="Y167" s="153"/>
      <c r="Z167" s="153"/>
      <c r="AA167" s="153"/>
      <c r="AB167" s="153"/>
      <c r="AC167" s="153"/>
      <c r="AD167" s="153"/>
      <c r="AE167" s="153"/>
      <c r="AF167" s="153"/>
      <c r="AG167" s="153"/>
      <c r="AH167" s="153"/>
      <c r="AI167" s="153"/>
      <c r="AJ167" s="153"/>
      <c r="AK167" s="153"/>
      <c r="AL167" s="153"/>
      <c r="AM167" s="153"/>
      <c r="AN167" s="153"/>
      <c r="AO167" s="153"/>
      <c r="AP167" s="153"/>
      <c r="AQ167" s="153"/>
      <c r="AR167" s="153"/>
    </row>
    <row r="168" spans="1:44" ht="15.75" customHeight="1">
      <c r="A168" s="153"/>
      <c r="B168" s="153"/>
      <c r="C168" s="152"/>
      <c r="D168" s="152"/>
      <c r="E168" s="153"/>
      <c r="F168" s="153"/>
      <c r="G168" s="153"/>
      <c r="H168" s="153"/>
      <c r="I168" s="153"/>
      <c r="J168" s="153"/>
      <c r="K168" s="153"/>
      <c r="L168" s="153"/>
      <c r="M168" s="153"/>
      <c r="N168" s="153"/>
      <c r="O168" s="153"/>
      <c r="P168" s="153"/>
      <c r="Q168" s="153"/>
      <c r="R168" s="153"/>
      <c r="S168" s="153"/>
      <c r="T168" s="153"/>
      <c r="U168" s="153"/>
      <c r="V168" s="153"/>
      <c r="W168" s="153"/>
      <c r="X168" s="153"/>
      <c r="Y168" s="153"/>
      <c r="Z168" s="153"/>
      <c r="AA168" s="153"/>
      <c r="AB168" s="153"/>
      <c r="AC168" s="153"/>
      <c r="AD168" s="153"/>
      <c r="AE168" s="153"/>
      <c r="AF168" s="153"/>
      <c r="AG168" s="153"/>
      <c r="AH168" s="153"/>
      <c r="AI168" s="153"/>
      <c r="AJ168" s="153"/>
      <c r="AK168" s="153"/>
      <c r="AL168" s="153"/>
      <c r="AM168" s="153"/>
      <c r="AN168" s="153"/>
      <c r="AO168" s="153"/>
      <c r="AP168" s="153"/>
      <c r="AQ168" s="153"/>
      <c r="AR168" s="153"/>
    </row>
    <row r="169" spans="1:44" ht="15.75" customHeight="1">
      <c r="A169" s="153"/>
      <c r="B169" s="153"/>
      <c r="C169" s="152"/>
      <c r="D169" s="152"/>
      <c r="E169" s="153"/>
      <c r="F169" s="153"/>
      <c r="G169" s="153"/>
      <c r="H169" s="153"/>
      <c r="I169" s="153"/>
      <c r="J169" s="153"/>
      <c r="K169" s="153"/>
      <c r="L169" s="153"/>
      <c r="M169" s="153"/>
      <c r="N169" s="153"/>
      <c r="O169" s="153"/>
      <c r="P169" s="153"/>
      <c r="Q169" s="153"/>
      <c r="R169" s="153"/>
      <c r="S169" s="153"/>
      <c r="T169" s="153"/>
      <c r="U169" s="153"/>
      <c r="V169" s="153"/>
      <c r="W169" s="153"/>
      <c r="X169" s="153"/>
      <c r="Y169" s="153"/>
      <c r="Z169" s="153"/>
      <c r="AA169" s="153"/>
      <c r="AB169" s="153"/>
      <c r="AC169" s="153"/>
      <c r="AD169" s="153"/>
      <c r="AE169" s="153"/>
      <c r="AF169" s="153"/>
      <c r="AG169" s="153"/>
      <c r="AH169" s="153"/>
      <c r="AI169" s="153"/>
      <c r="AJ169" s="153"/>
      <c r="AK169" s="153"/>
      <c r="AL169" s="153"/>
      <c r="AM169" s="153"/>
      <c r="AN169" s="153"/>
      <c r="AO169" s="153"/>
      <c r="AP169" s="153"/>
      <c r="AQ169" s="153"/>
      <c r="AR169" s="153"/>
    </row>
    <row r="170" spans="1:44" ht="15.75" customHeight="1">
      <c r="A170" s="153"/>
      <c r="B170" s="153"/>
      <c r="C170" s="152"/>
      <c r="D170" s="152"/>
      <c r="E170" s="153"/>
      <c r="F170" s="153"/>
      <c r="G170" s="153"/>
      <c r="H170" s="153"/>
      <c r="I170" s="153"/>
      <c r="J170" s="153"/>
      <c r="K170" s="153"/>
      <c r="L170" s="153"/>
      <c r="M170" s="153"/>
      <c r="N170" s="153"/>
      <c r="O170" s="153"/>
      <c r="P170" s="153"/>
      <c r="Q170" s="153"/>
      <c r="R170" s="153"/>
      <c r="S170" s="153"/>
      <c r="T170" s="153"/>
      <c r="U170" s="153"/>
      <c r="V170" s="153"/>
      <c r="W170" s="153"/>
      <c r="X170" s="153"/>
      <c r="Y170" s="153"/>
      <c r="Z170" s="153"/>
      <c r="AA170" s="153"/>
      <c r="AB170" s="153"/>
      <c r="AC170" s="153"/>
      <c r="AD170" s="153"/>
      <c r="AE170" s="153"/>
      <c r="AF170" s="153"/>
      <c r="AG170" s="153"/>
      <c r="AH170" s="153"/>
      <c r="AI170" s="153"/>
      <c r="AJ170" s="153"/>
      <c r="AK170" s="153"/>
      <c r="AL170" s="153"/>
      <c r="AM170" s="153"/>
      <c r="AN170" s="153"/>
      <c r="AO170" s="153"/>
      <c r="AP170" s="153"/>
      <c r="AQ170" s="153"/>
      <c r="AR170" s="153"/>
    </row>
    <row r="171" spans="1:44" ht="15.75" customHeight="1">
      <c r="A171" s="153"/>
      <c r="B171" s="153"/>
      <c r="C171" s="152"/>
      <c r="D171" s="152"/>
      <c r="E171" s="153"/>
      <c r="F171" s="153"/>
      <c r="G171" s="153"/>
      <c r="H171" s="153"/>
      <c r="I171" s="153"/>
      <c r="J171" s="153"/>
      <c r="K171" s="153"/>
      <c r="L171" s="153"/>
      <c r="M171" s="153"/>
      <c r="N171" s="153"/>
      <c r="O171" s="153"/>
      <c r="P171" s="153"/>
      <c r="Q171" s="153"/>
      <c r="R171" s="153"/>
      <c r="S171" s="153"/>
      <c r="T171" s="153"/>
      <c r="U171" s="153"/>
      <c r="V171" s="153"/>
      <c r="W171" s="153"/>
      <c r="X171" s="153"/>
      <c r="Y171" s="153"/>
      <c r="Z171" s="153"/>
      <c r="AA171" s="153"/>
      <c r="AB171" s="153"/>
      <c r="AC171" s="153"/>
      <c r="AD171" s="153"/>
      <c r="AE171" s="153"/>
      <c r="AF171" s="153"/>
      <c r="AG171" s="153"/>
      <c r="AH171" s="153"/>
      <c r="AI171" s="153"/>
      <c r="AJ171" s="153"/>
      <c r="AK171" s="153"/>
      <c r="AL171" s="153"/>
      <c r="AM171" s="153"/>
      <c r="AN171" s="153"/>
      <c r="AO171" s="153"/>
      <c r="AP171" s="153"/>
      <c r="AQ171" s="153"/>
      <c r="AR171" s="153"/>
    </row>
    <row r="172" spans="1:44" ht="15.75" customHeight="1">
      <c r="A172" s="153"/>
      <c r="B172" s="153"/>
      <c r="C172" s="152"/>
      <c r="D172" s="152"/>
      <c r="E172" s="153"/>
      <c r="F172" s="153"/>
      <c r="G172" s="153"/>
      <c r="H172" s="153"/>
      <c r="I172" s="153"/>
      <c r="J172" s="153"/>
      <c r="K172" s="153"/>
      <c r="L172" s="153"/>
      <c r="M172" s="153"/>
      <c r="N172" s="153"/>
      <c r="O172" s="153"/>
      <c r="P172" s="153"/>
      <c r="Q172" s="153"/>
      <c r="R172" s="153"/>
      <c r="S172" s="153"/>
      <c r="T172" s="153"/>
      <c r="U172" s="153"/>
      <c r="V172" s="153"/>
      <c r="W172" s="153"/>
      <c r="X172" s="153"/>
      <c r="Y172" s="153"/>
      <c r="Z172" s="153"/>
      <c r="AA172" s="153"/>
      <c r="AB172" s="153"/>
      <c r="AC172" s="153"/>
      <c r="AD172" s="153"/>
      <c r="AE172" s="153"/>
      <c r="AF172" s="153"/>
      <c r="AG172" s="153"/>
      <c r="AH172" s="153"/>
      <c r="AI172" s="153"/>
      <c r="AJ172" s="153"/>
      <c r="AK172" s="153"/>
      <c r="AL172" s="153"/>
      <c r="AM172" s="153"/>
      <c r="AN172" s="153"/>
      <c r="AO172" s="153"/>
      <c r="AP172" s="153"/>
      <c r="AQ172" s="153"/>
      <c r="AR172" s="153"/>
    </row>
    <row r="173" spans="1:44" ht="15.75" customHeight="1">
      <c r="A173" s="153"/>
      <c r="B173" s="153"/>
      <c r="C173" s="152"/>
      <c r="D173" s="152"/>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c r="AA173" s="153"/>
      <c r="AB173" s="153"/>
      <c r="AC173" s="153"/>
      <c r="AD173" s="153"/>
      <c r="AE173" s="153"/>
      <c r="AF173" s="153"/>
      <c r="AG173" s="153"/>
      <c r="AH173" s="153"/>
      <c r="AI173" s="153"/>
      <c r="AJ173" s="153"/>
      <c r="AK173" s="153"/>
      <c r="AL173" s="153"/>
      <c r="AM173" s="153"/>
      <c r="AN173" s="153"/>
      <c r="AO173" s="153"/>
      <c r="AP173" s="153"/>
      <c r="AQ173" s="153"/>
      <c r="AR173" s="153"/>
    </row>
    <row r="174" spans="1:44" ht="15.75" customHeight="1">
      <c r="A174" s="153"/>
      <c r="B174" s="153"/>
      <c r="C174" s="152"/>
      <c r="D174" s="152"/>
      <c r="E174" s="153"/>
      <c r="F174" s="153"/>
      <c r="G174" s="153"/>
      <c r="H174" s="153"/>
      <c r="I174" s="153"/>
      <c r="J174" s="153"/>
      <c r="K174" s="153"/>
      <c r="L174" s="153"/>
      <c r="M174" s="153"/>
      <c r="N174" s="153"/>
      <c r="O174" s="153"/>
      <c r="P174" s="153"/>
      <c r="Q174" s="153"/>
      <c r="R174" s="153"/>
      <c r="S174" s="153"/>
      <c r="T174" s="153"/>
      <c r="U174" s="153"/>
      <c r="V174" s="153"/>
      <c r="W174" s="153"/>
      <c r="X174" s="153"/>
      <c r="Y174" s="153"/>
      <c r="Z174" s="153"/>
      <c r="AA174" s="153"/>
      <c r="AB174" s="153"/>
      <c r="AC174" s="153"/>
      <c r="AD174" s="153"/>
      <c r="AE174" s="153"/>
      <c r="AF174" s="153"/>
      <c r="AG174" s="153"/>
      <c r="AH174" s="153"/>
      <c r="AI174" s="153"/>
      <c r="AJ174" s="153"/>
      <c r="AK174" s="153"/>
      <c r="AL174" s="153"/>
      <c r="AM174" s="153"/>
      <c r="AN174" s="153"/>
      <c r="AO174" s="153"/>
      <c r="AP174" s="153"/>
      <c r="AQ174" s="153"/>
      <c r="AR174" s="153"/>
    </row>
    <row r="175" spans="1:44" ht="15.75" customHeight="1">
      <c r="A175" s="153"/>
      <c r="B175" s="153"/>
      <c r="C175" s="152"/>
      <c r="D175" s="152"/>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c r="AA175" s="153"/>
      <c r="AB175" s="153"/>
      <c r="AC175" s="153"/>
      <c r="AD175" s="153"/>
      <c r="AE175" s="153"/>
      <c r="AF175" s="153"/>
      <c r="AG175" s="153"/>
      <c r="AH175" s="153"/>
      <c r="AI175" s="153"/>
      <c r="AJ175" s="153"/>
      <c r="AK175" s="153"/>
      <c r="AL175" s="153"/>
      <c r="AM175" s="153"/>
      <c r="AN175" s="153"/>
      <c r="AO175" s="153"/>
      <c r="AP175" s="153"/>
      <c r="AQ175" s="153"/>
      <c r="AR175" s="153"/>
    </row>
    <row r="176" spans="1:44" ht="15.75" customHeight="1">
      <c r="A176" s="153"/>
      <c r="B176" s="153"/>
      <c r="C176" s="152"/>
      <c r="D176" s="152"/>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c r="AA176" s="153"/>
      <c r="AB176" s="153"/>
      <c r="AC176" s="153"/>
      <c r="AD176" s="153"/>
      <c r="AE176" s="153"/>
      <c r="AF176" s="153"/>
      <c r="AG176" s="153"/>
      <c r="AH176" s="153"/>
      <c r="AI176" s="153"/>
      <c r="AJ176" s="153"/>
      <c r="AK176" s="153"/>
      <c r="AL176" s="153"/>
      <c r="AM176" s="153"/>
      <c r="AN176" s="153"/>
      <c r="AO176" s="153"/>
      <c r="AP176" s="153"/>
      <c r="AQ176" s="153"/>
      <c r="AR176" s="153"/>
    </row>
    <row r="177" spans="1:44" ht="15.75" customHeight="1">
      <c r="A177" s="153"/>
      <c r="B177" s="153"/>
      <c r="C177" s="152"/>
      <c r="D177" s="152"/>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53"/>
      <c r="AA177" s="153"/>
      <c r="AB177" s="153"/>
      <c r="AC177" s="153"/>
      <c r="AD177" s="153"/>
      <c r="AE177" s="153"/>
      <c r="AF177" s="153"/>
      <c r="AG177" s="153"/>
      <c r="AH177" s="153"/>
      <c r="AI177" s="153"/>
      <c r="AJ177" s="153"/>
      <c r="AK177" s="153"/>
      <c r="AL177" s="153"/>
      <c r="AM177" s="153"/>
      <c r="AN177" s="153"/>
      <c r="AO177" s="153"/>
      <c r="AP177" s="153"/>
      <c r="AQ177" s="153"/>
      <c r="AR177" s="153"/>
    </row>
    <row r="178" spans="1:44" ht="15.75" customHeight="1">
      <c r="A178" s="153"/>
      <c r="B178" s="153"/>
      <c r="C178" s="152"/>
      <c r="D178" s="152"/>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c r="AA178" s="153"/>
      <c r="AB178" s="153"/>
      <c r="AC178" s="153"/>
      <c r="AD178" s="153"/>
      <c r="AE178" s="153"/>
      <c r="AF178" s="153"/>
      <c r="AG178" s="153"/>
      <c r="AH178" s="153"/>
      <c r="AI178" s="153"/>
      <c r="AJ178" s="153"/>
      <c r="AK178" s="153"/>
      <c r="AL178" s="153"/>
      <c r="AM178" s="153"/>
      <c r="AN178" s="153"/>
      <c r="AO178" s="153"/>
      <c r="AP178" s="153"/>
      <c r="AQ178" s="153"/>
      <c r="AR178" s="153"/>
    </row>
    <row r="179" spans="1:44" ht="15.75" customHeight="1">
      <c r="A179" s="153"/>
      <c r="B179" s="153"/>
      <c r="C179" s="152"/>
      <c r="D179" s="152"/>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c r="AA179" s="153"/>
      <c r="AB179" s="153"/>
      <c r="AC179" s="153"/>
      <c r="AD179" s="153"/>
      <c r="AE179" s="153"/>
      <c r="AF179" s="153"/>
      <c r="AG179" s="153"/>
      <c r="AH179" s="153"/>
      <c r="AI179" s="153"/>
      <c r="AJ179" s="153"/>
      <c r="AK179" s="153"/>
      <c r="AL179" s="153"/>
      <c r="AM179" s="153"/>
      <c r="AN179" s="153"/>
      <c r="AO179" s="153"/>
      <c r="AP179" s="153"/>
      <c r="AQ179" s="153"/>
      <c r="AR179" s="153"/>
    </row>
    <row r="180" spans="1:44" ht="15.75" customHeight="1">
      <c r="A180" s="153"/>
      <c r="B180" s="153"/>
      <c r="C180" s="152"/>
      <c r="D180" s="152"/>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c r="AA180" s="153"/>
      <c r="AB180" s="153"/>
      <c r="AC180" s="153"/>
      <c r="AD180" s="153"/>
      <c r="AE180" s="153"/>
      <c r="AF180" s="153"/>
      <c r="AG180" s="153"/>
      <c r="AH180" s="153"/>
      <c r="AI180" s="153"/>
      <c r="AJ180" s="153"/>
      <c r="AK180" s="153"/>
      <c r="AL180" s="153"/>
      <c r="AM180" s="153"/>
      <c r="AN180" s="153"/>
      <c r="AO180" s="153"/>
      <c r="AP180" s="153"/>
      <c r="AQ180" s="153"/>
      <c r="AR180" s="153"/>
    </row>
    <row r="181" spans="1:44" ht="15.75" customHeight="1">
      <c r="A181" s="153"/>
      <c r="B181" s="153"/>
      <c r="C181" s="152"/>
      <c r="D181" s="152"/>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c r="AA181" s="153"/>
      <c r="AB181" s="153"/>
      <c r="AC181" s="153"/>
      <c r="AD181" s="153"/>
      <c r="AE181" s="153"/>
      <c r="AF181" s="153"/>
      <c r="AG181" s="153"/>
      <c r="AH181" s="153"/>
      <c r="AI181" s="153"/>
      <c r="AJ181" s="153"/>
      <c r="AK181" s="153"/>
      <c r="AL181" s="153"/>
      <c r="AM181" s="153"/>
      <c r="AN181" s="153"/>
      <c r="AO181" s="153"/>
      <c r="AP181" s="153"/>
      <c r="AQ181" s="153"/>
      <c r="AR181" s="153"/>
    </row>
    <row r="182" spans="1:44" ht="15.75" customHeight="1">
      <c r="A182" s="153"/>
      <c r="B182" s="153"/>
      <c r="C182" s="152"/>
      <c r="D182" s="152"/>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c r="AA182" s="153"/>
      <c r="AB182" s="153"/>
      <c r="AC182" s="153"/>
      <c r="AD182" s="153"/>
      <c r="AE182" s="153"/>
      <c r="AF182" s="153"/>
      <c r="AG182" s="153"/>
      <c r="AH182" s="153"/>
      <c r="AI182" s="153"/>
      <c r="AJ182" s="153"/>
      <c r="AK182" s="153"/>
      <c r="AL182" s="153"/>
      <c r="AM182" s="153"/>
      <c r="AN182" s="153"/>
      <c r="AO182" s="153"/>
      <c r="AP182" s="153"/>
      <c r="AQ182" s="153"/>
      <c r="AR182" s="153"/>
    </row>
    <row r="183" spans="1:44" ht="15.75" customHeight="1">
      <c r="A183" s="153"/>
      <c r="B183" s="153"/>
      <c r="C183" s="152"/>
      <c r="D183" s="152"/>
      <c r="E183" s="153"/>
      <c r="F183" s="153"/>
      <c r="G183" s="153"/>
      <c r="H183" s="153"/>
      <c r="I183" s="153"/>
      <c r="J183" s="153"/>
      <c r="K183" s="153"/>
      <c r="L183" s="153"/>
      <c r="M183" s="153"/>
      <c r="N183" s="153"/>
      <c r="O183" s="153"/>
      <c r="P183" s="153"/>
      <c r="Q183" s="153"/>
      <c r="R183" s="153"/>
      <c r="S183" s="153"/>
      <c r="T183" s="153"/>
      <c r="U183" s="153"/>
      <c r="V183" s="153"/>
      <c r="W183" s="153"/>
      <c r="X183" s="153"/>
      <c r="Y183" s="153"/>
      <c r="Z183" s="153"/>
      <c r="AA183" s="153"/>
      <c r="AB183" s="153"/>
      <c r="AC183" s="153"/>
      <c r="AD183" s="153"/>
      <c r="AE183" s="153"/>
      <c r="AF183" s="153"/>
      <c r="AG183" s="153"/>
      <c r="AH183" s="153"/>
      <c r="AI183" s="153"/>
      <c r="AJ183" s="153"/>
      <c r="AK183" s="153"/>
      <c r="AL183" s="153"/>
      <c r="AM183" s="153"/>
      <c r="AN183" s="153"/>
      <c r="AO183" s="153"/>
      <c r="AP183" s="153"/>
      <c r="AQ183" s="153"/>
      <c r="AR183" s="153"/>
    </row>
    <row r="184" spans="1:44" ht="15.75" customHeight="1">
      <c r="A184" s="153"/>
      <c r="B184" s="153"/>
      <c r="C184" s="152"/>
      <c r="D184" s="152"/>
      <c r="E184" s="153"/>
      <c r="F184" s="153"/>
      <c r="G184" s="153"/>
      <c r="H184" s="153"/>
      <c r="I184" s="153"/>
      <c r="J184" s="153"/>
      <c r="K184" s="153"/>
      <c r="L184" s="153"/>
      <c r="M184" s="153"/>
      <c r="N184" s="153"/>
      <c r="O184" s="153"/>
      <c r="P184" s="153"/>
      <c r="Q184" s="153"/>
      <c r="R184" s="153"/>
      <c r="S184" s="153"/>
      <c r="T184" s="153"/>
      <c r="U184" s="153"/>
      <c r="V184" s="153"/>
      <c r="W184" s="153"/>
      <c r="X184" s="153"/>
      <c r="Y184" s="153"/>
      <c r="Z184" s="153"/>
      <c r="AA184" s="153"/>
      <c r="AB184" s="153"/>
      <c r="AC184" s="153"/>
      <c r="AD184" s="153"/>
      <c r="AE184" s="153"/>
      <c r="AF184" s="153"/>
      <c r="AG184" s="153"/>
      <c r="AH184" s="153"/>
      <c r="AI184" s="153"/>
      <c r="AJ184" s="153"/>
      <c r="AK184" s="153"/>
      <c r="AL184" s="153"/>
      <c r="AM184" s="153"/>
      <c r="AN184" s="153"/>
      <c r="AO184" s="153"/>
      <c r="AP184" s="153"/>
      <c r="AQ184" s="153"/>
      <c r="AR184" s="153"/>
    </row>
    <row r="185" spans="1:44" ht="15.75" customHeight="1">
      <c r="A185" s="153"/>
      <c r="B185" s="153"/>
      <c r="C185" s="152"/>
      <c r="D185" s="152"/>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53"/>
      <c r="AA185" s="153"/>
      <c r="AB185" s="153"/>
      <c r="AC185" s="153"/>
      <c r="AD185" s="153"/>
      <c r="AE185" s="153"/>
      <c r="AF185" s="153"/>
      <c r="AG185" s="153"/>
      <c r="AH185" s="153"/>
      <c r="AI185" s="153"/>
      <c r="AJ185" s="153"/>
      <c r="AK185" s="153"/>
      <c r="AL185" s="153"/>
      <c r="AM185" s="153"/>
      <c r="AN185" s="153"/>
      <c r="AO185" s="153"/>
      <c r="AP185" s="153"/>
      <c r="AQ185" s="153"/>
      <c r="AR185" s="153"/>
    </row>
    <row r="186" spans="1:44" ht="15.75" customHeight="1">
      <c r="A186" s="153"/>
      <c r="B186" s="153"/>
      <c r="C186" s="152"/>
      <c r="D186" s="152"/>
      <c r="E186" s="153"/>
      <c r="F186" s="153"/>
      <c r="G186" s="153"/>
      <c r="H186" s="153"/>
      <c r="I186" s="153"/>
      <c r="J186" s="153"/>
      <c r="K186" s="153"/>
      <c r="L186" s="153"/>
      <c r="M186" s="153"/>
      <c r="N186" s="153"/>
      <c r="O186" s="153"/>
      <c r="P186" s="153"/>
      <c r="Q186" s="153"/>
      <c r="R186" s="153"/>
      <c r="S186" s="153"/>
      <c r="T186" s="153"/>
      <c r="U186" s="153"/>
      <c r="V186" s="153"/>
      <c r="W186" s="153"/>
      <c r="X186" s="153"/>
      <c r="Y186" s="153"/>
      <c r="Z186" s="153"/>
      <c r="AA186" s="153"/>
      <c r="AB186" s="153"/>
      <c r="AC186" s="153"/>
      <c r="AD186" s="153"/>
      <c r="AE186" s="153"/>
      <c r="AF186" s="153"/>
      <c r="AG186" s="153"/>
      <c r="AH186" s="153"/>
      <c r="AI186" s="153"/>
      <c r="AJ186" s="153"/>
      <c r="AK186" s="153"/>
      <c r="AL186" s="153"/>
      <c r="AM186" s="153"/>
      <c r="AN186" s="153"/>
      <c r="AO186" s="153"/>
      <c r="AP186" s="153"/>
      <c r="AQ186" s="153"/>
      <c r="AR186" s="153"/>
    </row>
    <row r="187" spans="1:44" ht="15.75" customHeight="1">
      <c r="A187" s="153"/>
      <c r="B187" s="153"/>
      <c r="C187" s="152"/>
      <c r="D187" s="152"/>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c r="AA187" s="153"/>
      <c r="AB187" s="153"/>
      <c r="AC187" s="153"/>
      <c r="AD187" s="153"/>
      <c r="AE187" s="153"/>
      <c r="AF187" s="153"/>
      <c r="AG187" s="153"/>
      <c r="AH187" s="153"/>
      <c r="AI187" s="153"/>
      <c r="AJ187" s="153"/>
      <c r="AK187" s="153"/>
      <c r="AL187" s="153"/>
      <c r="AM187" s="153"/>
      <c r="AN187" s="153"/>
      <c r="AO187" s="153"/>
      <c r="AP187" s="153"/>
      <c r="AQ187" s="153"/>
      <c r="AR187" s="153"/>
    </row>
    <row r="188" spans="1:44" ht="15.75" customHeight="1">
      <c r="A188" s="153"/>
      <c r="B188" s="153"/>
      <c r="C188" s="152"/>
      <c r="D188" s="152"/>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c r="AA188" s="153"/>
      <c r="AB188" s="153"/>
      <c r="AC188" s="153"/>
      <c r="AD188" s="153"/>
      <c r="AE188" s="153"/>
      <c r="AF188" s="153"/>
      <c r="AG188" s="153"/>
      <c r="AH188" s="153"/>
      <c r="AI188" s="153"/>
      <c r="AJ188" s="153"/>
      <c r="AK188" s="153"/>
      <c r="AL188" s="153"/>
      <c r="AM188" s="153"/>
      <c r="AN188" s="153"/>
      <c r="AO188" s="153"/>
      <c r="AP188" s="153"/>
      <c r="AQ188" s="153"/>
      <c r="AR188" s="153"/>
    </row>
    <row r="189" spans="1:44" ht="15.75" customHeight="1">
      <c r="A189" s="153"/>
      <c r="B189" s="153"/>
      <c r="C189" s="152"/>
      <c r="D189" s="152"/>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c r="AA189" s="153"/>
      <c r="AB189" s="153"/>
      <c r="AC189" s="153"/>
      <c r="AD189" s="153"/>
      <c r="AE189" s="153"/>
      <c r="AF189" s="153"/>
      <c r="AG189" s="153"/>
      <c r="AH189" s="153"/>
      <c r="AI189" s="153"/>
      <c r="AJ189" s="153"/>
      <c r="AK189" s="153"/>
      <c r="AL189" s="153"/>
      <c r="AM189" s="153"/>
      <c r="AN189" s="153"/>
      <c r="AO189" s="153"/>
      <c r="AP189" s="153"/>
      <c r="AQ189" s="153"/>
      <c r="AR189" s="153"/>
    </row>
    <row r="190" spans="1:44" ht="15.75" customHeight="1">
      <c r="A190" s="153"/>
      <c r="B190" s="153"/>
      <c r="C190" s="152"/>
      <c r="D190" s="152"/>
      <c r="E190" s="153"/>
      <c r="F190" s="153"/>
      <c r="G190" s="153"/>
      <c r="H190" s="153"/>
      <c r="I190" s="153"/>
      <c r="J190" s="153"/>
      <c r="K190" s="153"/>
      <c r="L190" s="153"/>
      <c r="M190" s="153"/>
      <c r="N190" s="153"/>
      <c r="O190" s="153"/>
      <c r="P190" s="153"/>
      <c r="Q190" s="153"/>
      <c r="R190" s="153"/>
      <c r="S190" s="153"/>
      <c r="T190" s="153"/>
      <c r="U190" s="153"/>
      <c r="V190" s="153"/>
      <c r="W190" s="153"/>
      <c r="X190" s="153"/>
      <c r="Y190" s="153"/>
      <c r="Z190" s="153"/>
      <c r="AA190" s="153"/>
      <c r="AB190" s="153"/>
      <c r="AC190" s="153"/>
      <c r="AD190" s="153"/>
      <c r="AE190" s="153"/>
      <c r="AF190" s="153"/>
      <c r="AG190" s="153"/>
      <c r="AH190" s="153"/>
      <c r="AI190" s="153"/>
      <c r="AJ190" s="153"/>
      <c r="AK190" s="153"/>
      <c r="AL190" s="153"/>
      <c r="AM190" s="153"/>
      <c r="AN190" s="153"/>
      <c r="AO190" s="153"/>
      <c r="AP190" s="153"/>
      <c r="AQ190" s="153"/>
      <c r="AR190" s="153"/>
    </row>
    <row r="191" spans="1:44" ht="15.75" customHeight="1">
      <c r="A191" s="153"/>
      <c r="B191" s="153"/>
      <c r="C191" s="152"/>
      <c r="D191" s="152"/>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c r="AA191" s="153"/>
      <c r="AB191" s="153"/>
      <c r="AC191" s="153"/>
      <c r="AD191" s="153"/>
      <c r="AE191" s="153"/>
      <c r="AF191" s="153"/>
      <c r="AG191" s="153"/>
      <c r="AH191" s="153"/>
      <c r="AI191" s="153"/>
      <c r="AJ191" s="153"/>
      <c r="AK191" s="153"/>
      <c r="AL191" s="153"/>
      <c r="AM191" s="153"/>
      <c r="AN191" s="153"/>
      <c r="AO191" s="153"/>
      <c r="AP191" s="153"/>
      <c r="AQ191" s="153"/>
      <c r="AR191" s="153"/>
    </row>
    <row r="192" spans="1:44" ht="15.75" customHeight="1">
      <c r="A192" s="153"/>
      <c r="B192" s="153"/>
      <c r="C192" s="152"/>
      <c r="D192" s="152"/>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c r="AA192" s="153"/>
      <c r="AB192" s="153"/>
      <c r="AC192" s="153"/>
      <c r="AD192" s="153"/>
      <c r="AE192" s="153"/>
      <c r="AF192" s="153"/>
      <c r="AG192" s="153"/>
      <c r="AH192" s="153"/>
      <c r="AI192" s="153"/>
      <c r="AJ192" s="153"/>
      <c r="AK192" s="153"/>
      <c r="AL192" s="153"/>
      <c r="AM192" s="153"/>
      <c r="AN192" s="153"/>
      <c r="AO192" s="153"/>
      <c r="AP192" s="153"/>
      <c r="AQ192" s="153"/>
      <c r="AR192" s="153"/>
    </row>
    <row r="193" spans="1:44" ht="15.75" customHeight="1">
      <c r="A193" s="153"/>
      <c r="B193" s="153"/>
      <c r="C193" s="152"/>
      <c r="D193" s="152"/>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c r="AA193" s="153"/>
      <c r="AB193" s="153"/>
      <c r="AC193" s="153"/>
      <c r="AD193" s="153"/>
      <c r="AE193" s="153"/>
      <c r="AF193" s="153"/>
      <c r="AG193" s="153"/>
      <c r="AH193" s="153"/>
      <c r="AI193" s="153"/>
      <c r="AJ193" s="153"/>
      <c r="AK193" s="153"/>
      <c r="AL193" s="153"/>
      <c r="AM193" s="153"/>
      <c r="AN193" s="153"/>
      <c r="AO193" s="153"/>
      <c r="AP193" s="153"/>
      <c r="AQ193" s="153"/>
      <c r="AR193" s="153"/>
    </row>
    <row r="194" spans="1:44" ht="15.75" customHeight="1">
      <c r="A194" s="153"/>
      <c r="B194" s="153"/>
      <c r="C194" s="152"/>
      <c r="D194" s="152"/>
      <c r="E194" s="153"/>
      <c r="F194" s="153"/>
      <c r="G194" s="153"/>
      <c r="H194" s="153"/>
      <c r="I194" s="153"/>
      <c r="J194" s="153"/>
      <c r="K194" s="153"/>
      <c r="L194" s="153"/>
      <c r="M194" s="153"/>
      <c r="N194" s="153"/>
      <c r="O194" s="153"/>
      <c r="P194" s="153"/>
      <c r="Q194" s="153"/>
      <c r="R194" s="153"/>
      <c r="S194" s="153"/>
      <c r="T194" s="153"/>
      <c r="U194" s="153"/>
      <c r="V194" s="153"/>
      <c r="W194" s="153"/>
      <c r="X194" s="153"/>
      <c r="Y194" s="153"/>
      <c r="Z194" s="153"/>
      <c r="AA194" s="153"/>
      <c r="AB194" s="153"/>
      <c r="AC194" s="153"/>
      <c r="AD194" s="153"/>
      <c r="AE194" s="153"/>
      <c r="AF194" s="153"/>
      <c r="AG194" s="153"/>
      <c r="AH194" s="153"/>
      <c r="AI194" s="153"/>
      <c r="AJ194" s="153"/>
      <c r="AK194" s="153"/>
      <c r="AL194" s="153"/>
      <c r="AM194" s="153"/>
      <c r="AN194" s="153"/>
      <c r="AO194" s="153"/>
      <c r="AP194" s="153"/>
      <c r="AQ194" s="153"/>
      <c r="AR194" s="153"/>
    </row>
    <row r="195" spans="1:44" ht="15.75" customHeight="1">
      <c r="A195" s="153"/>
      <c r="B195" s="153"/>
      <c r="C195" s="152"/>
      <c r="D195" s="152"/>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c r="AA195" s="153"/>
      <c r="AB195" s="153"/>
      <c r="AC195" s="153"/>
      <c r="AD195" s="153"/>
      <c r="AE195" s="153"/>
      <c r="AF195" s="153"/>
      <c r="AG195" s="153"/>
      <c r="AH195" s="153"/>
      <c r="AI195" s="153"/>
      <c r="AJ195" s="153"/>
      <c r="AK195" s="153"/>
      <c r="AL195" s="153"/>
      <c r="AM195" s="153"/>
      <c r="AN195" s="153"/>
      <c r="AO195" s="153"/>
      <c r="AP195" s="153"/>
      <c r="AQ195" s="153"/>
      <c r="AR195" s="153"/>
    </row>
    <row r="196" spans="1:44" ht="15.75" customHeight="1">
      <c r="A196" s="153"/>
      <c r="B196" s="153"/>
      <c r="C196" s="152"/>
      <c r="D196" s="152"/>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c r="AA196" s="153"/>
      <c r="AB196" s="153"/>
      <c r="AC196" s="153"/>
      <c r="AD196" s="153"/>
      <c r="AE196" s="153"/>
      <c r="AF196" s="153"/>
      <c r="AG196" s="153"/>
      <c r="AH196" s="153"/>
      <c r="AI196" s="153"/>
      <c r="AJ196" s="153"/>
      <c r="AK196" s="153"/>
      <c r="AL196" s="153"/>
      <c r="AM196" s="153"/>
      <c r="AN196" s="153"/>
      <c r="AO196" s="153"/>
      <c r="AP196" s="153"/>
      <c r="AQ196" s="153"/>
      <c r="AR196" s="153"/>
    </row>
    <row r="197" spans="1:44" ht="15.75" customHeight="1">
      <c r="A197" s="153"/>
      <c r="B197" s="153"/>
      <c r="C197" s="152"/>
      <c r="D197" s="152"/>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c r="AA197" s="153"/>
      <c r="AB197" s="153"/>
      <c r="AC197" s="153"/>
      <c r="AD197" s="153"/>
      <c r="AE197" s="153"/>
      <c r="AF197" s="153"/>
      <c r="AG197" s="153"/>
      <c r="AH197" s="153"/>
      <c r="AI197" s="153"/>
      <c r="AJ197" s="153"/>
      <c r="AK197" s="153"/>
      <c r="AL197" s="153"/>
      <c r="AM197" s="153"/>
      <c r="AN197" s="153"/>
      <c r="AO197" s="153"/>
      <c r="AP197" s="153"/>
      <c r="AQ197" s="153"/>
      <c r="AR197" s="153"/>
    </row>
    <row r="198" spans="1:44" ht="15.75" customHeight="1">
      <c r="A198" s="153"/>
      <c r="B198" s="153"/>
      <c r="C198" s="152"/>
      <c r="D198" s="152"/>
      <c r="E198" s="153"/>
      <c r="F198" s="153"/>
      <c r="G198" s="153"/>
      <c r="H198" s="153"/>
      <c r="I198" s="153"/>
      <c r="J198" s="153"/>
      <c r="K198" s="153"/>
      <c r="L198" s="153"/>
      <c r="M198" s="153"/>
      <c r="N198" s="153"/>
      <c r="O198" s="153"/>
      <c r="P198" s="153"/>
      <c r="Q198" s="153"/>
      <c r="R198" s="153"/>
      <c r="S198" s="153"/>
      <c r="T198" s="153"/>
      <c r="U198" s="153"/>
      <c r="V198" s="153"/>
      <c r="W198" s="153"/>
      <c r="X198" s="153"/>
      <c r="Y198" s="153"/>
      <c r="Z198" s="153"/>
      <c r="AA198" s="153"/>
      <c r="AB198" s="153"/>
      <c r="AC198" s="153"/>
      <c r="AD198" s="153"/>
      <c r="AE198" s="153"/>
      <c r="AF198" s="153"/>
      <c r="AG198" s="153"/>
      <c r="AH198" s="153"/>
      <c r="AI198" s="153"/>
      <c r="AJ198" s="153"/>
      <c r="AK198" s="153"/>
      <c r="AL198" s="153"/>
      <c r="AM198" s="153"/>
      <c r="AN198" s="153"/>
      <c r="AO198" s="153"/>
      <c r="AP198" s="153"/>
      <c r="AQ198" s="153"/>
      <c r="AR198" s="153"/>
    </row>
    <row r="199" spans="1:44" ht="15.75" customHeight="1">
      <c r="A199" s="153"/>
      <c r="B199" s="153"/>
      <c r="C199" s="152"/>
      <c r="D199" s="152"/>
      <c r="E199" s="153"/>
      <c r="F199" s="153"/>
      <c r="G199" s="153"/>
      <c r="H199" s="153"/>
      <c r="I199" s="153"/>
      <c r="J199" s="153"/>
      <c r="K199" s="153"/>
      <c r="L199" s="153"/>
      <c r="M199" s="153"/>
      <c r="N199" s="153"/>
      <c r="O199" s="153"/>
      <c r="P199" s="153"/>
      <c r="Q199" s="153"/>
      <c r="R199" s="153"/>
      <c r="S199" s="153"/>
      <c r="T199" s="153"/>
      <c r="U199" s="153"/>
      <c r="V199" s="153"/>
      <c r="W199" s="153"/>
      <c r="X199" s="153"/>
      <c r="Y199" s="153"/>
      <c r="Z199" s="153"/>
      <c r="AA199" s="153"/>
      <c r="AB199" s="153"/>
      <c r="AC199" s="153"/>
      <c r="AD199" s="153"/>
      <c r="AE199" s="153"/>
      <c r="AF199" s="153"/>
      <c r="AG199" s="153"/>
      <c r="AH199" s="153"/>
      <c r="AI199" s="153"/>
      <c r="AJ199" s="153"/>
      <c r="AK199" s="153"/>
      <c r="AL199" s="153"/>
      <c r="AM199" s="153"/>
      <c r="AN199" s="153"/>
      <c r="AO199" s="153"/>
      <c r="AP199" s="153"/>
      <c r="AQ199" s="153"/>
      <c r="AR199" s="153"/>
    </row>
    <row r="200" spans="1:44" ht="15.75" customHeight="1">
      <c r="A200" s="153"/>
      <c r="B200" s="153"/>
      <c r="C200" s="152"/>
      <c r="D200" s="152"/>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c r="AA200" s="153"/>
      <c r="AB200" s="153"/>
      <c r="AC200" s="153"/>
      <c r="AD200" s="153"/>
      <c r="AE200" s="153"/>
      <c r="AF200" s="153"/>
      <c r="AG200" s="153"/>
      <c r="AH200" s="153"/>
      <c r="AI200" s="153"/>
      <c r="AJ200" s="153"/>
      <c r="AK200" s="153"/>
      <c r="AL200" s="153"/>
      <c r="AM200" s="153"/>
      <c r="AN200" s="153"/>
      <c r="AO200" s="153"/>
      <c r="AP200" s="153"/>
      <c r="AQ200" s="153"/>
      <c r="AR200" s="153"/>
    </row>
    <row r="201" spans="1:44" ht="15.75" customHeight="1">
      <c r="A201" s="153"/>
      <c r="B201" s="153"/>
      <c r="C201" s="152"/>
      <c r="D201" s="152"/>
      <c r="E201" s="153"/>
      <c r="F201" s="153"/>
      <c r="G201" s="153"/>
      <c r="H201" s="153"/>
      <c r="I201" s="153"/>
      <c r="J201" s="153"/>
      <c r="K201" s="153"/>
      <c r="L201" s="153"/>
      <c r="M201" s="153"/>
      <c r="N201" s="153"/>
      <c r="O201" s="153"/>
      <c r="P201" s="153"/>
      <c r="Q201" s="153"/>
      <c r="R201" s="153"/>
      <c r="S201" s="153"/>
      <c r="T201" s="153"/>
      <c r="U201" s="153"/>
      <c r="V201" s="153"/>
      <c r="W201" s="153"/>
      <c r="X201" s="153"/>
      <c r="Y201" s="153"/>
      <c r="Z201" s="153"/>
      <c r="AA201" s="153"/>
      <c r="AB201" s="153"/>
      <c r="AC201" s="153"/>
      <c r="AD201" s="153"/>
      <c r="AE201" s="153"/>
      <c r="AF201" s="153"/>
      <c r="AG201" s="153"/>
      <c r="AH201" s="153"/>
      <c r="AI201" s="153"/>
      <c r="AJ201" s="153"/>
      <c r="AK201" s="153"/>
      <c r="AL201" s="153"/>
      <c r="AM201" s="153"/>
      <c r="AN201" s="153"/>
      <c r="AO201" s="153"/>
      <c r="AP201" s="153"/>
      <c r="AQ201" s="153"/>
      <c r="AR201" s="153"/>
    </row>
    <row r="202" spans="1:44" ht="15.75" customHeight="1">
      <c r="A202" s="153"/>
      <c r="B202" s="153"/>
      <c r="C202" s="152"/>
      <c r="D202" s="152"/>
      <c r="E202" s="153"/>
      <c r="F202" s="153"/>
      <c r="G202" s="153"/>
      <c r="H202" s="153"/>
      <c r="I202" s="153"/>
      <c r="J202" s="153"/>
      <c r="K202" s="153"/>
      <c r="L202" s="153"/>
      <c r="M202" s="153"/>
      <c r="N202" s="153"/>
      <c r="O202" s="153"/>
      <c r="P202" s="153"/>
      <c r="Q202" s="153"/>
      <c r="R202" s="153"/>
      <c r="S202" s="153"/>
      <c r="T202" s="153"/>
      <c r="U202" s="153"/>
      <c r="V202" s="153"/>
      <c r="W202" s="153"/>
      <c r="X202" s="153"/>
      <c r="Y202" s="153"/>
      <c r="Z202" s="153"/>
      <c r="AA202" s="153"/>
      <c r="AB202" s="153"/>
      <c r="AC202" s="153"/>
      <c r="AD202" s="153"/>
      <c r="AE202" s="153"/>
      <c r="AF202" s="153"/>
      <c r="AG202" s="153"/>
      <c r="AH202" s="153"/>
      <c r="AI202" s="153"/>
      <c r="AJ202" s="153"/>
      <c r="AK202" s="153"/>
      <c r="AL202" s="153"/>
      <c r="AM202" s="153"/>
      <c r="AN202" s="153"/>
      <c r="AO202" s="153"/>
      <c r="AP202" s="153"/>
      <c r="AQ202" s="153"/>
      <c r="AR202" s="153"/>
    </row>
    <row r="203" spans="1:44" ht="15.75" customHeight="1">
      <c r="A203" s="153"/>
      <c r="B203" s="153"/>
      <c r="C203" s="152"/>
      <c r="D203" s="152"/>
      <c r="E203" s="153"/>
      <c r="F203" s="153"/>
      <c r="G203" s="153"/>
      <c r="H203" s="153"/>
      <c r="I203" s="153"/>
      <c r="J203" s="153"/>
      <c r="K203" s="153"/>
      <c r="L203" s="153"/>
      <c r="M203" s="153"/>
      <c r="N203" s="153"/>
      <c r="O203" s="153"/>
      <c r="P203" s="153"/>
      <c r="Q203" s="153"/>
      <c r="R203" s="153"/>
      <c r="S203" s="153"/>
      <c r="T203" s="153"/>
      <c r="U203" s="153"/>
      <c r="V203" s="153"/>
      <c r="W203" s="153"/>
      <c r="X203" s="153"/>
      <c r="Y203" s="153"/>
      <c r="Z203" s="153"/>
      <c r="AA203" s="153"/>
      <c r="AB203" s="153"/>
      <c r="AC203" s="153"/>
      <c r="AD203" s="153"/>
      <c r="AE203" s="153"/>
      <c r="AF203" s="153"/>
      <c r="AG203" s="153"/>
      <c r="AH203" s="153"/>
      <c r="AI203" s="153"/>
      <c r="AJ203" s="153"/>
      <c r="AK203" s="153"/>
      <c r="AL203" s="153"/>
      <c r="AM203" s="153"/>
      <c r="AN203" s="153"/>
      <c r="AO203" s="153"/>
      <c r="AP203" s="153"/>
      <c r="AQ203" s="153"/>
      <c r="AR203" s="153"/>
    </row>
    <row r="204" spans="1:44" ht="15.75" customHeight="1">
      <c r="A204" s="153"/>
      <c r="B204" s="153"/>
      <c r="C204" s="152"/>
      <c r="D204" s="152"/>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c r="AA204" s="153"/>
      <c r="AB204" s="153"/>
      <c r="AC204" s="153"/>
      <c r="AD204" s="153"/>
      <c r="AE204" s="153"/>
      <c r="AF204" s="153"/>
      <c r="AG204" s="153"/>
      <c r="AH204" s="153"/>
      <c r="AI204" s="153"/>
      <c r="AJ204" s="153"/>
      <c r="AK204" s="153"/>
      <c r="AL204" s="153"/>
      <c r="AM204" s="153"/>
      <c r="AN204" s="153"/>
      <c r="AO204" s="153"/>
      <c r="AP204" s="153"/>
      <c r="AQ204" s="153"/>
      <c r="AR204" s="153"/>
    </row>
    <row r="205" spans="1:44" ht="15.75" customHeight="1">
      <c r="A205" s="153"/>
      <c r="B205" s="153"/>
      <c r="C205" s="152"/>
      <c r="D205" s="152"/>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c r="AA205" s="153"/>
      <c r="AB205" s="153"/>
      <c r="AC205" s="153"/>
      <c r="AD205" s="153"/>
      <c r="AE205" s="153"/>
      <c r="AF205" s="153"/>
      <c r="AG205" s="153"/>
      <c r="AH205" s="153"/>
      <c r="AI205" s="153"/>
      <c r="AJ205" s="153"/>
      <c r="AK205" s="153"/>
      <c r="AL205" s="153"/>
      <c r="AM205" s="153"/>
      <c r="AN205" s="153"/>
      <c r="AO205" s="153"/>
      <c r="AP205" s="153"/>
      <c r="AQ205" s="153"/>
      <c r="AR205" s="153"/>
    </row>
    <row r="206" spans="1:44" ht="15.75" customHeight="1">
      <c r="A206" s="153"/>
      <c r="B206" s="153"/>
      <c r="C206" s="152"/>
      <c r="D206" s="152"/>
      <c r="E206" s="153"/>
      <c r="F206" s="153"/>
      <c r="G206" s="153"/>
      <c r="H206" s="153"/>
      <c r="I206" s="153"/>
      <c r="J206" s="153"/>
      <c r="K206" s="153"/>
      <c r="L206" s="153"/>
      <c r="M206" s="153"/>
      <c r="N206" s="153"/>
      <c r="O206" s="153"/>
      <c r="P206" s="153"/>
      <c r="Q206" s="153"/>
      <c r="R206" s="153"/>
      <c r="S206" s="153"/>
      <c r="T206" s="153"/>
      <c r="U206" s="153"/>
      <c r="V206" s="153"/>
      <c r="W206" s="153"/>
      <c r="X206" s="153"/>
      <c r="Y206" s="153"/>
      <c r="Z206" s="153"/>
      <c r="AA206" s="153"/>
      <c r="AB206" s="153"/>
      <c r="AC206" s="153"/>
      <c r="AD206" s="153"/>
      <c r="AE206" s="153"/>
      <c r="AF206" s="153"/>
      <c r="AG206" s="153"/>
      <c r="AH206" s="153"/>
      <c r="AI206" s="153"/>
      <c r="AJ206" s="153"/>
      <c r="AK206" s="153"/>
      <c r="AL206" s="153"/>
      <c r="AM206" s="153"/>
      <c r="AN206" s="153"/>
      <c r="AO206" s="153"/>
      <c r="AP206" s="153"/>
      <c r="AQ206" s="153"/>
      <c r="AR206" s="153"/>
    </row>
    <row r="207" spans="1:44" ht="15.75" customHeight="1">
      <c r="A207" s="153"/>
      <c r="B207" s="153"/>
      <c r="C207" s="152"/>
      <c r="D207" s="152"/>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c r="AA207" s="153"/>
      <c r="AB207" s="153"/>
      <c r="AC207" s="153"/>
      <c r="AD207" s="153"/>
      <c r="AE207" s="153"/>
      <c r="AF207" s="153"/>
      <c r="AG207" s="153"/>
      <c r="AH207" s="153"/>
      <c r="AI207" s="153"/>
      <c r="AJ207" s="153"/>
      <c r="AK207" s="153"/>
      <c r="AL207" s="153"/>
      <c r="AM207" s="153"/>
      <c r="AN207" s="153"/>
      <c r="AO207" s="153"/>
      <c r="AP207" s="153"/>
      <c r="AQ207" s="153"/>
      <c r="AR207" s="153"/>
    </row>
    <row r="208" spans="1:44" ht="15.75" customHeight="1">
      <c r="A208" s="153"/>
      <c r="B208" s="153"/>
      <c r="C208" s="152"/>
      <c r="D208" s="152"/>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c r="AA208" s="153"/>
      <c r="AB208" s="153"/>
      <c r="AC208" s="153"/>
      <c r="AD208" s="153"/>
      <c r="AE208" s="153"/>
      <c r="AF208" s="153"/>
      <c r="AG208" s="153"/>
      <c r="AH208" s="153"/>
      <c r="AI208" s="153"/>
      <c r="AJ208" s="153"/>
      <c r="AK208" s="153"/>
      <c r="AL208" s="153"/>
      <c r="AM208" s="153"/>
      <c r="AN208" s="153"/>
      <c r="AO208" s="153"/>
      <c r="AP208" s="153"/>
      <c r="AQ208" s="153"/>
      <c r="AR208" s="153"/>
    </row>
    <row r="209" spans="1:44" ht="15.75" customHeight="1">
      <c r="A209" s="153"/>
      <c r="B209" s="153"/>
      <c r="C209" s="152"/>
      <c r="D209" s="152"/>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c r="AA209" s="153"/>
      <c r="AB209" s="153"/>
      <c r="AC209" s="153"/>
      <c r="AD209" s="153"/>
      <c r="AE209" s="153"/>
      <c r="AF209" s="153"/>
      <c r="AG209" s="153"/>
      <c r="AH209" s="153"/>
      <c r="AI209" s="153"/>
      <c r="AJ209" s="153"/>
      <c r="AK209" s="153"/>
      <c r="AL209" s="153"/>
      <c r="AM209" s="153"/>
      <c r="AN209" s="153"/>
      <c r="AO209" s="153"/>
      <c r="AP209" s="153"/>
      <c r="AQ209" s="153"/>
      <c r="AR209" s="153"/>
    </row>
    <row r="210" spans="1:44" ht="15.75" customHeight="1">
      <c r="A210" s="153"/>
      <c r="B210" s="153"/>
      <c r="C210" s="152"/>
      <c r="D210" s="152"/>
      <c r="E210" s="153"/>
      <c r="F210" s="153"/>
      <c r="G210" s="153"/>
      <c r="H210" s="153"/>
      <c r="I210" s="153"/>
      <c r="J210" s="153"/>
      <c r="K210" s="153"/>
      <c r="L210" s="153"/>
      <c r="M210" s="153"/>
      <c r="N210" s="153"/>
      <c r="O210" s="153"/>
      <c r="P210" s="153"/>
      <c r="Q210" s="153"/>
      <c r="R210" s="153"/>
      <c r="S210" s="153"/>
      <c r="T210" s="153"/>
      <c r="U210" s="153"/>
      <c r="V210" s="153"/>
      <c r="W210" s="153"/>
      <c r="X210" s="153"/>
      <c r="Y210" s="153"/>
      <c r="Z210" s="153"/>
      <c r="AA210" s="153"/>
      <c r="AB210" s="153"/>
      <c r="AC210" s="153"/>
      <c r="AD210" s="153"/>
      <c r="AE210" s="153"/>
      <c r="AF210" s="153"/>
      <c r="AG210" s="153"/>
      <c r="AH210" s="153"/>
      <c r="AI210" s="153"/>
      <c r="AJ210" s="153"/>
      <c r="AK210" s="153"/>
      <c r="AL210" s="153"/>
      <c r="AM210" s="153"/>
      <c r="AN210" s="153"/>
      <c r="AO210" s="153"/>
      <c r="AP210" s="153"/>
      <c r="AQ210" s="153"/>
      <c r="AR210" s="153"/>
    </row>
    <row r="211" spans="1:44" ht="15.75" customHeight="1">
      <c r="A211" s="153"/>
      <c r="B211" s="153"/>
      <c r="C211" s="152"/>
      <c r="D211" s="152"/>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c r="AA211" s="153"/>
      <c r="AB211" s="153"/>
      <c r="AC211" s="153"/>
      <c r="AD211" s="153"/>
      <c r="AE211" s="153"/>
      <c r="AF211" s="153"/>
      <c r="AG211" s="153"/>
      <c r="AH211" s="153"/>
      <c r="AI211" s="153"/>
      <c r="AJ211" s="153"/>
      <c r="AK211" s="153"/>
      <c r="AL211" s="153"/>
      <c r="AM211" s="153"/>
      <c r="AN211" s="153"/>
      <c r="AO211" s="153"/>
      <c r="AP211" s="153"/>
      <c r="AQ211" s="153"/>
      <c r="AR211" s="153"/>
    </row>
    <row r="212" spans="1:44" ht="15.75" customHeight="1">
      <c r="A212" s="153"/>
      <c r="B212" s="153"/>
      <c r="C212" s="152"/>
      <c r="D212" s="152"/>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c r="AA212" s="153"/>
      <c r="AB212" s="153"/>
      <c r="AC212" s="153"/>
      <c r="AD212" s="153"/>
      <c r="AE212" s="153"/>
      <c r="AF212" s="153"/>
      <c r="AG212" s="153"/>
      <c r="AH212" s="153"/>
      <c r="AI212" s="153"/>
      <c r="AJ212" s="153"/>
      <c r="AK212" s="153"/>
      <c r="AL212" s="153"/>
      <c r="AM212" s="153"/>
      <c r="AN212" s="153"/>
      <c r="AO212" s="153"/>
      <c r="AP212" s="153"/>
      <c r="AQ212" s="153"/>
      <c r="AR212" s="153"/>
    </row>
    <row r="213" spans="1:44" ht="15.75" customHeight="1">
      <c r="A213" s="153"/>
      <c r="B213" s="153"/>
      <c r="C213" s="152"/>
      <c r="D213" s="152"/>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c r="AA213" s="153"/>
      <c r="AB213" s="153"/>
      <c r="AC213" s="153"/>
      <c r="AD213" s="153"/>
      <c r="AE213" s="153"/>
      <c r="AF213" s="153"/>
      <c r="AG213" s="153"/>
      <c r="AH213" s="153"/>
      <c r="AI213" s="153"/>
      <c r="AJ213" s="153"/>
      <c r="AK213" s="153"/>
      <c r="AL213" s="153"/>
      <c r="AM213" s="153"/>
      <c r="AN213" s="153"/>
      <c r="AO213" s="153"/>
      <c r="AP213" s="153"/>
      <c r="AQ213" s="153"/>
      <c r="AR213" s="153"/>
    </row>
    <row r="214" spans="1:44" ht="15.75" customHeight="1">
      <c r="A214" s="153"/>
      <c r="B214" s="153"/>
      <c r="C214" s="152"/>
      <c r="D214" s="152"/>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c r="AA214" s="153"/>
      <c r="AB214" s="153"/>
      <c r="AC214" s="153"/>
      <c r="AD214" s="153"/>
      <c r="AE214" s="153"/>
      <c r="AF214" s="153"/>
      <c r="AG214" s="153"/>
      <c r="AH214" s="153"/>
      <c r="AI214" s="153"/>
      <c r="AJ214" s="153"/>
      <c r="AK214" s="153"/>
      <c r="AL214" s="153"/>
      <c r="AM214" s="153"/>
      <c r="AN214" s="153"/>
      <c r="AO214" s="153"/>
      <c r="AP214" s="153"/>
      <c r="AQ214" s="153"/>
      <c r="AR214" s="153"/>
    </row>
    <row r="215" spans="1:44" ht="15.75" customHeight="1">
      <c r="A215" s="153"/>
      <c r="B215" s="153"/>
      <c r="C215" s="152"/>
      <c r="D215" s="152"/>
      <c r="E215" s="153"/>
      <c r="F215" s="153"/>
      <c r="G215" s="153"/>
      <c r="H215" s="153"/>
      <c r="I215" s="153"/>
      <c r="J215" s="153"/>
      <c r="K215" s="153"/>
      <c r="L215" s="153"/>
      <c r="M215" s="153"/>
      <c r="N215" s="153"/>
      <c r="O215" s="153"/>
      <c r="P215" s="153"/>
      <c r="Q215" s="153"/>
      <c r="R215" s="153"/>
      <c r="S215" s="153"/>
      <c r="T215" s="153"/>
      <c r="U215" s="153"/>
      <c r="V215" s="153"/>
      <c r="W215" s="153"/>
      <c r="X215" s="153"/>
      <c r="Y215" s="153"/>
      <c r="Z215" s="153"/>
      <c r="AA215" s="153"/>
      <c r="AB215" s="153"/>
      <c r="AC215" s="153"/>
      <c r="AD215" s="153"/>
      <c r="AE215" s="153"/>
      <c r="AF215" s="153"/>
      <c r="AG215" s="153"/>
      <c r="AH215" s="153"/>
      <c r="AI215" s="153"/>
      <c r="AJ215" s="153"/>
      <c r="AK215" s="153"/>
      <c r="AL215" s="153"/>
      <c r="AM215" s="153"/>
      <c r="AN215" s="153"/>
      <c r="AO215" s="153"/>
      <c r="AP215" s="153"/>
      <c r="AQ215" s="153"/>
      <c r="AR215" s="153"/>
    </row>
    <row r="216" spans="1:44" ht="15.75" customHeight="1">
      <c r="A216" s="153"/>
      <c r="B216" s="153"/>
      <c r="C216" s="152"/>
      <c r="D216" s="152"/>
      <c r="E216" s="153"/>
      <c r="F216" s="153"/>
      <c r="G216" s="153"/>
      <c r="H216" s="153"/>
      <c r="I216" s="153"/>
      <c r="J216" s="153"/>
      <c r="K216" s="153"/>
      <c r="L216" s="153"/>
      <c r="M216" s="153"/>
      <c r="N216" s="153"/>
      <c r="O216" s="153"/>
      <c r="P216" s="153"/>
      <c r="Q216" s="153"/>
      <c r="R216" s="153"/>
      <c r="S216" s="153"/>
      <c r="T216" s="153"/>
      <c r="U216" s="153"/>
      <c r="V216" s="153"/>
      <c r="W216" s="153"/>
      <c r="X216" s="153"/>
      <c r="Y216" s="153"/>
      <c r="Z216" s="153"/>
      <c r="AA216" s="153"/>
      <c r="AB216" s="153"/>
      <c r="AC216" s="153"/>
      <c r="AD216" s="153"/>
      <c r="AE216" s="153"/>
      <c r="AF216" s="153"/>
      <c r="AG216" s="153"/>
      <c r="AH216" s="153"/>
      <c r="AI216" s="153"/>
      <c r="AJ216" s="153"/>
      <c r="AK216" s="153"/>
      <c r="AL216" s="153"/>
      <c r="AM216" s="153"/>
      <c r="AN216" s="153"/>
      <c r="AO216" s="153"/>
      <c r="AP216" s="153"/>
      <c r="AQ216" s="153"/>
      <c r="AR216" s="153"/>
    </row>
    <row r="217" spans="1:44" ht="15.75" customHeight="1">
      <c r="A217" s="153"/>
      <c r="B217" s="153"/>
      <c r="C217" s="152"/>
      <c r="D217" s="152"/>
      <c r="E217" s="153"/>
      <c r="F217" s="153"/>
      <c r="G217" s="153"/>
      <c r="H217" s="153"/>
      <c r="I217" s="153"/>
      <c r="J217" s="153"/>
      <c r="K217" s="153"/>
      <c r="L217" s="153"/>
      <c r="M217" s="153"/>
      <c r="N217" s="153"/>
      <c r="O217" s="153"/>
      <c r="P217" s="153"/>
      <c r="Q217" s="153"/>
      <c r="R217" s="153"/>
      <c r="S217" s="153"/>
      <c r="T217" s="153"/>
      <c r="U217" s="153"/>
      <c r="V217" s="153"/>
      <c r="W217" s="153"/>
      <c r="X217" s="153"/>
      <c r="Y217" s="153"/>
      <c r="Z217" s="153"/>
      <c r="AA217" s="153"/>
      <c r="AB217" s="153"/>
      <c r="AC217" s="153"/>
      <c r="AD217" s="153"/>
      <c r="AE217" s="153"/>
      <c r="AF217" s="153"/>
      <c r="AG217" s="153"/>
      <c r="AH217" s="153"/>
      <c r="AI217" s="153"/>
      <c r="AJ217" s="153"/>
      <c r="AK217" s="153"/>
      <c r="AL217" s="153"/>
      <c r="AM217" s="153"/>
      <c r="AN217" s="153"/>
      <c r="AO217" s="153"/>
      <c r="AP217" s="153"/>
      <c r="AQ217" s="153"/>
      <c r="AR217" s="153"/>
    </row>
    <row r="218" spans="1:44" ht="15.75" customHeight="1">
      <c r="A218" s="153"/>
      <c r="B218" s="153"/>
      <c r="C218" s="152"/>
      <c r="D218" s="152"/>
      <c r="E218" s="153"/>
      <c r="F218" s="153"/>
      <c r="G218" s="153"/>
      <c r="H218" s="153"/>
      <c r="I218" s="153"/>
      <c r="J218" s="153"/>
      <c r="K218" s="153"/>
      <c r="L218" s="153"/>
      <c r="M218" s="153"/>
      <c r="N218" s="153"/>
      <c r="O218" s="153"/>
      <c r="P218" s="153"/>
      <c r="Q218" s="153"/>
      <c r="R218" s="153"/>
      <c r="S218" s="153"/>
      <c r="T218" s="153"/>
      <c r="U218" s="153"/>
      <c r="V218" s="153"/>
      <c r="W218" s="153"/>
      <c r="X218" s="153"/>
      <c r="Y218" s="153"/>
      <c r="Z218" s="153"/>
      <c r="AA218" s="153"/>
      <c r="AB218" s="153"/>
      <c r="AC218" s="153"/>
      <c r="AD218" s="153"/>
      <c r="AE218" s="153"/>
      <c r="AF218" s="153"/>
      <c r="AG218" s="153"/>
      <c r="AH218" s="153"/>
      <c r="AI218" s="153"/>
      <c r="AJ218" s="153"/>
      <c r="AK218" s="153"/>
      <c r="AL218" s="153"/>
      <c r="AM218" s="153"/>
      <c r="AN218" s="153"/>
      <c r="AO218" s="153"/>
      <c r="AP218" s="153"/>
      <c r="AQ218" s="153"/>
      <c r="AR218" s="153"/>
    </row>
    <row r="219" spans="1:44" ht="15.75" customHeight="1">
      <c r="A219" s="153"/>
      <c r="B219" s="153"/>
      <c r="C219" s="152"/>
      <c r="D219" s="152"/>
      <c r="E219" s="153"/>
      <c r="F219" s="153"/>
      <c r="G219" s="153"/>
      <c r="H219" s="153"/>
      <c r="I219" s="153"/>
      <c r="J219" s="153"/>
      <c r="K219" s="153"/>
      <c r="L219" s="153"/>
      <c r="M219" s="153"/>
      <c r="N219" s="153"/>
      <c r="O219" s="153"/>
      <c r="P219" s="153"/>
      <c r="Q219" s="153"/>
      <c r="R219" s="153"/>
      <c r="S219" s="153"/>
      <c r="T219" s="153"/>
      <c r="U219" s="153"/>
      <c r="V219" s="153"/>
      <c r="W219" s="153"/>
      <c r="X219" s="153"/>
      <c r="Y219" s="153"/>
      <c r="Z219" s="153"/>
      <c r="AA219" s="153"/>
      <c r="AB219" s="153"/>
      <c r="AC219" s="153"/>
      <c r="AD219" s="153"/>
      <c r="AE219" s="153"/>
      <c r="AF219" s="153"/>
      <c r="AG219" s="153"/>
      <c r="AH219" s="153"/>
      <c r="AI219" s="153"/>
      <c r="AJ219" s="153"/>
      <c r="AK219" s="153"/>
      <c r="AL219" s="153"/>
      <c r="AM219" s="153"/>
      <c r="AN219" s="153"/>
      <c r="AO219" s="153"/>
      <c r="AP219" s="153"/>
      <c r="AQ219" s="153"/>
      <c r="AR219" s="153"/>
    </row>
    <row r="220" spans="1:44" ht="15.75" customHeight="1">
      <c r="A220" s="153"/>
      <c r="B220" s="153"/>
      <c r="C220" s="152"/>
      <c r="D220" s="152"/>
      <c r="E220" s="153"/>
      <c r="F220" s="153"/>
      <c r="G220" s="153"/>
      <c r="H220" s="153"/>
      <c r="I220" s="153"/>
      <c r="J220" s="153"/>
      <c r="K220" s="153"/>
      <c r="L220" s="153"/>
      <c r="M220" s="153"/>
      <c r="N220" s="153"/>
      <c r="O220" s="153"/>
      <c r="P220" s="153"/>
      <c r="Q220" s="153"/>
      <c r="R220" s="153"/>
      <c r="S220" s="153"/>
      <c r="T220" s="153"/>
      <c r="U220" s="153"/>
      <c r="V220" s="153"/>
      <c r="W220" s="153"/>
      <c r="X220" s="153"/>
      <c r="Y220" s="153"/>
      <c r="Z220" s="153"/>
      <c r="AA220" s="153"/>
      <c r="AB220" s="153"/>
      <c r="AC220" s="153"/>
      <c r="AD220" s="153"/>
      <c r="AE220" s="153"/>
      <c r="AF220" s="153"/>
      <c r="AG220" s="153"/>
      <c r="AH220" s="153"/>
      <c r="AI220" s="153"/>
      <c r="AJ220" s="153"/>
      <c r="AK220" s="153"/>
      <c r="AL220" s="153"/>
      <c r="AM220" s="153"/>
      <c r="AN220" s="153"/>
      <c r="AO220" s="153"/>
      <c r="AP220" s="153"/>
      <c r="AQ220" s="153"/>
      <c r="AR220" s="153"/>
    </row>
    <row r="221" spans="1:44" ht="15.75" customHeight="1">
      <c r="A221" s="153"/>
      <c r="B221" s="153"/>
      <c r="C221" s="152"/>
      <c r="D221" s="152"/>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c r="AA221" s="153"/>
      <c r="AB221" s="153"/>
      <c r="AC221" s="153"/>
      <c r="AD221" s="153"/>
      <c r="AE221" s="153"/>
      <c r="AF221" s="153"/>
      <c r="AG221" s="153"/>
      <c r="AH221" s="153"/>
      <c r="AI221" s="153"/>
      <c r="AJ221" s="153"/>
      <c r="AK221" s="153"/>
      <c r="AL221" s="153"/>
      <c r="AM221" s="153"/>
      <c r="AN221" s="153"/>
      <c r="AO221" s="153"/>
      <c r="AP221" s="153"/>
      <c r="AQ221" s="153"/>
      <c r="AR221" s="153"/>
    </row>
    <row r="222" spans="1:44" ht="15.75" customHeight="1">
      <c r="A222" s="153"/>
      <c r="B222" s="153"/>
      <c r="C222" s="152"/>
      <c r="D222" s="152"/>
      <c r="E222" s="153"/>
      <c r="F222" s="153"/>
      <c r="G222" s="153"/>
      <c r="H222" s="153"/>
      <c r="I222" s="153"/>
      <c r="J222" s="153"/>
      <c r="K222" s="153"/>
      <c r="L222" s="153"/>
      <c r="M222" s="153"/>
      <c r="N222" s="153"/>
      <c r="O222" s="153"/>
      <c r="P222" s="153"/>
      <c r="Q222" s="153"/>
      <c r="R222" s="153"/>
      <c r="S222" s="153"/>
      <c r="T222" s="153"/>
      <c r="U222" s="153"/>
      <c r="V222" s="153"/>
      <c r="W222" s="153"/>
      <c r="X222" s="153"/>
      <c r="Y222" s="153"/>
      <c r="Z222" s="153"/>
      <c r="AA222" s="153"/>
      <c r="AB222" s="153"/>
      <c r="AC222" s="153"/>
      <c r="AD222" s="153"/>
      <c r="AE222" s="153"/>
      <c r="AF222" s="153"/>
      <c r="AG222" s="153"/>
      <c r="AH222" s="153"/>
      <c r="AI222" s="153"/>
      <c r="AJ222" s="153"/>
      <c r="AK222" s="153"/>
      <c r="AL222" s="153"/>
      <c r="AM222" s="153"/>
      <c r="AN222" s="153"/>
      <c r="AO222" s="153"/>
      <c r="AP222" s="153"/>
      <c r="AQ222" s="153"/>
      <c r="AR222" s="153"/>
    </row>
    <row r="223" spans="1:44" ht="15.75" customHeight="1">
      <c r="A223" s="153"/>
      <c r="B223" s="153"/>
      <c r="C223" s="152"/>
      <c r="D223" s="152"/>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c r="AA223" s="153"/>
      <c r="AB223" s="153"/>
      <c r="AC223" s="153"/>
      <c r="AD223" s="153"/>
      <c r="AE223" s="153"/>
      <c r="AF223" s="153"/>
      <c r="AG223" s="153"/>
      <c r="AH223" s="153"/>
      <c r="AI223" s="153"/>
      <c r="AJ223" s="153"/>
      <c r="AK223" s="153"/>
      <c r="AL223" s="153"/>
      <c r="AM223" s="153"/>
      <c r="AN223" s="153"/>
      <c r="AO223" s="153"/>
      <c r="AP223" s="153"/>
      <c r="AQ223" s="153"/>
      <c r="AR223" s="153"/>
    </row>
    <row r="224" spans="1:44" ht="15.75" customHeight="1">
      <c r="A224" s="153"/>
      <c r="B224" s="153"/>
      <c r="C224" s="152"/>
      <c r="D224" s="152"/>
      <c r="E224" s="153"/>
      <c r="F224" s="153"/>
      <c r="G224" s="153"/>
      <c r="H224" s="153"/>
      <c r="I224" s="153"/>
      <c r="J224" s="153"/>
      <c r="K224" s="153"/>
      <c r="L224" s="153"/>
      <c r="M224" s="153"/>
      <c r="N224" s="153"/>
      <c r="O224" s="153"/>
      <c r="P224" s="153"/>
      <c r="Q224" s="153"/>
      <c r="R224" s="153"/>
      <c r="S224" s="153"/>
      <c r="T224" s="153"/>
      <c r="U224" s="153"/>
      <c r="V224" s="153"/>
      <c r="W224" s="153"/>
      <c r="X224" s="153"/>
      <c r="Y224" s="153"/>
      <c r="Z224" s="153"/>
      <c r="AA224" s="153"/>
      <c r="AB224" s="153"/>
      <c r="AC224" s="153"/>
      <c r="AD224" s="153"/>
      <c r="AE224" s="153"/>
      <c r="AF224" s="153"/>
      <c r="AG224" s="153"/>
      <c r="AH224" s="153"/>
      <c r="AI224" s="153"/>
      <c r="AJ224" s="153"/>
      <c r="AK224" s="153"/>
      <c r="AL224" s="153"/>
      <c r="AM224" s="153"/>
      <c r="AN224" s="153"/>
      <c r="AO224" s="153"/>
      <c r="AP224" s="153"/>
      <c r="AQ224" s="153"/>
      <c r="AR224" s="153"/>
    </row>
    <row r="225" spans="1:44" ht="15.75" customHeight="1">
      <c r="A225" s="153"/>
      <c r="B225" s="153"/>
      <c r="C225" s="152"/>
      <c r="D225" s="152"/>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c r="AA225" s="153"/>
      <c r="AB225" s="153"/>
      <c r="AC225" s="153"/>
      <c r="AD225" s="153"/>
      <c r="AE225" s="153"/>
      <c r="AF225" s="153"/>
      <c r="AG225" s="153"/>
      <c r="AH225" s="153"/>
      <c r="AI225" s="153"/>
      <c r="AJ225" s="153"/>
      <c r="AK225" s="153"/>
      <c r="AL225" s="153"/>
      <c r="AM225" s="153"/>
      <c r="AN225" s="153"/>
      <c r="AO225" s="153"/>
      <c r="AP225" s="153"/>
      <c r="AQ225" s="153"/>
      <c r="AR225" s="153"/>
    </row>
    <row r="226" spans="1:44" ht="15.75" customHeight="1">
      <c r="A226" s="153"/>
      <c r="B226" s="153"/>
      <c r="C226" s="152"/>
      <c r="D226" s="152"/>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c r="AA226" s="153"/>
      <c r="AB226" s="153"/>
      <c r="AC226" s="153"/>
      <c r="AD226" s="153"/>
      <c r="AE226" s="153"/>
      <c r="AF226" s="153"/>
      <c r="AG226" s="153"/>
      <c r="AH226" s="153"/>
      <c r="AI226" s="153"/>
      <c r="AJ226" s="153"/>
      <c r="AK226" s="153"/>
      <c r="AL226" s="153"/>
      <c r="AM226" s="153"/>
      <c r="AN226" s="153"/>
      <c r="AO226" s="153"/>
      <c r="AP226" s="153"/>
      <c r="AQ226" s="153"/>
      <c r="AR226" s="153"/>
    </row>
    <row r="227" spans="1:44" ht="15.75" customHeight="1">
      <c r="A227" s="153"/>
      <c r="B227" s="153"/>
      <c r="C227" s="152"/>
      <c r="D227" s="152"/>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c r="AA227" s="153"/>
      <c r="AB227" s="153"/>
      <c r="AC227" s="153"/>
      <c r="AD227" s="153"/>
      <c r="AE227" s="153"/>
      <c r="AF227" s="153"/>
      <c r="AG227" s="153"/>
      <c r="AH227" s="153"/>
      <c r="AI227" s="153"/>
      <c r="AJ227" s="153"/>
      <c r="AK227" s="153"/>
      <c r="AL227" s="153"/>
      <c r="AM227" s="153"/>
      <c r="AN227" s="153"/>
      <c r="AO227" s="153"/>
      <c r="AP227" s="153"/>
      <c r="AQ227" s="153"/>
      <c r="AR227" s="153"/>
    </row>
    <row r="228" spans="1:44" ht="15.75" customHeight="1">
      <c r="A228" s="153"/>
      <c r="B228" s="153"/>
      <c r="C228" s="152"/>
      <c r="D228" s="152"/>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c r="AA228" s="153"/>
      <c r="AB228" s="153"/>
      <c r="AC228" s="153"/>
      <c r="AD228" s="153"/>
      <c r="AE228" s="153"/>
      <c r="AF228" s="153"/>
      <c r="AG228" s="153"/>
      <c r="AH228" s="153"/>
      <c r="AI228" s="153"/>
      <c r="AJ228" s="153"/>
      <c r="AK228" s="153"/>
      <c r="AL228" s="153"/>
      <c r="AM228" s="153"/>
      <c r="AN228" s="153"/>
      <c r="AO228" s="153"/>
      <c r="AP228" s="153"/>
      <c r="AQ228" s="153"/>
      <c r="AR228" s="153"/>
    </row>
    <row r="229" spans="1:44" ht="15.75" customHeight="1">
      <c r="A229" s="153"/>
      <c r="B229" s="153"/>
      <c r="C229" s="152"/>
      <c r="D229" s="152"/>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c r="AA229" s="153"/>
      <c r="AB229" s="153"/>
      <c r="AC229" s="153"/>
      <c r="AD229" s="153"/>
      <c r="AE229" s="153"/>
      <c r="AF229" s="153"/>
      <c r="AG229" s="153"/>
      <c r="AH229" s="153"/>
      <c r="AI229" s="153"/>
      <c r="AJ229" s="153"/>
      <c r="AK229" s="153"/>
      <c r="AL229" s="153"/>
      <c r="AM229" s="153"/>
      <c r="AN229" s="153"/>
      <c r="AO229" s="153"/>
      <c r="AP229" s="153"/>
      <c r="AQ229" s="153"/>
      <c r="AR229" s="153"/>
    </row>
    <row r="230" spans="1:44" ht="15.75" customHeight="1">
      <c r="A230" s="153"/>
      <c r="B230" s="153"/>
      <c r="C230" s="152"/>
      <c r="D230" s="152"/>
      <c r="E230" s="153"/>
      <c r="F230" s="153"/>
      <c r="G230" s="153"/>
      <c r="H230" s="153"/>
      <c r="I230" s="153"/>
      <c r="J230" s="153"/>
      <c r="K230" s="153"/>
      <c r="L230" s="153"/>
      <c r="M230" s="153"/>
      <c r="N230" s="153"/>
      <c r="O230" s="153"/>
      <c r="P230" s="153"/>
      <c r="Q230" s="153"/>
      <c r="R230" s="153"/>
      <c r="S230" s="153"/>
      <c r="T230" s="153"/>
      <c r="U230" s="153"/>
      <c r="V230" s="153"/>
      <c r="W230" s="153"/>
      <c r="X230" s="153"/>
      <c r="Y230" s="153"/>
      <c r="Z230" s="153"/>
      <c r="AA230" s="153"/>
      <c r="AB230" s="153"/>
      <c r="AC230" s="153"/>
      <c r="AD230" s="153"/>
      <c r="AE230" s="153"/>
      <c r="AF230" s="153"/>
      <c r="AG230" s="153"/>
      <c r="AH230" s="153"/>
      <c r="AI230" s="153"/>
      <c r="AJ230" s="153"/>
      <c r="AK230" s="153"/>
      <c r="AL230" s="153"/>
      <c r="AM230" s="153"/>
      <c r="AN230" s="153"/>
      <c r="AO230" s="153"/>
      <c r="AP230" s="153"/>
      <c r="AQ230" s="153"/>
      <c r="AR230" s="153"/>
    </row>
    <row r="231" spans="1:44" ht="15.75" customHeight="1">
      <c r="A231" s="153"/>
      <c r="B231" s="153"/>
      <c r="C231" s="152"/>
      <c r="D231" s="152"/>
      <c r="E231" s="153"/>
      <c r="F231" s="153"/>
      <c r="G231" s="153"/>
      <c r="H231" s="153"/>
      <c r="I231" s="153"/>
      <c r="J231" s="153"/>
      <c r="K231" s="153"/>
      <c r="L231" s="153"/>
      <c r="M231" s="153"/>
      <c r="N231" s="153"/>
      <c r="O231" s="153"/>
      <c r="P231" s="153"/>
      <c r="Q231" s="153"/>
      <c r="R231" s="153"/>
      <c r="S231" s="153"/>
      <c r="T231" s="153"/>
      <c r="U231" s="153"/>
      <c r="V231" s="153"/>
      <c r="W231" s="153"/>
      <c r="X231" s="153"/>
      <c r="Y231" s="153"/>
      <c r="Z231" s="153"/>
      <c r="AA231" s="153"/>
      <c r="AB231" s="153"/>
      <c r="AC231" s="153"/>
      <c r="AD231" s="153"/>
      <c r="AE231" s="153"/>
      <c r="AF231" s="153"/>
      <c r="AG231" s="153"/>
      <c r="AH231" s="153"/>
      <c r="AI231" s="153"/>
      <c r="AJ231" s="153"/>
      <c r="AK231" s="153"/>
      <c r="AL231" s="153"/>
      <c r="AM231" s="153"/>
      <c r="AN231" s="153"/>
      <c r="AO231" s="153"/>
      <c r="AP231" s="153"/>
      <c r="AQ231" s="153"/>
      <c r="AR231" s="153"/>
    </row>
    <row r="232" spans="1:44" ht="15.75" customHeight="1">
      <c r="A232" s="153"/>
      <c r="B232" s="153"/>
      <c r="C232" s="152"/>
      <c r="D232" s="152"/>
      <c r="E232" s="153"/>
      <c r="F232" s="153"/>
      <c r="G232" s="153"/>
      <c r="H232" s="153"/>
      <c r="I232" s="153"/>
      <c r="J232" s="153"/>
      <c r="K232" s="153"/>
      <c r="L232" s="153"/>
      <c r="M232" s="153"/>
      <c r="N232" s="153"/>
      <c r="O232" s="153"/>
      <c r="P232" s="153"/>
      <c r="Q232" s="153"/>
      <c r="R232" s="153"/>
      <c r="S232" s="153"/>
      <c r="T232" s="153"/>
      <c r="U232" s="153"/>
      <c r="V232" s="153"/>
      <c r="W232" s="153"/>
      <c r="X232" s="153"/>
      <c r="Y232" s="153"/>
      <c r="Z232" s="153"/>
      <c r="AA232" s="153"/>
      <c r="AB232" s="153"/>
      <c r="AC232" s="153"/>
      <c r="AD232" s="153"/>
      <c r="AE232" s="153"/>
      <c r="AF232" s="153"/>
      <c r="AG232" s="153"/>
      <c r="AH232" s="153"/>
      <c r="AI232" s="153"/>
      <c r="AJ232" s="153"/>
      <c r="AK232" s="153"/>
      <c r="AL232" s="153"/>
      <c r="AM232" s="153"/>
      <c r="AN232" s="153"/>
      <c r="AO232" s="153"/>
      <c r="AP232" s="153"/>
      <c r="AQ232" s="153"/>
      <c r="AR232" s="153"/>
    </row>
    <row r="233" spans="1:44" ht="15.75" customHeight="1">
      <c r="A233" s="153"/>
      <c r="B233" s="153"/>
      <c r="C233" s="152"/>
      <c r="D233" s="152"/>
      <c r="E233" s="153"/>
      <c r="F233" s="153"/>
      <c r="G233" s="153"/>
      <c r="H233" s="153"/>
      <c r="I233" s="153"/>
      <c r="J233" s="153"/>
      <c r="K233" s="153"/>
      <c r="L233" s="153"/>
      <c r="M233" s="153"/>
      <c r="N233" s="153"/>
      <c r="O233" s="153"/>
      <c r="P233" s="153"/>
      <c r="Q233" s="153"/>
      <c r="R233" s="153"/>
      <c r="S233" s="153"/>
      <c r="T233" s="153"/>
      <c r="U233" s="153"/>
      <c r="V233" s="153"/>
      <c r="W233" s="153"/>
      <c r="X233" s="153"/>
      <c r="Y233" s="153"/>
      <c r="Z233" s="153"/>
      <c r="AA233" s="153"/>
      <c r="AB233" s="153"/>
      <c r="AC233" s="153"/>
      <c r="AD233" s="153"/>
      <c r="AE233" s="153"/>
      <c r="AF233" s="153"/>
      <c r="AG233" s="153"/>
      <c r="AH233" s="153"/>
      <c r="AI233" s="153"/>
      <c r="AJ233" s="153"/>
      <c r="AK233" s="153"/>
      <c r="AL233" s="153"/>
      <c r="AM233" s="153"/>
      <c r="AN233" s="153"/>
      <c r="AO233" s="153"/>
      <c r="AP233" s="153"/>
      <c r="AQ233" s="153"/>
      <c r="AR233" s="153"/>
    </row>
    <row r="234" spans="1:44" ht="15.75" customHeight="1">
      <c r="A234" s="153"/>
      <c r="B234" s="153"/>
      <c r="C234" s="152"/>
      <c r="D234" s="152"/>
      <c r="E234" s="153"/>
      <c r="F234" s="153"/>
      <c r="G234" s="153"/>
      <c r="H234" s="153"/>
      <c r="I234" s="153"/>
      <c r="J234" s="153"/>
      <c r="K234" s="153"/>
      <c r="L234" s="153"/>
      <c r="M234" s="153"/>
      <c r="N234" s="153"/>
      <c r="O234" s="153"/>
      <c r="P234" s="153"/>
      <c r="Q234" s="153"/>
      <c r="R234" s="153"/>
      <c r="S234" s="153"/>
      <c r="T234" s="153"/>
      <c r="U234" s="153"/>
      <c r="V234" s="153"/>
      <c r="W234" s="153"/>
      <c r="X234" s="153"/>
      <c r="Y234" s="153"/>
      <c r="Z234" s="153"/>
      <c r="AA234" s="153"/>
      <c r="AB234" s="153"/>
      <c r="AC234" s="153"/>
      <c r="AD234" s="153"/>
      <c r="AE234" s="153"/>
      <c r="AF234" s="153"/>
      <c r="AG234" s="153"/>
      <c r="AH234" s="153"/>
      <c r="AI234" s="153"/>
      <c r="AJ234" s="153"/>
      <c r="AK234" s="153"/>
      <c r="AL234" s="153"/>
      <c r="AM234" s="153"/>
      <c r="AN234" s="153"/>
      <c r="AO234" s="153"/>
      <c r="AP234" s="153"/>
      <c r="AQ234" s="153"/>
      <c r="AR234" s="153"/>
    </row>
    <row r="235" spans="1:44" ht="15.75" customHeight="1"/>
    <row r="236" spans="1:44" ht="15.75" customHeight="1"/>
    <row r="237" spans="1:44" ht="15.75" customHeight="1"/>
    <row r="238" spans="1:44" ht="15.75" customHeight="1"/>
    <row r="239" spans="1:44" ht="15.75" customHeight="1"/>
    <row r="240" spans="1:4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C34:D34"/>
    <mergeCell ref="C22:D22"/>
    <mergeCell ref="C23:D23"/>
    <mergeCell ref="C24:D24"/>
    <mergeCell ref="C25:D25"/>
    <mergeCell ref="C26:D26"/>
    <mergeCell ref="C27:D27"/>
    <mergeCell ref="C29:D29"/>
    <mergeCell ref="C21:D21"/>
    <mergeCell ref="C30:D30"/>
    <mergeCell ref="C31:D31"/>
    <mergeCell ref="C32:D32"/>
    <mergeCell ref="C33:D33"/>
    <mergeCell ref="C16:D16"/>
    <mergeCell ref="C17:D17"/>
    <mergeCell ref="C18:D18"/>
    <mergeCell ref="C19:D19"/>
    <mergeCell ref="C20:D20"/>
    <mergeCell ref="C11:D11"/>
    <mergeCell ref="C12:D12"/>
    <mergeCell ref="C13:D13"/>
    <mergeCell ref="C14:D14"/>
    <mergeCell ref="C15:D15"/>
    <mergeCell ref="N6:O6"/>
    <mergeCell ref="P6:Q6"/>
    <mergeCell ref="C8:D8"/>
    <mergeCell ref="C9:D9"/>
    <mergeCell ref="C10:D10"/>
    <mergeCell ref="C4:G4"/>
    <mergeCell ref="E6:F6"/>
    <mergeCell ref="G6:H6"/>
    <mergeCell ref="I6:J6"/>
    <mergeCell ref="K6:M6"/>
    <mergeCell ref="AH6:AI6"/>
    <mergeCell ref="AJ6:AK6"/>
    <mergeCell ref="AL6:AN6"/>
    <mergeCell ref="AO6:AQ6"/>
    <mergeCell ref="R6:S6"/>
    <mergeCell ref="T6:V6"/>
    <mergeCell ref="W6:X6"/>
    <mergeCell ref="Y6:Z6"/>
    <mergeCell ref="AA6:AB6"/>
    <mergeCell ref="AC6:AE6"/>
    <mergeCell ref="AF6:AG6"/>
  </mergeCells>
  <conditionalFormatting sqref="M9:M26 V9:V26 AE9:AE26 AN9:AN26 AQ9:AQ26">
    <cfRule type="cellIs" dxfId="5" priority="1" operator="lessThan">
      <formula>0</formula>
    </cfRule>
  </conditionalFormatting>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1000"/>
  <sheetViews>
    <sheetView showGridLines="0" workbookViewId="0"/>
  </sheetViews>
  <sheetFormatPr defaultColWidth="12.625" defaultRowHeight="15" customHeight="1"/>
  <cols>
    <col min="1" max="2" width="3.125" customWidth="1"/>
    <col min="3" max="3" width="27" customWidth="1"/>
    <col min="4" max="4" width="11.625" customWidth="1"/>
    <col min="5" max="43" width="11" customWidth="1"/>
    <col min="44" max="44" width="7.625" customWidth="1"/>
  </cols>
  <sheetData>
    <row r="1" spans="1:44">
      <c r="A1" s="92"/>
      <c r="B1" s="92"/>
      <c r="C1" s="9"/>
      <c r="D1" s="152"/>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c r="AH1" s="153"/>
      <c r="AI1" s="153"/>
      <c r="AJ1" s="153"/>
      <c r="AK1" s="153"/>
      <c r="AL1" s="153"/>
      <c r="AM1" s="153"/>
      <c r="AN1" s="153"/>
      <c r="AO1" s="153"/>
      <c r="AP1" s="153"/>
      <c r="AQ1" s="153"/>
      <c r="AR1" s="153"/>
    </row>
    <row r="2" spans="1:44">
      <c r="A2" s="92"/>
      <c r="B2" s="93"/>
      <c r="C2" s="94"/>
      <c r="D2" s="154"/>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6"/>
    </row>
    <row r="3" spans="1:44" ht="46.5" customHeight="1">
      <c r="A3" s="92"/>
      <c r="B3" s="97"/>
      <c r="C3" s="98"/>
      <c r="I3" s="157"/>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c r="AP3" s="157"/>
      <c r="AQ3" s="157"/>
      <c r="AR3" s="158"/>
    </row>
    <row r="4" spans="1:44" ht="31.5" customHeight="1">
      <c r="A4" s="153"/>
      <c r="B4" s="159"/>
      <c r="C4" s="276" t="s">
        <v>89</v>
      </c>
      <c r="D4" s="267"/>
      <c r="E4" s="267"/>
      <c r="F4" s="267"/>
      <c r="G4" s="267"/>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3"/>
      <c r="AQ4" s="153"/>
      <c r="AR4" s="158"/>
    </row>
    <row r="5" spans="1:44" ht="31.5" customHeight="1">
      <c r="A5" s="153"/>
      <c r="B5" s="159"/>
      <c r="C5" s="160"/>
      <c r="D5" s="160"/>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53"/>
      <c r="AK5" s="153"/>
      <c r="AL5" s="153"/>
      <c r="AM5" s="153"/>
      <c r="AN5" s="153"/>
      <c r="AO5" s="153"/>
      <c r="AP5" s="153"/>
      <c r="AQ5" s="153"/>
      <c r="AR5" s="158"/>
    </row>
    <row r="6" spans="1:44">
      <c r="A6" s="153"/>
      <c r="B6" s="159"/>
      <c r="C6" s="103"/>
      <c r="D6" s="103"/>
      <c r="E6" s="283" t="s">
        <v>15</v>
      </c>
      <c r="F6" s="280"/>
      <c r="G6" s="283" t="s">
        <v>16</v>
      </c>
      <c r="H6" s="280"/>
      <c r="I6" s="283" t="s">
        <v>17</v>
      </c>
      <c r="J6" s="280"/>
      <c r="K6" s="284" t="s">
        <v>18</v>
      </c>
      <c r="L6" s="282"/>
      <c r="M6" s="280"/>
      <c r="N6" s="283" t="s">
        <v>19</v>
      </c>
      <c r="O6" s="280"/>
      <c r="P6" s="283" t="s">
        <v>20</v>
      </c>
      <c r="Q6" s="280"/>
      <c r="R6" s="283" t="s">
        <v>21</v>
      </c>
      <c r="S6" s="280"/>
      <c r="T6" s="284" t="s">
        <v>22</v>
      </c>
      <c r="U6" s="282"/>
      <c r="V6" s="280"/>
      <c r="W6" s="283" t="s">
        <v>23</v>
      </c>
      <c r="X6" s="280"/>
      <c r="Y6" s="283" t="s">
        <v>24</v>
      </c>
      <c r="Z6" s="280"/>
      <c r="AA6" s="283" t="s">
        <v>25</v>
      </c>
      <c r="AB6" s="280"/>
      <c r="AC6" s="284" t="s">
        <v>26</v>
      </c>
      <c r="AD6" s="282"/>
      <c r="AE6" s="280"/>
      <c r="AF6" s="283" t="s">
        <v>27</v>
      </c>
      <c r="AG6" s="280"/>
      <c r="AH6" s="283" t="s">
        <v>28</v>
      </c>
      <c r="AI6" s="280"/>
      <c r="AJ6" s="283" t="s">
        <v>29</v>
      </c>
      <c r="AK6" s="280"/>
      <c r="AL6" s="284" t="s">
        <v>30</v>
      </c>
      <c r="AM6" s="282"/>
      <c r="AN6" s="280"/>
      <c r="AO6" s="284" t="s">
        <v>48</v>
      </c>
      <c r="AP6" s="282"/>
      <c r="AQ6" s="282"/>
      <c r="AR6" s="158"/>
    </row>
    <row r="7" spans="1:44" ht="30" customHeight="1">
      <c r="A7" s="152"/>
      <c r="B7" s="161"/>
      <c r="C7" s="162"/>
      <c r="D7" s="162"/>
      <c r="E7" s="163" t="s">
        <v>32</v>
      </c>
      <c r="F7" s="164" t="s">
        <v>33</v>
      </c>
      <c r="G7" s="163" t="s">
        <v>32</v>
      </c>
      <c r="H7" s="164" t="s">
        <v>33</v>
      </c>
      <c r="I7" s="163" t="s">
        <v>32</v>
      </c>
      <c r="J7" s="164" t="s">
        <v>33</v>
      </c>
      <c r="K7" s="165" t="s">
        <v>32</v>
      </c>
      <c r="L7" s="166" t="s">
        <v>33</v>
      </c>
      <c r="M7" s="167" t="s">
        <v>34</v>
      </c>
      <c r="N7" s="163" t="s">
        <v>32</v>
      </c>
      <c r="O7" s="164" t="s">
        <v>33</v>
      </c>
      <c r="P7" s="163" t="s">
        <v>32</v>
      </c>
      <c r="Q7" s="164" t="s">
        <v>33</v>
      </c>
      <c r="R7" s="163" t="s">
        <v>32</v>
      </c>
      <c r="S7" s="164" t="s">
        <v>33</v>
      </c>
      <c r="T7" s="165" t="s">
        <v>32</v>
      </c>
      <c r="U7" s="166" t="s">
        <v>33</v>
      </c>
      <c r="V7" s="167" t="s">
        <v>34</v>
      </c>
      <c r="W7" s="163" t="s">
        <v>32</v>
      </c>
      <c r="X7" s="164" t="s">
        <v>33</v>
      </c>
      <c r="Y7" s="163" t="s">
        <v>32</v>
      </c>
      <c r="Z7" s="164" t="s">
        <v>33</v>
      </c>
      <c r="AA7" s="163" t="s">
        <v>32</v>
      </c>
      <c r="AB7" s="164" t="s">
        <v>33</v>
      </c>
      <c r="AC7" s="165" t="s">
        <v>32</v>
      </c>
      <c r="AD7" s="166" t="s">
        <v>33</v>
      </c>
      <c r="AE7" s="167" t="s">
        <v>34</v>
      </c>
      <c r="AF7" s="163" t="s">
        <v>32</v>
      </c>
      <c r="AG7" s="164" t="s">
        <v>33</v>
      </c>
      <c r="AH7" s="163" t="s">
        <v>32</v>
      </c>
      <c r="AI7" s="164" t="s">
        <v>33</v>
      </c>
      <c r="AJ7" s="163" t="s">
        <v>32</v>
      </c>
      <c r="AK7" s="164" t="s">
        <v>33</v>
      </c>
      <c r="AL7" s="165" t="s">
        <v>32</v>
      </c>
      <c r="AM7" s="166" t="s">
        <v>33</v>
      </c>
      <c r="AN7" s="167" t="s">
        <v>34</v>
      </c>
      <c r="AO7" s="165" t="s">
        <v>32</v>
      </c>
      <c r="AP7" s="166" t="s">
        <v>33</v>
      </c>
      <c r="AQ7" s="168" t="s">
        <v>34</v>
      </c>
      <c r="AR7" s="158"/>
    </row>
    <row r="8" spans="1:44">
      <c r="A8" s="153"/>
      <c r="B8" s="159"/>
      <c r="C8" s="309" t="s">
        <v>90</v>
      </c>
      <c r="D8" s="286"/>
      <c r="E8" s="195"/>
      <c r="F8" s="196"/>
      <c r="G8" s="195"/>
      <c r="H8" s="196"/>
      <c r="I8" s="195"/>
      <c r="J8" s="196"/>
      <c r="K8" s="197"/>
      <c r="L8" s="198"/>
      <c r="M8" s="199"/>
      <c r="N8" s="195"/>
      <c r="O8" s="196"/>
      <c r="P8" s="195"/>
      <c r="Q8" s="196"/>
      <c r="R8" s="195"/>
      <c r="S8" s="196"/>
      <c r="T8" s="195"/>
      <c r="U8" s="200"/>
      <c r="V8" s="196"/>
      <c r="W8" s="195"/>
      <c r="X8" s="196"/>
      <c r="Y8" s="195"/>
      <c r="Z8" s="196"/>
      <c r="AA8" s="195"/>
      <c r="AB8" s="196"/>
      <c r="AC8" s="195"/>
      <c r="AD8" s="200"/>
      <c r="AE8" s="196"/>
      <c r="AF8" s="195"/>
      <c r="AG8" s="196"/>
      <c r="AH8" s="195"/>
      <c r="AI8" s="196"/>
      <c r="AJ8" s="195"/>
      <c r="AK8" s="196"/>
      <c r="AL8" s="195"/>
      <c r="AM8" s="200"/>
      <c r="AN8" s="196"/>
      <c r="AO8" s="195"/>
      <c r="AP8" s="200"/>
      <c r="AQ8" s="200"/>
      <c r="AR8" s="158"/>
    </row>
    <row r="9" spans="1:44">
      <c r="A9" s="153"/>
      <c r="B9" s="159"/>
      <c r="C9" s="300" t="s">
        <v>91</v>
      </c>
      <c r="D9" s="267"/>
      <c r="E9" s="76">
        <v>100</v>
      </c>
      <c r="F9" s="78">
        <v>100</v>
      </c>
      <c r="G9" s="76">
        <v>100</v>
      </c>
      <c r="H9" s="78">
        <v>100</v>
      </c>
      <c r="I9" s="76">
        <v>100</v>
      </c>
      <c r="J9" s="78">
        <v>100</v>
      </c>
      <c r="K9" s="76">
        <f t="shared" ref="K9:L9" si="0">SUM(E9+G9+I9)</f>
        <v>300</v>
      </c>
      <c r="L9" s="77">
        <f t="shared" si="0"/>
        <v>300</v>
      </c>
      <c r="M9" s="78">
        <f t="shared" ref="M9:M10" si="1">K9-L9</f>
        <v>0</v>
      </c>
      <c r="N9" s="76"/>
      <c r="O9" s="78"/>
      <c r="P9" s="76"/>
      <c r="Q9" s="78"/>
      <c r="R9" s="76"/>
      <c r="S9" s="78"/>
      <c r="T9" s="76">
        <f t="shared" ref="T9:U9" si="2">SUM(N9+P9+R9)</f>
        <v>0</v>
      </c>
      <c r="U9" s="77">
        <f t="shared" si="2"/>
        <v>0</v>
      </c>
      <c r="V9" s="78">
        <f t="shared" ref="V9:V10" si="3">T9-U9</f>
        <v>0</v>
      </c>
      <c r="W9" s="76"/>
      <c r="X9" s="78"/>
      <c r="Y9" s="76"/>
      <c r="Z9" s="78"/>
      <c r="AA9" s="76"/>
      <c r="AB9" s="78"/>
      <c r="AC9" s="76">
        <f t="shared" ref="AC9:AD9" si="4">SUM(W9+Y9+AA9)</f>
        <v>0</v>
      </c>
      <c r="AD9" s="77">
        <f t="shared" si="4"/>
        <v>0</v>
      </c>
      <c r="AE9" s="78">
        <f t="shared" ref="AE9:AE10" si="5">AC9-AD9</f>
        <v>0</v>
      </c>
      <c r="AF9" s="76"/>
      <c r="AG9" s="78"/>
      <c r="AH9" s="76"/>
      <c r="AI9" s="78"/>
      <c r="AJ9" s="76"/>
      <c r="AK9" s="78"/>
      <c r="AL9" s="76">
        <f t="shared" ref="AL9:AM9" si="6">SUM(AF9+AH9+AJ9)</f>
        <v>0</v>
      </c>
      <c r="AM9" s="77">
        <f t="shared" si="6"/>
        <v>0</v>
      </c>
      <c r="AN9" s="78">
        <f t="shared" ref="AN9:AN10" si="7">AL9-AM9</f>
        <v>0</v>
      </c>
      <c r="AO9" s="76">
        <f t="shared" ref="AO9:AP9" si="8">SUM(K9+T9+AC9+AL9)</f>
        <v>300</v>
      </c>
      <c r="AP9" s="77">
        <f t="shared" si="8"/>
        <v>300</v>
      </c>
      <c r="AQ9" s="77">
        <f t="shared" ref="AQ9:AQ10" si="9">AO9-AP9</f>
        <v>0</v>
      </c>
      <c r="AR9" s="158"/>
    </row>
    <row r="10" spans="1:44">
      <c r="A10" s="153"/>
      <c r="B10" s="159"/>
      <c r="C10" s="300" t="s">
        <v>92</v>
      </c>
      <c r="D10" s="267"/>
      <c r="E10" s="76">
        <v>100</v>
      </c>
      <c r="F10" s="78">
        <v>100</v>
      </c>
      <c r="G10" s="76">
        <v>100</v>
      </c>
      <c r="H10" s="78">
        <v>100</v>
      </c>
      <c r="I10" s="76">
        <v>100</v>
      </c>
      <c r="J10" s="78">
        <v>100</v>
      </c>
      <c r="K10" s="76">
        <f t="shared" ref="K10:L10" si="10">SUM(E10+G10+I10)</f>
        <v>300</v>
      </c>
      <c r="L10" s="77">
        <f t="shared" si="10"/>
        <v>300</v>
      </c>
      <c r="M10" s="78">
        <f t="shared" si="1"/>
        <v>0</v>
      </c>
      <c r="N10" s="76"/>
      <c r="O10" s="78"/>
      <c r="P10" s="76"/>
      <c r="Q10" s="78"/>
      <c r="R10" s="76"/>
      <c r="S10" s="78"/>
      <c r="T10" s="76">
        <f t="shared" ref="T10:U10" si="11">SUM(N10+P10+R10)</f>
        <v>0</v>
      </c>
      <c r="U10" s="77">
        <f t="shared" si="11"/>
        <v>0</v>
      </c>
      <c r="V10" s="78">
        <f t="shared" si="3"/>
        <v>0</v>
      </c>
      <c r="W10" s="76"/>
      <c r="X10" s="78"/>
      <c r="Y10" s="76"/>
      <c r="Z10" s="78"/>
      <c r="AA10" s="76"/>
      <c r="AB10" s="78"/>
      <c r="AC10" s="76">
        <f t="shared" ref="AC10:AD10" si="12">SUM(W10+Y10+AA10)</f>
        <v>0</v>
      </c>
      <c r="AD10" s="77">
        <f t="shared" si="12"/>
        <v>0</v>
      </c>
      <c r="AE10" s="78">
        <f t="shared" si="5"/>
        <v>0</v>
      </c>
      <c r="AF10" s="76"/>
      <c r="AG10" s="78"/>
      <c r="AH10" s="76"/>
      <c r="AI10" s="78"/>
      <c r="AJ10" s="76"/>
      <c r="AK10" s="78"/>
      <c r="AL10" s="76">
        <f t="shared" ref="AL10:AM10" si="13">SUM(AF10+AH10+AJ10)</f>
        <v>0</v>
      </c>
      <c r="AM10" s="77">
        <f t="shared" si="13"/>
        <v>0</v>
      </c>
      <c r="AN10" s="78">
        <f t="shared" si="7"/>
        <v>0</v>
      </c>
      <c r="AO10" s="76">
        <f t="shared" ref="AO10:AP10" si="14">SUM(K10+T10+AC10+AL10)</f>
        <v>300</v>
      </c>
      <c r="AP10" s="77">
        <f t="shared" si="14"/>
        <v>300</v>
      </c>
      <c r="AQ10" s="77">
        <f t="shared" si="9"/>
        <v>0</v>
      </c>
      <c r="AR10" s="158"/>
    </row>
    <row r="11" spans="1:44">
      <c r="A11" s="153"/>
      <c r="B11" s="159"/>
      <c r="C11" s="301" t="s">
        <v>93</v>
      </c>
      <c r="D11" s="265"/>
      <c r="E11" s="180"/>
      <c r="F11" s="181"/>
      <c r="G11" s="180"/>
      <c r="H11" s="181"/>
      <c r="I11" s="180"/>
      <c r="J11" s="181"/>
      <c r="K11" s="180"/>
      <c r="L11" s="182"/>
      <c r="M11" s="181"/>
      <c r="N11" s="180"/>
      <c r="O11" s="181"/>
      <c r="P11" s="180"/>
      <c r="Q11" s="181"/>
      <c r="R11" s="180"/>
      <c r="S11" s="181"/>
      <c r="T11" s="180"/>
      <c r="U11" s="182"/>
      <c r="V11" s="181"/>
      <c r="W11" s="180"/>
      <c r="X11" s="181"/>
      <c r="Y11" s="180"/>
      <c r="Z11" s="181"/>
      <c r="AA11" s="180"/>
      <c r="AB11" s="181"/>
      <c r="AC11" s="180"/>
      <c r="AD11" s="182"/>
      <c r="AE11" s="181"/>
      <c r="AF11" s="180"/>
      <c r="AG11" s="181"/>
      <c r="AH11" s="180"/>
      <c r="AI11" s="181"/>
      <c r="AJ11" s="180"/>
      <c r="AK11" s="181"/>
      <c r="AL11" s="180"/>
      <c r="AM11" s="182"/>
      <c r="AN11" s="181"/>
      <c r="AO11" s="180"/>
      <c r="AP11" s="182"/>
      <c r="AQ11" s="182"/>
      <c r="AR11" s="158"/>
    </row>
    <row r="12" spans="1:44">
      <c r="A12" s="153"/>
      <c r="B12" s="159"/>
      <c r="C12" s="300" t="s">
        <v>91</v>
      </c>
      <c r="D12" s="267"/>
      <c r="E12" s="76">
        <v>100</v>
      </c>
      <c r="F12" s="78">
        <v>100</v>
      </c>
      <c r="G12" s="76">
        <v>100</v>
      </c>
      <c r="H12" s="78">
        <v>100</v>
      </c>
      <c r="I12" s="76">
        <v>100</v>
      </c>
      <c r="J12" s="78">
        <v>100</v>
      </c>
      <c r="K12" s="76">
        <f t="shared" ref="K12:L12" si="15">SUM(E12+G12+I12)</f>
        <v>300</v>
      </c>
      <c r="L12" s="77">
        <f t="shared" si="15"/>
        <v>300</v>
      </c>
      <c r="M12" s="78">
        <f t="shared" ref="M12:M13" si="16">K12-L12</f>
        <v>0</v>
      </c>
      <c r="N12" s="76"/>
      <c r="O12" s="78"/>
      <c r="P12" s="76"/>
      <c r="Q12" s="78"/>
      <c r="R12" s="76"/>
      <c r="S12" s="78"/>
      <c r="T12" s="76">
        <f t="shared" ref="T12:U12" si="17">SUM(N12+P12+R12)</f>
        <v>0</v>
      </c>
      <c r="U12" s="77">
        <f t="shared" si="17"/>
        <v>0</v>
      </c>
      <c r="V12" s="78">
        <f t="shared" ref="V12:V13" si="18">T12-U12</f>
        <v>0</v>
      </c>
      <c r="W12" s="76"/>
      <c r="X12" s="78"/>
      <c r="Y12" s="76"/>
      <c r="Z12" s="78"/>
      <c r="AA12" s="76"/>
      <c r="AB12" s="78"/>
      <c r="AC12" s="76">
        <f t="shared" ref="AC12:AD12" si="19">SUM(W12+Y12+AA12)</f>
        <v>0</v>
      </c>
      <c r="AD12" s="77">
        <f t="shared" si="19"/>
        <v>0</v>
      </c>
      <c r="AE12" s="78">
        <f t="shared" ref="AE12:AE13" si="20">AC12-AD12</f>
        <v>0</v>
      </c>
      <c r="AF12" s="76"/>
      <c r="AG12" s="78"/>
      <c r="AH12" s="76"/>
      <c r="AI12" s="78"/>
      <c r="AJ12" s="76"/>
      <c r="AK12" s="78"/>
      <c r="AL12" s="76">
        <f t="shared" ref="AL12:AM12" si="21">SUM(AF12+AH12+AJ12)</f>
        <v>0</v>
      </c>
      <c r="AM12" s="77">
        <f t="shared" si="21"/>
        <v>0</v>
      </c>
      <c r="AN12" s="78">
        <f t="shared" ref="AN12:AN13" si="22">AL12-AM12</f>
        <v>0</v>
      </c>
      <c r="AO12" s="76">
        <f t="shared" ref="AO12:AP12" si="23">SUM(K12+T12+AC12+AL12)</f>
        <v>300</v>
      </c>
      <c r="AP12" s="77">
        <f t="shared" si="23"/>
        <v>300</v>
      </c>
      <c r="AQ12" s="77">
        <f t="shared" ref="AQ12:AQ13" si="24">AO12-AP12</f>
        <v>0</v>
      </c>
      <c r="AR12" s="158"/>
    </row>
    <row r="13" spans="1:44">
      <c r="A13" s="153"/>
      <c r="B13" s="159"/>
      <c r="C13" s="300" t="s">
        <v>92</v>
      </c>
      <c r="D13" s="267"/>
      <c r="E13" s="76">
        <v>100</v>
      </c>
      <c r="F13" s="78">
        <v>100</v>
      </c>
      <c r="G13" s="76">
        <v>100</v>
      </c>
      <c r="H13" s="78">
        <v>100</v>
      </c>
      <c r="I13" s="76">
        <v>100</v>
      </c>
      <c r="J13" s="78">
        <v>100</v>
      </c>
      <c r="K13" s="76">
        <f t="shared" ref="K13:L13" si="25">SUM(E13+G13+I13)</f>
        <v>300</v>
      </c>
      <c r="L13" s="77">
        <f t="shared" si="25"/>
        <v>300</v>
      </c>
      <c r="M13" s="78">
        <f t="shared" si="16"/>
        <v>0</v>
      </c>
      <c r="N13" s="76"/>
      <c r="O13" s="78"/>
      <c r="P13" s="76"/>
      <c r="Q13" s="78"/>
      <c r="R13" s="76"/>
      <c r="S13" s="78"/>
      <c r="T13" s="76">
        <f t="shared" ref="T13:U13" si="26">SUM(N13+P13+R13)</f>
        <v>0</v>
      </c>
      <c r="U13" s="77">
        <f t="shared" si="26"/>
        <v>0</v>
      </c>
      <c r="V13" s="78">
        <f t="shared" si="18"/>
        <v>0</v>
      </c>
      <c r="W13" s="76"/>
      <c r="X13" s="78"/>
      <c r="Y13" s="76"/>
      <c r="Z13" s="78"/>
      <c r="AA13" s="76"/>
      <c r="AB13" s="78"/>
      <c r="AC13" s="76">
        <f t="shared" ref="AC13:AD13" si="27">SUM(W13+Y13+AA13)</f>
        <v>0</v>
      </c>
      <c r="AD13" s="77">
        <f t="shared" si="27"/>
        <v>0</v>
      </c>
      <c r="AE13" s="78">
        <f t="shared" si="20"/>
        <v>0</v>
      </c>
      <c r="AF13" s="76"/>
      <c r="AG13" s="78"/>
      <c r="AH13" s="76"/>
      <c r="AI13" s="78"/>
      <c r="AJ13" s="76"/>
      <c r="AK13" s="78"/>
      <c r="AL13" s="76">
        <f t="shared" ref="AL13:AM13" si="28">SUM(AF13+AH13+AJ13)</f>
        <v>0</v>
      </c>
      <c r="AM13" s="77">
        <f t="shared" si="28"/>
        <v>0</v>
      </c>
      <c r="AN13" s="78">
        <f t="shared" si="22"/>
        <v>0</v>
      </c>
      <c r="AO13" s="76">
        <f t="shared" ref="AO13:AP13" si="29">SUM(K13+T13+AC13+AL13)</f>
        <v>300</v>
      </c>
      <c r="AP13" s="77">
        <f t="shared" si="29"/>
        <v>300</v>
      </c>
      <c r="AQ13" s="77">
        <f t="shared" si="24"/>
        <v>0</v>
      </c>
      <c r="AR13" s="158"/>
    </row>
    <row r="14" spans="1:44">
      <c r="A14" s="153"/>
      <c r="B14" s="159"/>
      <c r="C14" s="310" t="s">
        <v>94</v>
      </c>
      <c r="D14" s="265"/>
      <c r="E14" s="201"/>
      <c r="F14" s="202"/>
      <c r="G14" s="201"/>
      <c r="H14" s="202"/>
      <c r="I14" s="201"/>
      <c r="J14" s="202"/>
      <c r="K14" s="201"/>
      <c r="L14" s="203"/>
      <c r="M14" s="202"/>
      <c r="N14" s="201"/>
      <c r="O14" s="202"/>
      <c r="P14" s="201"/>
      <c r="Q14" s="202"/>
      <c r="R14" s="201"/>
      <c r="S14" s="202"/>
      <c r="T14" s="201"/>
      <c r="U14" s="203"/>
      <c r="V14" s="202"/>
      <c r="W14" s="201"/>
      <c r="X14" s="202"/>
      <c r="Y14" s="201"/>
      <c r="Z14" s="202"/>
      <c r="AA14" s="201"/>
      <c r="AB14" s="202"/>
      <c r="AC14" s="201"/>
      <c r="AD14" s="203"/>
      <c r="AE14" s="202"/>
      <c r="AF14" s="201"/>
      <c r="AG14" s="202"/>
      <c r="AH14" s="201"/>
      <c r="AI14" s="202"/>
      <c r="AJ14" s="201"/>
      <c r="AK14" s="202"/>
      <c r="AL14" s="201"/>
      <c r="AM14" s="203"/>
      <c r="AN14" s="202"/>
      <c r="AO14" s="201"/>
      <c r="AP14" s="203"/>
      <c r="AQ14" s="203"/>
      <c r="AR14" s="158"/>
    </row>
    <row r="15" spans="1:44">
      <c r="A15" s="153"/>
      <c r="B15" s="159"/>
      <c r="C15" s="300" t="s">
        <v>91</v>
      </c>
      <c r="D15" s="267"/>
      <c r="E15" s="76">
        <v>100</v>
      </c>
      <c r="F15" s="78">
        <v>100</v>
      </c>
      <c r="G15" s="76">
        <v>100</v>
      </c>
      <c r="H15" s="78">
        <v>100</v>
      </c>
      <c r="I15" s="76">
        <v>100</v>
      </c>
      <c r="J15" s="78">
        <v>100</v>
      </c>
      <c r="K15" s="76">
        <f t="shared" ref="K15:L15" si="30">SUM(E15+G15+I15)</f>
        <v>300</v>
      </c>
      <c r="L15" s="77">
        <f t="shared" si="30"/>
        <v>300</v>
      </c>
      <c r="M15" s="78">
        <f t="shared" ref="M15:M16" si="31">K15-L15</f>
        <v>0</v>
      </c>
      <c r="N15" s="76"/>
      <c r="O15" s="78"/>
      <c r="P15" s="76"/>
      <c r="Q15" s="78"/>
      <c r="R15" s="76"/>
      <c r="S15" s="78"/>
      <c r="T15" s="76">
        <f t="shared" ref="T15:U15" si="32">SUM(N15+P15+R15)</f>
        <v>0</v>
      </c>
      <c r="U15" s="77">
        <f t="shared" si="32"/>
        <v>0</v>
      </c>
      <c r="V15" s="78">
        <f t="shared" ref="V15:V16" si="33">T15-U15</f>
        <v>0</v>
      </c>
      <c r="W15" s="76"/>
      <c r="X15" s="78"/>
      <c r="Y15" s="76"/>
      <c r="Z15" s="78"/>
      <c r="AA15" s="76"/>
      <c r="AB15" s="78"/>
      <c r="AC15" s="76">
        <f t="shared" ref="AC15:AD15" si="34">SUM(W15+Y15+AA15)</f>
        <v>0</v>
      </c>
      <c r="AD15" s="77">
        <f t="shared" si="34"/>
        <v>0</v>
      </c>
      <c r="AE15" s="78">
        <f t="shared" ref="AE15:AE16" si="35">AC15-AD15</f>
        <v>0</v>
      </c>
      <c r="AF15" s="76"/>
      <c r="AG15" s="78"/>
      <c r="AH15" s="76"/>
      <c r="AI15" s="78"/>
      <c r="AJ15" s="76"/>
      <c r="AK15" s="78"/>
      <c r="AL15" s="76">
        <f t="shared" ref="AL15:AM15" si="36">SUM(AF15+AH15+AJ15)</f>
        <v>0</v>
      </c>
      <c r="AM15" s="77">
        <f t="shared" si="36"/>
        <v>0</v>
      </c>
      <c r="AN15" s="78">
        <f t="shared" ref="AN15:AN16" si="37">AL15-AM15</f>
        <v>0</v>
      </c>
      <c r="AO15" s="76">
        <f t="shared" ref="AO15:AP15" si="38">SUM(K15+T15+AC15+AL15)</f>
        <v>300</v>
      </c>
      <c r="AP15" s="77">
        <f t="shared" si="38"/>
        <v>300</v>
      </c>
      <c r="AQ15" s="77">
        <f t="shared" ref="AQ15:AQ16" si="39">AO15-AP15</f>
        <v>0</v>
      </c>
      <c r="AR15" s="158"/>
    </row>
    <row r="16" spans="1:44">
      <c r="A16" s="153"/>
      <c r="B16" s="159"/>
      <c r="C16" s="300" t="s">
        <v>92</v>
      </c>
      <c r="D16" s="267"/>
      <c r="E16" s="76">
        <v>100</v>
      </c>
      <c r="F16" s="78">
        <v>100</v>
      </c>
      <c r="G16" s="76">
        <v>100</v>
      </c>
      <c r="H16" s="78">
        <v>100</v>
      </c>
      <c r="I16" s="76">
        <v>100</v>
      </c>
      <c r="J16" s="78">
        <v>100</v>
      </c>
      <c r="K16" s="76">
        <f t="shared" ref="K16:L16" si="40">SUM(E16+G16+I16)</f>
        <v>300</v>
      </c>
      <c r="L16" s="77">
        <f t="shared" si="40"/>
        <v>300</v>
      </c>
      <c r="M16" s="78">
        <f t="shared" si="31"/>
        <v>0</v>
      </c>
      <c r="N16" s="76"/>
      <c r="O16" s="78"/>
      <c r="P16" s="76"/>
      <c r="Q16" s="78"/>
      <c r="R16" s="76"/>
      <c r="S16" s="78"/>
      <c r="T16" s="76">
        <f t="shared" ref="T16:U16" si="41">SUM(N16+P16+R16)</f>
        <v>0</v>
      </c>
      <c r="U16" s="77">
        <f t="shared" si="41"/>
        <v>0</v>
      </c>
      <c r="V16" s="78">
        <f t="shared" si="33"/>
        <v>0</v>
      </c>
      <c r="W16" s="76"/>
      <c r="X16" s="78"/>
      <c r="Y16" s="76"/>
      <c r="Z16" s="78"/>
      <c r="AA16" s="76"/>
      <c r="AB16" s="78"/>
      <c r="AC16" s="76">
        <f t="shared" ref="AC16:AD16" si="42">SUM(W16+Y16+AA16)</f>
        <v>0</v>
      </c>
      <c r="AD16" s="77">
        <f t="shared" si="42"/>
        <v>0</v>
      </c>
      <c r="AE16" s="78">
        <f t="shared" si="35"/>
        <v>0</v>
      </c>
      <c r="AF16" s="76"/>
      <c r="AG16" s="78"/>
      <c r="AH16" s="76"/>
      <c r="AI16" s="78"/>
      <c r="AJ16" s="76"/>
      <c r="AK16" s="78"/>
      <c r="AL16" s="76">
        <f t="shared" ref="AL16:AM16" si="43">SUM(AF16+AH16+AJ16)</f>
        <v>0</v>
      </c>
      <c r="AM16" s="77">
        <f t="shared" si="43"/>
        <v>0</v>
      </c>
      <c r="AN16" s="78">
        <f t="shared" si="37"/>
        <v>0</v>
      </c>
      <c r="AO16" s="76">
        <f t="shared" ref="AO16:AP16" si="44">SUM(K16+T16+AC16+AL16)</f>
        <v>300</v>
      </c>
      <c r="AP16" s="77">
        <f t="shared" si="44"/>
        <v>300</v>
      </c>
      <c r="AQ16" s="77">
        <f t="shared" si="39"/>
        <v>0</v>
      </c>
      <c r="AR16" s="158"/>
    </row>
    <row r="17" spans="1:44">
      <c r="A17" s="153"/>
      <c r="B17" s="159"/>
      <c r="C17" s="311" t="s">
        <v>95</v>
      </c>
      <c r="D17" s="265"/>
      <c r="E17" s="204"/>
      <c r="F17" s="205"/>
      <c r="G17" s="204"/>
      <c r="H17" s="205"/>
      <c r="I17" s="204"/>
      <c r="J17" s="205"/>
      <c r="K17" s="204"/>
      <c r="L17" s="206"/>
      <c r="M17" s="205"/>
      <c r="N17" s="204"/>
      <c r="O17" s="205"/>
      <c r="P17" s="204"/>
      <c r="Q17" s="205"/>
      <c r="R17" s="204"/>
      <c r="S17" s="205"/>
      <c r="T17" s="204"/>
      <c r="U17" s="206"/>
      <c r="V17" s="205"/>
      <c r="W17" s="204"/>
      <c r="X17" s="205"/>
      <c r="Y17" s="204"/>
      <c r="Z17" s="205"/>
      <c r="AA17" s="204"/>
      <c r="AB17" s="205"/>
      <c r="AC17" s="204"/>
      <c r="AD17" s="206"/>
      <c r="AE17" s="205"/>
      <c r="AF17" s="204"/>
      <c r="AG17" s="205"/>
      <c r="AH17" s="204"/>
      <c r="AI17" s="205"/>
      <c r="AJ17" s="204"/>
      <c r="AK17" s="205"/>
      <c r="AL17" s="204"/>
      <c r="AM17" s="206"/>
      <c r="AN17" s="205"/>
      <c r="AO17" s="204"/>
      <c r="AP17" s="206"/>
      <c r="AQ17" s="206"/>
      <c r="AR17" s="158"/>
    </row>
    <row r="18" spans="1:44">
      <c r="A18" s="153"/>
      <c r="B18" s="159"/>
      <c r="C18" s="300" t="s">
        <v>96</v>
      </c>
      <c r="D18" s="267"/>
      <c r="E18" s="76">
        <v>100</v>
      </c>
      <c r="F18" s="78">
        <v>100</v>
      </c>
      <c r="G18" s="76">
        <v>100</v>
      </c>
      <c r="H18" s="78">
        <v>100</v>
      </c>
      <c r="I18" s="76">
        <v>100</v>
      </c>
      <c r="J18" s="78">
        <v>100</v>
      </c>
      <c r="K18" s="76">
        <f t="shared" ref="K18:L18" si="45">SUM(E18+G18+I18)</f>
        <v>300</v>
      </c>
      <c r="L18" s="77">
        <f t="shared" si="45"/>
        <v>300</v>
      </c>
      <c r="M18" s="78">
        <f t="shared" ref="M18:M22" si="46">K18-L18</f>
        <v>0</v>
      </c>
      <c r="N18" s="76"/>
      <c r="O18" s="78"/>
      <c r="P18" s="76"/>
      <c r="Q18" s="78"/>
      <c r="R18" s="76"/>
      <c r="S18" s="78"/>
      <c r="T18" s="76">
        <f t="shared" ref="T18:U18" si="47">SUM(N18+P18+R18)</f>
        <v>0</v>
      </c>
      <c r="U18" s="77">
        <f t="shared" si="47"/>
        <v>0</v>
      </c>
      <c r="V18" s="78">
        <f t="shared" ref="V18:V22" si="48">T18-U18</f>
        <v>0</v>
      </c>
      <c r="W18" s="76"/>
      <c r="X18" s="78"/>
      <c r="Y18" s="76"/>
      <c r="Z18" s="78"/>
      <c r="AA18" s="76"/>
      <c r="AB18" s="78"/>
      <c r="AC18" s="76">
        <f t="shared" ref="AC18:AD18" si="49">SUM(W18+Y18+AA18)</f>
        <v>0</v>
      </c>
      <c r="AD18" s="77">
        <f t="shared" si="49"/>
        <v>0</v>
      </c>
      <c r="AE18" s="78">
        <f t="shared" ref="AE18:AE22" si="50">AC18-AD18</f>
        <v>0</v>
      </c>
      <c r="AF18" s="76"/>
      <c r="AG18" s="78"/>
      <c r="AH18" s="76"/>
      <c r="AI18" s="78"/>
      <c r="AJ18" s="76"/>
      <c r="AK18" s="78"/>
      <c r="AL18" s="76">
        <f t="shared" ref="AL18:AM18" si="51">SUM(AF18+AH18+AJ18)</f>
        <v>0</v>
      </c>
      <c r="AM18" s="77">
        <f t="shared" si="51"/>
        <v>0</v>
      </c>
      <c r="AN18" s="78">
        <f t="shared" ref="AN18:AN22" si="52">AL18-AM18</f>
        <v>0</v>
      </c>
      <c r="AO18" s="76">
        <f t="shared" ref="AO18:AP18" si="53">SUM(K18+T18+AC18+AL18)</f>
        <v>300</v>
      </c>
      <c r="AP18" s="77">
        <f t="shared" si="53"/>
        <v>300</v>
      </c>
      <c r="AQ18" s="77">
        <f t="shared" ref="AQ18:AQ22" si="54">AO18-AP18</f>
        <v>0</v>
      </c>
      <c r="AR18" s="158"/>
    </row>
    <row r="19" spans="1:44">
      <c r="A19" s="153"/>
      <c r="B19" s="159"/>
      <c r="C19" s="300" t="s">
        <v>97</v>
      </c>
      <c r="D19" s="267"/>
      <c r="E19" s="76">
        <v>100</v>
      </c>
      <c r="F19" s="78">
        <v>100</v>
      </c>
      <c r="G19" s="76">
        <v>100</v>
      </c>
      <c r="H19" s="78">
        <v>100</v>
      </c>
      <c r="I19" s="76">
        <v>100</v>
      </c>
      <c r="J19" s="78">
        <v>100</v>
      </c>
      <c r="K19" s="76">
        <f t="shared" ref="K19:L19" si="55">SUM(E19+G19+I19)</f>
        <v>300</v>
      </c>
      <c r="L19" s="77">
        <f t="shared" si="55"/>
        <v>300</v>
      </c>
      <c r="M19" s="78">
        <f t="shared" si="46"/>
        <v>0</v>
      </c>
      <c r="N19" s="76"/>
      <c r="O19" s="78"/>
      <c r="P19" s="76"/>
      <c r="Q19" s="78"/>
      <c r="R19" s="76"/>
      <c r="S19" s="78"/>
      <c r="T19" s="76">
        <f t="shared" ref="T19:U19" si="56">SUM(N19+P19+R19)</f>
        <v>0</v>
      </c>
      <c r="U19" s="77">
        <f t="shared" si="56"/>
        <v>0</v>
      </c>
      <c r="V19" s="78">
        <f t="shared" si="48"/>
        <v>0</v>
      </c>
      <c r="W19" s="76"/>
      <c r="X19" s="78"/>
      <c r="Y19" s="76"/>
      <c r="Z19" s="78"/>
      <c r="AA19" s="76"/>
      <c r="AB19" s="78"/>
      <c r="AC19" s="76">
        <f t="shared" ref="AC19:AD19" si="57">SUM(W19+Y19+AA19)</f>
        <v>0</v>
      </c>
      <c r="AD19" s="77">
        <f t="shared" si="57"/>
        <v>0</v>
      </c>
      <c r="AE19" s="78">
        <f t="shared" si="50"/>
        <v>0</v>
      </c>
      <c r="AF19" s="76"/>
      <c r="AG19" s="78"/>
      <c r="AH19" s="76"/>
      <c r="AI19" s="78"/>
      <c r="AJ19" s="76"/>
      <c r="AK19" s="78"/>
      <c r="AL19" s="76">
        <f t="shared" ref="AL19:AM19" si="58">SUM(AF19+AH19+AJ19)</f>
        <v>0</v>
      </c>
      <c r="AM19" s="77">
        <f t="shared" si="58"/>
        <v>0</v>
      </c>
      <c r="AN19" s="78">
        <f t="shared" si="52"/>
        <v>0</v>
      </c>
      <c r="AO19" s="76">
        <f t="shared" ref="AO19:AP19" si="59">SUM(K19+T19+AC19+AL19)</f>
        <v>300</v>
      </c>
      <c r="AP19" s="77">
        <f t="shared" si="59"/>
        <v>300</v>
      </c>
      <c r="AQ19" s="77">
        <f t="shared" si="54"/>
        <v>0</v>
      </c>
      <c r="AR19" s="158"/>
    </row>
    <row r="20" spans="1:44">
      <c r="A20" s="153"/>
      <c r="B20" s="159"/>
      <c r="C20" s="300" t="s">
        <v>98</v>
      </c>
      <c r="D20" s="267"/>
      <c r="E20" s="76">
        <v>100</v>
      </c>
      <c r="F20" s="78">
        <v>100</v>
      </c>
      <c r="G20" s="76">
        <v>100</v>
      </c>
      <c r="H20" s="78">
        <v>100</v>
      </c>
      <c r="I20" s="76">
        <v>100</v>
      </c>
      <c r="J20" s="78">
        <v>100</v>
      </c>
      <c r="K20" s="76">
        <f t="shared" ref="K20:L20" si="60">SUM(E20+G20+I20)</f>
        <v>300</v>
      </c>
      <c r="L20" s="77">
        <f t="shared" si="60"/>
        <v>300</v>
      </c>
      <c r="M20" s="78">
        <f t="shared" si="46"/>
        <v>0</v>
      </c>
      <c r="N20" s="76"/>
      <c r="O20" s="78"/>
      <c r="P20" s="76"/>
      <c r="Q20" s="78"/>
      <c r="R20" s="76"/>
      <c r="S20" s="78"/>
      <c r="T20" s="76">
        <f t="shared" ref="T20:U20" si="61">SUM(N20+P20+R20)</f>
        <v>0</v>
      </c>
      <c r="U20" s="77">
        <f t="shared" si="61"/>
        <v>0</v>
      </c>
      <c r="V20" s="78">
        <f t="shared" si="48"/>
        <v>0</v>
      </c>
      <c r="W20" s="76"/>
      <c r="X20" s="78"/>
      <c r="Y20" s="76"/>
      <c r="Z20" s="78"/>
      <c r="AA20" s="76"/>
      <c r="AB20" s="78"/>
      <c r="AC20" s="76">
        <f t="shared" ref="AC20:AD20" si="62">SUM(W20+Y20+AA20)</f>
        <v>0</v>
      </c>
      <c r="AD20" s="77">
        <f t="shared" si="62"/>
        <v>0</v>
      </c>
      <c r="AE20" s="78">
        <f t="shared" si="50"/>
        <v>0</v>
      </c>
      <c r="AF20" s="76"/>
      <c r="AG20" s="78"/>
      <c r="AH20" s="76"/>
      <c r="AI20" s="78"/>
      <c r="AJ20" s="76"/>
      <c r="AK20" s="78"/>
      <c r="AL20" s="76">
        <f t="shared" ref="AL20:AM20" si="63">SUM(AF20+AH20+AJ20)</f>
        <v>0</v>
      </c>
      <c r="AM20" s="77">
        <f t="shared" si="63"/>
        <v>0</v>
      </c>
      <c r="AN20" s="78">
        <f t="shared" si="52"/>
        <v>0</v>
      </c>
      <c r="AO20" s="76">
        <f t="shared" ref="AO20:AP20" si="64">SUM(K20+T20+AC20+AL20)</f>
        <v>300</v>
      </c>
      <c r="AP20" s="77">
        <f t="shared" si="64"/>
        <v>300</v>
      </c>
      <c r="AQ20" s="77">
        <f t="shared" si="54"/>
        <v>0</v>
      </c>
      <c r="AR20" s="158"/>
    </row>
    <row r="21" spans="1:44" ht="15.75" customHeight="1">
      <c r="A21" s="153"/>
      <c r="B21" s="159"/>
      <c r="C21" s="300" t="s">
        <v>99</v>
      </c>
      <c r="D21" s="267"/>
      <c r="E21" s="76">
        <v>100</v>
      </c>
      <c r="F21" s="78">
        <v>100</v>
      </c>
      <c r="G21" s="76">
        <v>100</v>
      </c>
      <c r="H21" s="78">
        <v>100</v>
      </c>
      <c r="I21" s="76">
        <v>100</v>
      </c>
      <c r="J21" s="78">
        <v>100</v>
      </c>
      <c r="K21" s="76">
        <f t="shared" ref="K21:L21" si="65">SUM(E21+G21+I21)</f>
        <v>300</v>
      </c>
      <c r="L21" s="77">
        <f t="shared" si="65"/>
        <v>300</v>
      </c>
      <c r="M21" s="78">
        <f t="shared" si="46"/>
        <v>0</v>
      </c>
      <c r="N21" s="76"/>
      <c r="O21" s="78"/>
      <c r="P21" s="76"/>
      <c r="Q21" s="78"/>
      <c r="R21" s="76"/>
      <c r="S21" s="78"/>
      <c r="T21" s="76">
        <f t="shared" ref="T21:U21" si="66">SUM(N21+P21+R21)</f>
        <v>0</v>
      </c>
      <c r="U21" s="77">
        <f t="shared" si="66"/>
        <v>0</v>
      </c>
      <c r="V21" s="78">
        <f t="shared" si="48"/>
        <v>0</v>
      </c>
      <c r="W21" s="76"/>
      <c r="X21" s="78"/>
      <c r="Y21" s="76"/>
      <c r="Z21" s="78"/>
      <c r="AA21" s="76"/>
      <c r="AB21" s="78"/>
      <c r="AC21" s="76">
        <f t="shared" ref="AC21:AD21" si="67">SUM(W21+Y21+AA21)</f>
        <v>0</v>
      </c>
      <c r="AD21" s="77">
        <f t="shared" si="67"/>
        <v>0</v>
      </c>
      <c r="AE21" s="78">
        <f t="shared" si="50"/>
        <v>0</v>
      </c>
      <c r="AF21" s="76"/>
      <c r="AG21" s="78"/>
      <c r="AH21" s="76"/>
      <c r="AI21" s="78"/>
      <c r="AJ21" s="76"/>
      <c r="AK21" s="78"/>
      <c r="AL21" s="76">
        <f t="shared" ref="AL21:AM21" si="68">SUM(AF21+AH21+AJ21)</f>
        <v>0</v>
      </c>
      <c r="AM21" s="77">
        <f t="shared" si="68"/>
        <v>0</v>
      </c>
      <c r="AN21" s="78">
        <f t="shared" si="52"/>
        <v>0</v>
      </c>
      <c r="AO21" s="76">
        <f t="shared" ref="AO21:AP21" si="69">SUM(K21+T21+AC21+AL21)</f>
        <v>300</v>
      </c>
      <c r="AP21" s="77">
        <f t="shared" si="69"/>
        <v>300</v>
      </c>
      <c r="AQ21" s="77">
        <f t="shared" si="54"/>
        <v>0</v>
      </c>
      <c r="AR21" s="158"/>
    </row>
    <row r="22" spans="1:44" ht="15.75" customHeight="1">
      <c r="A22" s="153"/>
      <c r="B22" s="159"/>
      <c r="C22" s="300" t="s">
        <v>100</v>
      </c>
      <c r="D22" s="267"/>
      <c r="E22" s="76">
        <v>100</v>
      </c>
      <c r="F22" s="78">
        <v>100</v>
      </c>
      <c r="G22" s="76">
        <v>100</v>
      </c>
      <c r="H22" s="78">
        <v>100</v>
      </c>
      <c r="I22" s="76">
        <v>100</v>
      </c>
      <c r="J22" s="78">
        <v>100</v>
      </c>
      <c r="K22" s="76">
        <f t="shared" ref="K22:L22" si="70">SUM(E22+G22+I22)</f>
        <v>300</v>
      </c>
      <c r="L22" s="77">
        <f t="shared" si="70"/>
        <v>300</v>
      </c>
      <c r="M22" s="78">
        <f t="shared" si="46"/>
        <v>0</v>
      </c>
      <c r="N22" s="76"/>
      <c r="O22" s="78"/>
      <c r="P22" s="76"/>
      <c r="Q22" s="78"/>
      <c r="R22" s="76"/>
      <c r="S22" s="78"/>
      <c r="T22" s="76">
        <f t="shared" ref="T22:U22" si="71">SUM(N22+P22+R22)</f>
        <v>0</v>
      </c>
      <c r="U22" s="77">
        <f t="shared" si="71"/>
        <v>0</v>
      </c>
      <c r="V22" s="78">
        <f t="shared" si="48"/>
        <v>0</v>
      </c>
      <c r="W22" s="76"/>
      <c r="X22" s="78"/>
      <c r="Y22" s="76"/>
      <c r="Z22" s="78"/>
      <c r="AA22" s="76"/>
      <c r="AB22" s="78"/>
      <c r="AC22" s="76">
        <f t="shared" ref="AC22:AD22" si="72">SUM(W22+Y22+AA22)</f>
        <v>0</v>
      </c>
      <c r="AD22" s="77">
        <f t="shared" si="72"/>
        <v>0</v>
      </c>
      <c r="AE22" s="78">
        <f t="shared" si="50"/>
        <v>0</v>
      </c>
      <c r="AF22" s="76"/>
      <c r="AG22" s="78"/>
      <c r="AH22" s="76"/>
      <c r="AI22" s="78"/>
      <c r="AJ22" s="76"/>
      <c r="AK22" s="78"/>
      <c r="AL22" s="76">
        <f t="shared" ref="AL22:AM22" si="73">SUM(AF22+AH22+AJ22)</f>
        <v>0</v>
      </c>
      <c r="AM22" s="77">
        <f t="shared" si="73"/>
        <v>0</v>
      </c>
      <c r="AN22" s="78">
        <f t="shared" si="52"/>
        <v>0</v>
      </c>
      <c r="AO22" s="76">
        <f t="shared" ref="AO22:AP22" si="74">SUM(K22+T22+AC22+AL22)</f>
        <v>300</v>
      </c>
      <c r="AP22" s="77">
        <f t="shared" si="74"/>
        <v>300</v>
      </c>
      <c r="AQ22" s="77">
        <f t="shared" si="54"/>
        <v>0</v>
      </c>
      <c r="AR22" s="158"/>
    </row>
    <row r="23" spans="1:44" ht="15.75" customHeight="1">
      <c r="A23" s="153"/>
      <c r="B23" s="159"/>
      <c r="C23" s="315" t="s">
        <v>101</v>
      </c>
      <c r="D23" s="265"/>
      <c r="E23" s="207"/>
      <c r="F23" s="208"/>
      <c r="G23" s="207"/>
      <c r="H23" s="208"/>
      <c r="I23" s="207"/>
      <c r="J23" s="208"/>
      <c r="K23" s="207"/>
      <c r="L23" s="209"/>
      <c r="M23" s="208"/>
      <c r="N23" s="207"/>
      <c r="O23" s="208"/>
      <c r="P23" s="207"/>
      <c r="Q23" s="208"/>
      <c r="R23" s="207"/>
      <c r="S23" s="208"/>
      <c r="T23" s="207"/>
      <c r="U23" s="209"/>
      <c r="V23" s="208"/>
      <c r="W23" s="207"/>
      <c r="X23" s="208"/>
      <c r="Y23" s="207"/>
      <c r="Z23" s="208"/>
      <c r="AA23" s="207"/>
      <c r="AB23" s="208"/>
      <c r="AC23" s="207"/>
      <c r="AD23" s="209"/>
      <c r="AE23" s="208"/>
      <c r="AF23" s="207"/>
      <c r="AG23" s="208"/>
      <c r="AH23" s="207"/>
      <c r="AI23" s="208"/>
      <c r="AJ23" s="207"/>
      <c r="AK23" s="208"/>
      <c r="AL23" s="207"/>
      <c r="AM23" s="209"/>
      <c r="AN23" s="208"/>
      <c r="AO23" s="207"/>
      <c r="AP23" s="209"/>
      <c r="AQ23" s="209"/>
      <c r="AR23" s="158"/>
    </row>
    <row r="24" spans="1:44" ht="15.75" customHeight="1">
      <c r="A24" s="153"/>
      <c r="B24" s="159"/>
      <c r="C24" s="300" t="s">
        <v>102</v>
      </c>
      <c r="D24" s="267"/>
      <c r="E24" s="76">
        <v>100</v>
      </c>
      <c r="F24" s="78">
        <v>100</v>
      </c>
      <c r="G24" s="76">
        <v>100</v>
      </c>
      <c r="H24" s="78">
        <v>100</v>
      </c>
      <c r="I24" s="76">
        <v>100</v>
      </c>
      <c r="J24" s="78">
        <v>100</v>
      </c>
      <c r="K24" s="76">
        <f t="shared" ref="K24:L24" si="75">SUM(E24+G24+I24)</f>
        <v>300</v>
      </c>
      <c r="L24" s="77">
        <f t="shared" si="75"/>
        <v>300</v>
      </c>
      <c r="M24" s="78">
        <f t="shared" ref="M24:M26" si="76">K24-L24</f>
        <v>0</v>
      </c>
      <c r="N24" s="76"/>
      <c r="O24" s="78"/>
      <c r="P24" s="76"/>
      <c r="Q24" s="78"/>
      <c r="R24" s="76"/>
      <c r="S24" s="78"/>
      <c r="T24" s="76">
        <f t="shared" ref="T24:U24" si="77">SUM(N24+P24+R24)</f>
        <v>0</v>
      </c>
      <c r="U24" s="77">
        <f t="shared" si="77"/>
        <v>0</v>
      </c>
      <c r="V24" s="78">
        <f t="shared" ref="V24:V26" si="78">T24-U24</f>
        <v>0</v>
      </c>
      <c r="W24" s="76"/>
      <c r="X24" s="78"/>
      <c r="Y24" s="76"/>
      <c r="Z24" s="78"/>
      <c r="AA24" s="76"/>
      <c r="AB24" s="78"/>
      <c r="AC24" s="76">
        <f t="shared" ref="AC24:AD24" si="79">SUM(W24+Y24+AA24)</f>
        <v>0</v>
      </c>
      <c r="AD24" s="77">
        <f t="shared" si="79"/>
        <v>0</v>
      </c>
      <c r="AE24" s="78">
        <f t="shared" ref="AE24:AE26" si="80">AC24-AD24</f>
        <v>0</v>
      </c>
      <c r="AF24" s="76"/>
      <c r="AG24" s="78"/>
      <c r="AH24" s="76"/>
      <c r="AI24" s="78"/>
      <c r="AJ24" s="76"/>
      <c r="AK24" s="78"/>
      <c r="AL24" s="76">
        <f t="shared" ref="AL24:AM24" si="81">SUM(AF24+AH24+AJ24)</f>
        <v>0</v>
      </c>
      <c r="AM24" s="77">
        <f t="shared" si="81"/>
        <v>0</v>
      </c>
      <c r="AN24" s="78">
        <f t="shared" ref="AN24:AN26" si="82">AL24-AM24</f>
        <v>0</v>
      </c>
      <c r="AO24" s="76">
        <f t="shared" ref="AO24:AP24" si="83">SUM(K24+T24+AC24+AL24)</f>
        <v>300</v>
      </c>
      <c r="AP24" s="77">
        <f t="shared" si="83"/>
        <v>300</v>
      </c>
      <c r="AQ24" s="77">
        <f t="shared" ref="AQ24:AQ26" si="84">AO24-AP24</f>
        <v>0</v>
      </c>
      <c r="AR24" s="158"/>
    </row>
    <row r="25" spans="1:44" ht="15.75" customHeight="1">
      <c r="A25" s="153"/>
      <c r="B25" s="159"/>
      <c r="C25" s="300" t="s">
        <v>103</v>
      </c>
      <c r="D25" s="267"/>
      <c r="E25" s="76">
        <v>100</v>
      </c>
      <c r="F25" s="78">
        <v>100</v>
      </c>
      <c r="G25" s="76">
        <v>100</v>
      </c>
      <c r="H25" s="78">
        <v>100</v>
      </c>
      <c r="I25" s="76">
        <v>100</v>
      </c>
      <c r="J25" s="78">
        <v>100</v>
      </c>
      <c r="K25" s="76">
        <f t="shared" ref="K25:L25" si="85">SUM(E25+G25+I25)</f>
        <v>300</v>
      </c>
      <c r="L25" s="77">
        <f t="shared" si="85"/>
        <v>300</v>
      </c>
      <c r="M25" s="78">
        <f t="shared" si="76"/>
        <v>0</v>
      </c>
      <c r="N25" s="76"/>
      <c r="O25" s="78"/>
      <c r="P25" s="76"/>
      <c r="Q25" s="78"/>
      <c r="R25" s="76"/>
      <c r="S25" s="78"/>
      <c r="T25" s="76">
        <f t="shared" ref="T25:U25" si="86">SUM(N25+P25+R25)</f>
        <v>0</v>
      </c>
      <c r="U25" s="77">
        <f t="shared" si="86"/>
        <v>0</v>
      </c>
      <c r="V25" s="78">
        <f t="shared" si="78"/>
        <v>0</v>
      </c>
      <c r="W25" s="76"/>
      <c r="X25" s="78"/>
      <c r="Y25" s="76"/>
      <c r="Z25" s="78"/>
      <c r="AA25" s="76"/>
      <c r="AB25" s="78"/>
      <c r="AC25" s="76">
        <f t="shared" ref="AC25:AD25" si="87">SUM(W25+Y25+AA25)</f>
        <v>0</v>
      </c>
      <c r="AD25" s="77">
        <f t="shared" si="87"/>
        <v>0</v>
      </c>
      <c r="AE25" s="78">
        <f t="shared" si="80"/>
        <v>0</v>
      </c>
      <c r="AF25" s="76"/>
      <c r="AG25" s="78"/>
      <c r="AH25" s="76"/>
      <c r="AI25" s="78"/>
      <c r="AJ25" s="76"/>
      <c r="AK25" s="78"/>
      <c r="AL25" s="76">
        <f t="shared" ref="AL25:AM25" si="88">SUM(AF25+AH25+AJ25)</f>
        <v>0</v>
      </c>
      <c r="AM25" s="77">
        <f t="shared" si="88"/>
        <v>0</v>
      </c>
      <c r="AN25" s="78">
        <f t="shared" si="82"/>
        <v>0</v>
      </c>
      <c r="AO25" s="76">
        <f t="shared" ref="AO25:AP25" si="89">SUM(K25+T25+AC25+AL25)</f>
        <v>300</v>
      </c>
      <c r="AP25" s="77">
        <f t="shared" si="89"/>
        <v>300</v>
      </c>
      <c r="AQ25" s="77">
        <f t="shared" si="84"/>
        <v>0</v>
      </c>
      <c r="AR25" s="158"/>
    </row>
    <row r="26" spans="1:44" ht="15.75" customHeight="1">
      <c r="A26" s="153"/>
      <c r="B26" s="159"/>
      <c r="C26" s="306" t="s">
        <v>104</v>
      </c>
      <c r="D26" s="307"/>
      <c r="E26" s="80">
        <v>100</v>
      </c>
      <c r="F26" s="82">
        <v>100</v>
      </c>
      <c r="G26" s="80">
        <v>100</v>
      </c>
      <c r="H26" s="82">
        <v>100</v>
      </c>
      <c r="I26" s="80">
        <v>100</v>
      </c>
      <c r="J26" s="82">
        <v>100</v>
      </c>
      <c r="K26" s="80">
        <f t="shared" ref="K26:L26" si="90">SUM(E26+G26+I26)</f>
        <v>300</v>
      </c>
      <c r="L26" s="81">
        <f t="shared" si="90"/>
        <v>300</v>
      </c>
      <c r="M26" s="82">
        <f t="shared" si="76"/>
        <v>0</v>
      </c>
      <c r="N26" s="80"/>
      <c r="O26" s="82"/>
      <c r="P26" s="80"/>
      <c r="Q26" s="82"/>
      <c r="R26" s="80"/>
      <c r="S26" s="82"/>
      <c r="T26" s="80">
        <f t="shared" ref="T26:U26" si="91">SUM(N26+P26+R26)</f>
        <v>0</v>
      </c>
      <c r="U26" s="81">
        <f t="shared" si="91"/>
        <v>0</v>
      </c>
      <c r="V26" s="82">
        <f t="shared" si="78"/>
        <v>0</v>
      </c>
      <c r="W26" s="80"/>
      <c r="X26" s="82"/>
      <c r="Y26" s="80"/>
      <c r="Z26" s="82"/>
      <c r="AA26" s="80"/>
      <c r="AB26" s="82"/>
      <c r="AC26" s="80">
        <f t="shared" ref="AC26:AD26" si="92">SUM(W26+Y26+AA26)</f>
        <v>0</v>
      </c>
      <c r="AD26" s="81">
        <f t="shared" si="92"/>
        <v>0</v>
      </c>
      <c r="AE26" s="82">
        <f t="shared" si="80"/>
        <v>0</v>
      </c>
      <c r="AF26" s="80"/>
      <c r="AG26" s="82"/>
      <c r="AH26" s="80"/>
      <c r="AI26" s="82"/>
      <c r="AJ26" s="80"/>
      <c r="AK26" s="82"/>
      <c r="AL26" s="80">
        <f t="shared" ref="AL26:AM26" si="93">SUM(AF26+AH26+AJ26)</f>
        <v>0</v>
      </c>
      <c r="AM26" s="81">
        <f t="shared" si="93"/>
        <v>0</v>
      </c>
      <c r="AN26" s="82">
        <f t="shared" si="82"/>
        <v>0</v>
      </c>
      <c r="AO26" s="80">
        <f t="shared" ref="AO26:AP26" si="94">SUM(K26+T26+AC26+AL26)</f>
        <v>300</v>
      </c>
      <c r="AP26" s="81">
        <f t="shared" si="94"/>
        <v>300</v>
      </c>
      <c r="AQ26" s="81">
        <f t="shared" si="84"/>
        <v>0</v>
      </c>
      <c r="AR26" s="158"/>
    </row>
    <row r="27" spans="1:44" ht="15.75" customHeight="1">
      <c r="A27" s="153"/>
      <c r="B27" s="159"/>
      <c r="C27" s="292" t="s">
        <v>42</v>
      </c>
      <c r="D27" s="296"/>
      <c r="E27" s="84">
        <f t="shared" ref="E27:AQ27" si="95">SUM(E9:E10,E12:E13,E15:E16,E18:E22,E24:E26)</f>
        <v>1400</v>
      </c>
      <c r="F27" s="85">
        <f t="shared" si="95"/>
        <v>1400</v>
      </c>
      <c r="G27" s="189">
        <f t="shared" si="95"/>
        <v>1400</v>
      </c>
      <c r="H27" s="85">
        <f t="shared" si="95"/>
        <v>1400</v>
      </c>
      <c r="I27" s="189">
        <f t="shared" si="95"/>
        <v>1400</v>
      </c>
      <c r="J27" s="85">
        <f t="shared" si="95"/>
        <v>1400</v>
      </c>
      <c r="K27" s="135">
        <f t="shared" si="95"/>
        <v>4200</v>
      </c>
      <c r="L27" s="136">
        <f t="shared" si="95"/>
        <v>4200</v>
      </c>
      <c r="M27" s="137">
        <f t="shared" si="95"/>
        <v>0</v>
      </c>
      <c r="N27" s="85">
        <f t="shared" si="95"/>
        <v>0</v>
      </c>
      <c r="O27" s="85">
        <f t="shared" si="95"/>
        <v>0</v>
      </c>
      <c r="P27" s="189">
        <f t="shared" si="95"/>
        <v>0</v>
      </c>
      <c r="Q27" s="85">
        <f t="shared" si="95"/>
        <v>0</v>
      </c>
      <c r="R27" s="189">
        <f t="shared" si="95"/>
        <v>0</v>
      </c>
      <c r="S27" s="85">
        <f t="shared" si="95"/>
        <v>0</v>
      </c>
      <c r="T27" s="135">
        <f t="shared" si="95"/>
        <v>0</v>
      </c>
      <c r="U27" s="136">
        <f t="shared" si="95"/>
        <v>0</v>
      </c>
      <c r="V27" s="137">
        <f t="shared" si="95"/>
        <v>0</v>
      </c>
      <c r="W27" s="85">
        <f t="shared" si="95"/>
        <v>0</v>
      </c>
      <c r="X27" s="85">
        <f t="shared" si="95"/>
        <v>0</v>
      </c>
      <c r="Y27" s="189">
        <f t="shared" si="95"/>
        <v>0</v>
      </c>
      <c r="Z27" s="85">
        <f t="shared" si="95"/>
        <v>0</v>
      </c>
      <c r="AA27" s="189">
        <f t="shared" si="95"/>
        <v>0</v>
      </c>
      <c r="AB27" s="86">
        <f t="shared" si="95"/>
        <v>0</v>
      </c>
      <c r="AC27" s="135">
        <f t="shared" si="95"/>
        <v>0</v>
      </c>
      <c r="AD27" s="136">
        <f t="shared" si="95"/>
        <v>0</v>
      </c>
      <c r="AE27" s="137">
        <f t="shared" si="95"/>
        <v>0</v>
      </c>
      <c r="AF27" s="85">
        <f t="shared" si="95"/>
        <v>0</v>
      </c>
      <c r="AG27" s="85">
        <f t="shared" si="95"/>
        <v>0</v>
      </c>
      <c r="AH27" s="189">
        <f t="shared" si="95"/>
        <v>0</v>
      </c>
      <c r="AI27" s="85">
        <f t="shared" si="95"/>
        <v>0</v>
      </c>
      <c r="AJ27" s="189">
        <f t="shared" si="95"/>
        <v>0</v>
      </c>
      <c r="AK27" s="86">
        <f t="shared" si="95"/>
        <v>0</v>
      </c>
      <c r="AL27" s="135">
        <f t="shared" si="95"/>
        <v>0</v>
      </c>
      <c r="AM27" s="136">
        <f t="shared" si="95"/>
        <v>0</v>
      </c>
      <c r="AN27" s="137">
        <f t="shared" si="95"/>
        <v>0</v>
      </c>
      <c r="AO27" s="135">
        <f t="shared" si="95"/>
        <v>4200</v>
      </c>
      <c r="AP27" s="136">
        <f t="shared" si="95"/>
        <v>4200</v>
      </c>
      <c r="AQ27" s="136">
        <f t="shared" si="95"/>
        <v>0</v>
      </c>
      <c r="AR27" s="158"/>
    </row>
    <row r="28" spans="1:44" ht="31.5" customHeight="1">
      <c r="A28" s="153"/>
      <c r="B28" s="159"/>
      <c r="C28" s="152"/>
      <c r="D28" s="152"/>
      <c r="E28" s="153"/>
      <c r="F28" s="153"/>
      <c r="G28" s="153"/>
      <c r="H28" s="153"/>
      <c r="I28" s="153"/>
      <c r="J28" s="153"/>
      <c r="K28" s="153"/>
      <c r="L28" s="153"/>
      <c r="M28" s="153"/>
      <c r="N28" s="153"/>
      <c r="O28" s="153"/>
      <c r="P28" s="153"/>
      <c r="Q28" s="153"/>
      <c r="R28" s="153"/>
      <c r="S28" s="153"/>
      <c r="T28" s="153"/>
      <c r="U28" s="153"/>
      <c r="V28" s="153"/>
      <c r="W28" s="153"/>
      <c r="X28" s="153"/>
      <c r="Y28" s="153"/>
      <c r="Z28" s="153"/>
      <c r="AA28" s="153"/>
      <c r="AB28" s="153"/>
      <c r="AC28" s="153"/>
      <c r="AD28" s="153"/>
      <c r="AE28" s="153"/>
      <c r="AF28" s="153"/>
      <c r="AG28" s="153"/>
      <c r="AH28" s="153"/>
      <c r="AI28" s="153"/>
      <c r="AJ28" s="153"/>
      <c r="AK28" s="153"/>
      <c r="AL28" s="153"/>
      <c r="AM28" s="153"/>
      <c r="AN28" s="153"/>
      <c r="AO28" s="153"/>
      <c r="AP28" s="153"/>
      <c r="AQ28" s="153"/>
      <c r="AR28" s="158"/>
    </row>
    <row r="29" spans="1:44" ht="37.5" customHeight="1">
      <c r="A29" s="153"/>
      <c r="B29" s="159"/>
      <c r="C29" s="297" t="s">
        <v>65</v>
      </c>
      <c r="D29" s="293"/>
      <c r="E29" s="70" t="s">
        <v>32</v>
      </c>
      <c r="F29" s="71" t="s">
        <v>33</v>
      </c>
      <c r="G29" s="190" t="s">
        <v>34</v>
      </c>
      <c r="H29" s="153"/>
      <c r="I29" s="153"/>
      <c r="J29" s="153"/>
      <c r="K29" s="153"/>
      <c r="L29" s="153"/>
      <c r="M29" s="153"/>
      <c r="N29" s="153"/>
      <c r="O29" s="153"/>
      <c r="P29" s="153"/>
      <c r="Q29" s="153"/>
      <c r="R29" s="153"/>
      <c r="S29" s="153"/>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8"/>
    </row>
    <row r="30" spans="1:44" ht="15.75" customHeight="1">
      <c r="A30" s="153"/>
      <c r="B30" s="159"/>
      <c r="C30" s="312" t="s">
        <v>105</v>
      </c>
      <c r="D30" s="282"/>
      <c r="E30" s="210">
        <f>SUM(AO9:AO10)</f>
        <v>600</v>
      </c>
      <c r="F30" s="211"/>
      <c r="G30" s="211">
        <f t="shared" ref="G30:G35" si="96">E30-F30</f>
        <v>600</v>
      </c>
      <c r="H30" s="153"/>
      <c r="I30" s="153"/>
      <c r="J30" s="153"/>
      <c r="K30" s="153"/>
      <c r="L30" s="153"/>
      <c r="M30" s="153"/>
      <c r="N30" s="153"/>
      <c r="O30" s="153"/>
      <c r="P30" s="153"/>
      <c r="Q30" s="153"/>
      <c r="R30" s="153"/>
      <c r="S30" s="153"/>
      <c r="T30" s="153"/>
      <c r="U30" s="153"/>
      <c r="V30" s="153"/>
      <c r="W30" s="153"/>
      <c r="X30" s="153"/>
      <c r="Y30" s="153"/>
      <c r="Z30" s="153"/>
      <c r="AA30" s="153"/>
      <c r="AB30" s="153"/>
      <c r="AC30" s="153"/>
      <c r="AD30" s="153"/>
      <c r="AE30" s="153"/>
      <c r="AF30" s="153"/>
      <c r="AG30" s="153"/>
      <c r="AH30" s="153"/>
      <c r="AI30" s="153"/>
      <c r="AJ30" s="153"/>
      <c r="AK30" s="153"/>
      <c r="AL30" s="153"/>
      <c r="AM30" s="153"/>
      <c r="AN30" s="153"/>
      <c r="AO30" s="153"/>
      <c r="AP30" s="153"/>
      <c r="AQ30" s="153"/>
      <c r="AR30" s="158"/>
    </row>
    <row r="31" spans="1:44" ht="15.75" customHeight="1">
      <c r="A31" s="153"/>
      <c r="B31" s="159"/>
      <c r="C31" s="301" t="s">
        <v>93</v>
      </c>
      <c r="D31" s="265"/>
      <c r="E31" s="76">
        <f t="shared" ref="E31:F31" si="97">SUM(AO12:AO13)</f>
        <v>600</v>
      </c>
      <c r="F31" s="77">
        <f t="shared" si="97"/>
        <v>600</v>
      </c>
      <c r="G31" s="77">
        <f t="shared" si="96"/>
        <v>0</v>
      </c>
      <c r="H31" s="153"/>
      <c r="I31" s="153"/>
      <c r="J31" s="153"/>
      <c r="K31" s="153"/>
      <c r="L31" s="153"/>
      <c r="M31" s="153"/>
      <c r="N31" s="153"/>
      <c r="O31" s="153"/>
      <c r="P31" s="153"/>
      <c r="Q31" s="153"/>
      <c r="R31" s="153"/>
      <c r="S31" s="153"/>
      <c r="T31" s="153"/>
      <c r="U31" s="153"/>
      <c r="V31" s="153"/>
      <c r="W31" s="153"/>
      <c r="X31" s="153"/>
      <c r="Y31" s="153"/>
      <c r="Z31" s="153"/>
      <c r="AA31" s="153"/>
      <c r="AB31" s="153"/>
      <c r="AC31" s="153"/>
      <c r="AD31" s="153"/>
      <c r="AE31" s="153"/>
      <c r="AF31" s="153"/>
      <c r="AG31" s="153"/>
      <c r="AH31" s="153"/>
      <c r="AI31" s="153"/>
      <c r="AJ31" s="153"/>
      <c r="AK31" s="153"/>
      <c r="AL31" s="153"/>
      <c r="AM31" s="153"/>
      <c r="AN31" s="153"/>
      <c r="AO31" s="153"/>
      <c r="AP31" s="153"/>
      <c r="AQ31" s="153"/>
      <c r="AR31" s="158"/>
    </row>
    <row r="32" spans="1:44" ht="15.75" customHeight="1">
      <c r="A32" s="153"/>
      <c r="B32" s="159"/>
      <c r="C32" s="310" t="s">
        <v>106</v>
      </c>
      <c r="D32" s="265"/>
      <c r="E32" s="76">
        <f t="shared" ref="E32:F32" si="98">SUM(AO15:AO16)</f>
        <v>600</v>
      </c>
      <c r="F32" s="77">
        <f t="shared" si="98"/>
        <v>600</v>
      </c>
      <c r="G32" s="77">
        <f t="shared" si="96"/>
        <v>0</v>
      </c>
      <c r="H32" s="153"/>
      <c r="I32" s="153"/>
      <c r="J32" s="153"/>
      <c r="K32" s="153"/>
      <c r="L32" s="153"/>
      <c r="M32" s="153"/>
      <c r="N32" s="153"/>
      <c r="O32" s="153"/>
      <c r="P32" s="153"/>
      <c r="Q32" s="153"/>
      <c r="R32" s="153"/>
      <c r="S32" s="153"/>
      <c r="T32" s="153"/>
      <c r="U32" s="153"/>
      <c r="V32" s="153"/>
      <c r="W32" s="153"/>
      <c r="X32" s="153"/>
      <c r="Y32" s="153"/>
      <c r="Z32" s="153"/>
      <c r="AA32" s="153"/>
      <c r="AB32" s="153"/>
      <c r="AC32" s="153"/>
      <c r="AD32" s="153"/>
      <c r="AE32" s="153"/>
      <c r="AF32" s="153"/>
      <c r="AG32" s="153"/>
      <c r="AH32" s="153"/>
      <c r="AI32" s="153"/>
      <c r="AJ32" s="153"/>
      <c r="AK32" s="153"/>
      <c r="AL32" s="153"/>
      <c r="AM32" s="153"/>
      <c r="AN32" s="153"/>
      <c r="AO32" s="153"/>
      <c r="AP32" s="153"/>
      <c r="AQ32" s="153"/>
      <c r="AR32" s="158"/>
    </row>
    <row r="33" spans="1:44" ht="15.75" customHeight="1">
      <c r="A33" s="153"/>
      <c r="B33" s="159"/>
      <c r="C33" s="311" t="s">
        <v>107</v>
      </c>
      <c r="D33" s="265"/>
      <c r="E33" s="76">
        <f t="shared" ref="E33:F33" si="99">SUM(AO18:AO22)</f>
        <v>1500</v>
      </c>
      <c r="F33" s="77">
        <f t="shared" si="99"/>
        <v>1500</v>
      </c>
      <c r="G33" s="77">
        <f t="shared" si="96"/>
        <v>0</v>
      </c>
      <c r="H33" s="153"/>
      <c r="I33" s="153"/>
      <c r="J33" s="153"/>
      <c r="K33" s="153"/>
      <c r="L33" s="153"/>
      <c r="M33" s="153"/>
      <c r="N33" s="153"/>
      <c r="O33" s="153"/>
      <c r="P33" s="153"/>
      <c r="Q33" s="153"/>
      <c r="R33" s="153"/>
      <c r="S33" s="153"/>
      <c r="T33" s="153"/>
      <c r="U33" s="153"/>
      <c r="V33" s="153"/>
      <c r="W33" s="153"/>
      <c r="X33" s="153"/>
      <c r="Y33" s="153"/>
      <c r="Z33" s="153"/>
      <c r="AA33" s="153"/>
      <c r="AB33" s="153"/>
      <c r="AC33" s="153"/>
      <c r="AD33" s="153"/>
      <c r="AE33" s="153"/>
      <c r="AF33" s="153"/>
      <c r="AG33" s="153"/>
      <c r="AH33" s="153"/>
      <c r="AI33" s="153"/>
      <c r="AJ33" s="153"/>
      <c r="AK33" s="153"/>
      <c r="AL33" s="153"/>
      <c r="AM33" s="153"/>
      <c r="AN33" s="153"/>
      <c r="AO33" s="153"/>
      <c r="AP33" s="153"/>
      <c r="AQ33" s="153"/>
      <c r="AR33" s="158"/>
    </row>
    <row r="34" spans="1:44" ht="15.75" customHeight="1">
      <c r="A34" s="153"/>
      <c r="B34" s="159"/>
      <c r="C34" s="313" t="s">
        <v>108</v>
      </c>
      <c r="D34" s="314"/>
      <c r="E34" s="80">
        <f t="shared" ref="E34:F34" si="100">SUM(AO24:AO26)</f>
        <v>900</v>
      </c>
      <c r="F34" s="81">
        <f t="shared" si="100"/>
        <v>900</v>
      </c>
      <c r="G34" s="81">
        <f t="shared" si="96"/>
        <v>0</v>
      </c>
      <c r="H34" s="153"/>
      <c r="I34" s="153"/>
      <c r="J34" s="153"/>
      <c r="K34" s="153"/>
      <c r="L34" s="153"/>
      <c r="M34" s="153"/>
      <c r="N34" s="153"/>
      <c r="O34" s="153"/>
      <c r="P34" s="153"/>
      <c r="Q34" s="153"/>
      <c r="R34" s="153"/>
      <c r="S34" s="153"/>
      <c r="T34" s="153"/>
      <c r="U34" s="153"/>
      <c r="V34" s="153"/>
      <c r="W34" s="153"/>
      <c r="X34" s="153"/>
      <c r="Y34" s="153"/>
      <c r="Z34" s="153"/>
      <c r="AA34" s="153"/>
      <c r="AB34" s="153"/>
      <c r="AC34" s="153"/>
      <c r="AD34" s="153"/>
      <c r="AE34" s="153"/>
      <c r="AF34" s="153"/>
      <c r="AG34" s="153"/>
      <c r="AH34" s="153"/>
      <c r="AI34" s="153"/>
      <c r="AJ34" s="153"/>
      <c r="AK34" s="153"/>
      <c r="AL34" s="153"/>
      <c r="AM34" s="153"/>
      <c r="AN34" s="153"/>
      <c r="AO34" s="153"/>
      <c r="AP34" s="153"/>
      <c r="AQ34" s="153"/>
      <c r="AR34" s="158"/>
    </row>
    <row r="35" spans="1:44" ht="15.75" customHeight="1">
      <c r="A35" s="153"/>
      <c r="B35" s="159"/>
      <c r="C35" s="292" t="s">
        <v>42</v>
      </c>
      <c r="D35" s="293"/>
      <c r="E35" s="84">
        <f t="shared" ref="E35:F35" si="101">SUM(E30:E34)</f>
        <v>4200</v>
      </c>
      <c r="F35" s="85">
        <f t="shared" si="101"/>
        <v>3600</v>
      </c>
      <c r="G35" s="85">
        <f t="shared" si="96"/>
        <v>600</v>
      </c>
      <c r="H35" s="153"/>
      <c r="I35" s="153"/>
      <c r="J35" s="153"/>
      <c r="K35" s="153"/>
      <c r="L35" s="153"/>
      <c r="M35" s="153"/>
      <c r="N35" s="153"/>
      <c r="O35" s="153"/>
      <c r="P35" s="153"/>
      <c r="Q35" s="153"/>
      <c r="R35" s="153"/>
      <c r="S35" s="153"/>
      <c r="T35" s="153"/>
      <c r="U35" s="153"/>
      <c r="V35" s="153"/>
      <c r="W35" s="153"/>
      <c r="X35" s="153"/>
      <c r="Y35" s="153"/>
      <c r="Z35" s="153"/>
      <c r="AA35" s="153"/>
      <c r="AB35" s="153"/>
      <c r="AC35" s="153"/>
      <c r="AD35" s="153"/>
      <c r="AE35" s="153"/>
      <c r="AF35" s="153"/>
      <c r="AG35" s="153"/>
      <c r="AH35" s="153"/>
      <c r="AI35" s="153"/>
      <c r="AJ35" s="153"/>
      <c r="AK35" s="153"/>
      <c r="AL35" s="153"/>
      <c r="AM35" s="153"/>
      <c r="AN35" s="153"/>
      <c r="AO35" s="153"/>
      <c r="AP35" s="153"/>
      <c r="AQ35" s="153"/>
      <c r="AR35" s="158"/>
    </row>
    <row r="36" spans="1:44" ht="15.75" customHeight="1">
      <c r="A36" s="153"/>
      <c r="B36" s="159"/>
      <c r="C36" s="152"/>
      <c r="D36" s="152"/>
      <c r="E36" s="153"/>
      <c r="F36" s="153"/>
      <c r="G36" s="153"/>
      <c r="H36" s="153"/>
      <c r="I36" s="153"/>
      <c r="J36" s="153"/>
      <c r="K36" s="153"/>
      <c r="L36" s="153"/>
      <c r="M36" s="153"/>
      <c r="N36" s="153"/>
      <c r="O36" s="153"/>
      <c r="P36" s="153"/>
      <c r="Q36" s="153"/>
      <c r="R36" s="153"/>
      <c r="S36" s="153"/>
      <c r="T36" s="153"/>
      <c r="U36" s="153"/>
      <c r="V36" s="153"/>
      <c r="W36" s="153"/>
      <c r="X36" s="153"/>
      <c r="Y36" s="153"/>
      <c r="Z36" s="153"/>
      <c r="AA36" s="153"/>
      <c r="AB36" s="153"/>
      <c r="AC36" s="153"/>
      <c r="AD36" s="153"/>
      <c r="AE36" s="153"/>
      <c r="AF36" s="153"/>
      <c r="AG36" s="153"/>
      <c r="AH36" s="153"/>
      <c r="AI36" s="153"/>
      <c r="AJ36" s="153"/>
      <c r="AK36" s="153"/>
      <c r="AL36" s="153"/>
      <c r="AM36" s="153"/>
      <c r="AN36" s="153"/>
      <c r="AO36" s="153"/>
      <c r="AP36" s="153"/>
      <c r="AQ36" s="153"/>
      <c r="AR36" s="158"/>
    </row>
    <row r="37" spans="1:44" ht="15.75" customHeight="1">
      <c r="A37" s="153"/>
      <c r="B37" s="159"/>
      <c r="C37" s="152"/>
      <c r="D37" s="152"/>
      <c r="E37" s="153"/>
      <c r="F37" s="153"/>
      <c r="G37" s="153"/>
      <c r="H37" s="153"/>
      <c r="I37" s="153"/>
      <c r="J37" s="153"/>
      <c r="K37" s="153"/>
      <c r="L37" s="153"/>
      <c r="M37" s="153"/>
      <c r="N37" s="153"/>
      <c r="O37" s="153"/>
      <c r="P37" s="153"/>
      <c r="Q37" s="153"/>
      <c r="R37" s="153"/>
      <c r="S37" s="153"/>
      <c r="T37" s="153"/>
      <c r="U37" s="153"/>
      <c r="V37" s="153"/>
      <c r="W37" s="153"/>
      <c r="X37" s="153"/>
      <c r="Y37" s="153"/>
      <c r="Z37" s="153"/>
      <c r="AA37" s="153"/>
      <c r="AB37" s="153"/>
      <c r="AC37" s="153"/>
      <c r="AD37" s="153"/>
      <c r="AE37" s="153"/>
      <c r="AF37" s="153"/>
      <c r="AG37" s="153"/>
      <c r="AH37" s="153"/>
      <c r="AI37" s="153"/>
      <c r="AJ37" s="153"/>
      <c r="AK37" s="153"/>
      <c r="AL37" s="153"/>
      <c r="AM37" s="153"/>
      <c r="AN37" s="153"/>
      <c r="AO37" s="153"/>
      <c r="AP37" s="153"/>
      <c r="AQ37" s="153"/>
      <c r="AR37" s="158"/>
    </row>
    <row r="38" spans="1:44" ht="15.75" customHeight="1">
      <c r="A38" s="153"/>
      <c r="B38" s="159"/>
      <c r="C38" s="152"/>
      <c r="D38" s="152"/>
      <c r="E38" s="153"/>
      <c r="F38" s="153"/>
      <c r="G38" s="153"/>
      <c r="H38" s="153"/>
      <c r="I38" s="153"/>
      <c r="J38" s="153"/>
      <c r="K38" s="153"/>
      <c r="L38" s="153"/>
      <c r="M38" s="153"/>
      <c r="N38" s="153"/>
      <c r="O38" s="153"/>
      <c r="P38" s="153"/>
      <c r="Q38" s="153"/>
      <c r="R38" s="153"/>
      <c r="S38" s="153"/>
      <c r="T38" s="153"/>
      <c r="U38" s="153"/>
      <c r="V38" s="153"/>
      <c r="W38" s="153"/>
      <c r="X38" s="153"/>
      <c r="Y38" s="153"/>
      <c r="Z38" s="153"/>
      <c r="AA38" s="153"/>
      <c r="AB38" s="153"/>
      <c r="AC38" s="153"/>
      <c r="AD38" s="153"/>
      <c r="AE38" s="153"/>
      <c r="AF38" s="153"/>
      <c r="AG38" s="153"/>
      <c r="AH38" s="153"/>
      <c r="AI38" s="153"/>
      <c r="AJ38" s="153"/>
      <c r="AK38" s="153"/>
      <c r="AL38" s="153"/>
      <c r="AM38" s="153"/>
      <c r="AN38" s="153"/>
      <c r="AO38" s="153"/>
      <c r="AP38" s="153"/>
      <c r="AQ38" s="153"/>
      <c r="AR38" s="158"/>
    </row>
    <row r="39" spans="1:44" ht="15.75" customHeight="1">
      <c r="A39" s="153"/>
      <c r="B39" s="159"/>
      <c r="C39" s="152"/>
      <c r="D39" s="152"/>
      <c r="E39" s="153"/>
      <c r="F39" s="153"/>
      <c r="G39" s="153"/>
      <c r="H39" s="153"/>
      <c r="I39" s="153"/>
      <c r="J39" s="153"/>
      <c r="K39" s="153"/>
      <c r="L39" s="153"/>
      <c r="M39" s="153"/>
      <c r="N39" s="153"/>
      <c r="O39" s="153"/>
      <c r="P39" s="153"/>
      <c r="Q39" s="153"/>
      <c r="R39" s="153"/>
      <c r="S39" s="153"/>
      <c r="T39" s="153"/>
      <c r="U39" s="153"/>
      <c r="V39" s="153"/>
      <c r="W39" s="153"/>
      <c r="X39" s="153"/>
      <c r="Y39" s="153"/>
      <c r="Z39" s="153"/>
      <c r="AA39" s="153"/>
      <c r="AB39" s="153"/>
      <c r="AC39" s="153"/>
      <c r="AD39" s="153"/>
      <c r="AE39" s="153"/>
      <c r="AF39" s="153"/>
      <c r="AG39" s="153"/>
      <c r="AH39" s="153"/>
      <c r="AI39" s="153"/>
      <c r="AJ39" s="153"/>
      <c r="AK39" s="153"/>
      <c r="AL39" s="153"/>
      <c r="AM39" s="153"/>
      <c r="AN39" s="153"/>
      <c r="AO39" s="153"/>
      <c r="AP39" s="153"/>
      <c r="AQ39" s="153"/>
      <c r="AR39" s="158"/>
    </row>
    <row r="40" spans="1:44" ht="15.75" customHeight="1">
      <c r="A40" s="153"/>
      <c r="B40" s="159"/>
      <c r="C40" s="152"/>
      <c r="D40" s="152"/>
      <c r="E40" s="153"/>
      <c r="F40" s="153"/>
      <c r="G40" s="153"/>
      <c r="H40" s="153"/>
      <c r="I40" s="153"/>
      <c r="J40" s="153"/>
      <c r="K40" s="153"/>
      <c r="L40" s="153"/>
      <c r="M40" s="153"/>
      <c r="N40" s="153"/>
      <c r="O40" s="153"/>
      <c r="P40" s="153"/>
      <c r="Q40" s="153"/>
      <c r="R40" s="153"/>
      <c r="S40" s="153"/>
      <c r="T40" s="153"/>
      <c r="U40" s="153"/>
      <c r="V40" s="153"/>
      <c r="W40" s="153"/>
      <c r="X40" s="153"/>
      <c r="Y40" s="153"/>
      <c r="Z40" s="153"/>
      <c r="AA40" s="153"/>
      <c r="AB40" s="153"/>
      <c r="AC40" s="153"/>
      <c r="AD40" s="153"/>
      <c r="AE40" s="153"/>
      <c r="AF40" s="153"/>
      <c r="AG40" s="153"/>
      <c r="AH40" s="153"/>
      <c r="AI40" s="153"/>
      <c r="AJ40" s="153"/>
      <c r="AK40" s="153"/>
      <c r="AL40" s="153"/>
      <c r="AM40" s="153"/>
      <c r="AN40" s="153"/>
      <c r="AO40" s="153"/>
      <c r="AP40" s="153"/>
      <c r="AQ40" s="153"/>
      <c r="AR40" s="158"/>
    </row>
    <row r="41" spans="1:44" ht="15.75" customHeight="1">
      <c r="A41" s="153"/>
      <c r="B41" s="159"/>
      <c r="C41" s="152"/>
      <c r="D41" s="152"/>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8"/>
    </row>
    <row r="42" spans="1:44" ht="15.75" customHeight="1">
      <c r="A42" s="153"/>
      <c r="B42" s="159"/>
      <c r="C42" s="152"/>
      <c r="D42" s="152"/>
      <c r="E42" s="153"/>
      <c r="F42" s="153"/>
      <c r="G42" s="153"/>
      <c r="H42" s="153"/>
      <c r="I42" s="153"/>
      <c r="J42" s="153"/>
      <c r="K42" s="153"/>
      <c r="L42" s="153"/>
      <c r="M42" s="153"/>
      <c r="N42" s="153"/>
      <c r="O42" s="153"/>
      <c r="P42" s="153"/>
      <c r="Q42" s="153"/>
      <c r="R42" s="153"/>
      <c r="S42" s="153"/>
      <c r="T42" s="153"/>
      <c r="U42" s="153"/>
      <c r="V42" s="153"/>
      <c r="W42" s="153"/>
      <c r="X42" s="153"/>
      <c r="Y42" s="153"/>
      <c r="Z42" s="153"/>
      <c r="AA42" s="153"/>
      <c r="AB42" s="153"/>
      <c r="AC42" s="153"/>
      <c r="AD42" s="153"/>
      <c r="AE42" s="153"/>
      <c r="AF42" s="153"/>
      <c r="AG42" s="153"/>
      <c r="AH42" s="153"/>
      <c r="AI42" s="153"/>
      <c r="AJ42" s="153"/>
      <c r="AK42" s="153"/>
      <c r="AL42" s="153"/>
      <c r="AM42" s="153"/>
      <c r="AN42" s="153"/>
      <c r="AO42" s="153"/>
      <c r="AP42" s="153"/>
      <c r="AQ42" s="153"/>
      <c r="AR42" s="158"/>
    </row>
    <row r="43" spans="1:44" ht="15.75" customHeight="1">
      <c r="A43" s="153"/>
      <c r="B43" s="159"/>
      <c r="C43" s="152"/>
      <c r="D43" s="152"/>
      <c r="E43" s="153"/>
      <c r="F43" s="153"/>
      <c r="G43" s="153"/>
      <c r="H43" s="153"/>
      <c r="I43" s="153"/>
      <c r="J43" s="153"/>
      <c r="K43" s="153"/>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8"/>
    </row>
    <row r="44" spans="1:44" ht="15.75" customHeight="1">
      <c r="A44" s="153"/>
      <c r="B44" s="159"/>
      <c r="C44" s="152"/>
      <c r="D44" s="152"/>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8"/>
    </row>
    <row r="45" spans="1:44" ht="15.75" customHeight="1">
      <c r="A45" s="153"/>
      <c r="B45" s="159"/>
      <c r="C45" s="152"/>
      <c r="D45" s="152"/>
      <c r="E45" s="153"/>
      <c r="F45" s="153"/>
      <c r="G45" s="153"/>
      <c r="H45" s="153"/>
      <c r="I45" s="153"/>
      <c r="J45" s="153"/>
      <c r="K45" s="153"/>
      <c r="L45" s="153"/>
      <c r="M45" s="153"/>
      <c r="N45" s="153"/>
      <c r="O45" s="153"/>
      <c r="P45" s="153"/>
      <c r="Q45" s="153"/>
      <c r="R45" s="153"/>
      <c r="S45" s="153"/>
      <c r="T45" s="153"/>
      <c r="U45" s="153"/>
      <c r="V45" s="153"/>
      <c r="W45" s="153"/>
      <c r="X45" s="153"/>
      <c r="Y45" s="153"/>
      <c r="Z45" s="153"/>
      <c r="AA45" s="153"/>
      <c r="AB45" s="153"/>
      <c r="AC45" s="153"/>
      <c r="AD45" s="153"/>
      <c r="AE45" s="153"/>
      <c r="AF45" s="153"/>
      <c r="AG45" s="153"/>
      <c r="AH45" s="153"/>
      <c r="AI45" s="153"/>
      <c r="AJ45" s="153"/>
      <c r="AK45" s="153"/>
      <c r="AL45" s="153"/>
      <c r="AM45" s="153"/>
      <c r="AN45" s="153"/>
      <c r="AO45" s="153"/>
      <c r="AP45" s="153"/>
      <c r="AQ45" s="153"/>
      <c r="AR45" s="158"/>
    </row>
    <row r="46" spans="1:44" ht="15.75" customHeight="1">
      <c r="A46" s="153"/>
      <c r="B46" s="159"/>
      <c r="C46" s="152"/>
      <c r="D46" s="152"/>
      <c r="E46" s="153"/>
      <c r="F46" s="153"/>
      <c r="G46" s="153"/>
      <c r="H46" s="153"/>
      <c r="I46" s="153"/>
      <c r="J46" s="153"/>
      <c r="K46" s="153"/>
      <c r="L46" s="153"/>
      <c r="M46" s="153"/>
      <c r="N46" s="153"/>
      <c r="O46" s="153"/>
      <c r="P46" s="153"/>
      <c r="Q46" s="153"/>
      <c r="R46" s="153"/>
      <c r="S46" s="153"/>
      <c r="T46" s="153"/>
      <c r="U46" s="153"/>
      <c r="V46" s="153"/>
      <c r="W46" s="153"/>
      <c r="X46" s="153"/>
      <c r="Y46" s="153"/>
      <c r="Z46" s="153"/>
      <c r="AA46" s="153"/>
      <c r="AB46" s="153"/>
      <c r="AC46" s="153"/>
      <c r="AD46" s="153"/>
      <c r="AE46" s="153"/>
      <c r="AF46" s="153"/>
      <c r="AG46" s="153"/>
      <c r="AH46" s="153"/>
      <c r="AI46" s="153"/>
      <c r="AJ46" s="153"/>
      <c r="AK46" s="153"/>
      <c r="AL46" s="153"/>
      <c r="AM46" s="153"/>
      <c r="AN46" s="153"/>
      <c r="AO46" s="153"/>
      <c r="AP46" s="153"/>
      <c r="AQ46" s="153"/>
      <c r="AR46" s="158"/>
    </row>
    <row r="47" spans="1:44" ht="15.75" customHeight="1">
      <c r="A47" s="153"/>
      <c r="B47" s="159"/>
      <c r="C47" s="152"/>
      <c r="D47" s="152"/>
      <c r="E47" s="153"/>
      <c r="F47" s="153"/>
      <c r="G47" s="153"/>
      <c r="H47" s="153"/>
      <c r="I47" s="153"/>
      <c r="J47" s="153"/>
      <c r="K47" s="153"/>
      <c r="L47" s="153"/>
      <c r="M47" s="153"/>
      <c r="N47" s="153"/>
      <c r="O47" s="153"/>
      <c r="P47" s="153"/>
      <c r="Q47" s="153"/>
      <c r="R47" s="153"/>
      <c r="S47" s="153"/>
      <c r="T47" s="153"/>
      <c r="U47" s="153"/>
      <c r="V47" s="153"/>
      <c r="W47" s="153"/>
      <c r="X47" s="153"/>
      <c r="Y47" s="153"/>
      <c r="Z47" s="153"/>
      <c r="AA47" s="153"/>
      <c r="AB47" s="153"/>
      <c r="AC47" s="153"/>
      <c r="AD47" s="153"/>
      <c r="AE47" s="153"/>
      <c r="AF47" s="153"/>
      <c r="AG47" s="153"/>
      <c r="AH47" s="153"/>
      <c r="AI47" s="153"/>
      <c r="AJ47" s="153"/>
      <c r="AK47" s="153"/>
      <c r="AL47" s="153"/>
      <c r="AM47" s="153"/>
      <c r="AN47" s="153"/>
      <c r="AO47" s="153"/>
      <c r="AP47" s="153"/>
      <c r="AQ47" s="153"/>
      <c r="AR47" s="158"/>
    </row>
    <row r="48" spans="1:44" ht="15.75" customHeight="1">
      <c r="A48" s="153"/>
      <c r="B48" s="159"/>
      <c r="C48" s="152"/>
      <c r="D48" s="152"/>
      <c r="E48" s="153"/>
      <c r="F48" s="153"/>
      <c r="G48" s="153"/>
      <c r="H48" s="153"/>
      <c r="I48" s="153"/>
      <c r="J48" s="153"/>
      <c r="K48" s="153"/>
      <c r="L48" s="153"/>
      <c r="M48" s="153"/>
      <c r="N48" s="153"/>
      <c r="O48" s="153"/>
      <c r="P48" s="153"/>
      <c r="Q48" s="153"/>
      <c r="R48" s="153"/>
      <c r="S48" s="153"/>
      <c r="T48" s="153"/>
      <c r="U48" s="153"/>
      <c r="V48" s="153"/>
      <c r="W48" s="153"/>
      <c r="X48" s="153"/>
      <c r="Y48" s="153"/>
      <c r="Z48" s="153"/>
      <c r="AA48" s="153"/>
      <c r="AB48" s="153"/>
      <c r="AC48" s="153"/>
      <c r="AD48" s="153"/>
      <c r="AE48" s="153"/>
      <c r="AF48" s="153"/>
      <c r="AG48" s="153"/>
      <c r="AH48" s="153"/>
      <c r="AI48" s="153"/>
      <c r="AJ48" s="153"/>
      <c r="AK48" s="153"/>
      <c r="AL48" s="153"/>
      <c r="AM48" s="153"/>
      <c r="AN48" s="153"/>
      <c r="AO48" s="153"/>
      <c r="AP48" s="153"/>
      <c r="AQ48" s="153"/>
      <c r="AR48" s="158"/>
    </row>
    <row r="49" spans="1:44" ht="15.75" customHeight="1">
      <c r="A49" s="153"/>
      <c r="B49" s="159"/>
      <c r="C49" s="152"/>
      <c r="D49" s="152"/>
      <c r="E49" s="153"/>
      <c r="F49" s="153"/>
      <c r="G49" s="153"/>
      <c r="H49" s="153"/>
      <c r="I49" s="153"/>
      <c r="J49" s="153"/>
      <c r="K49" s="153"/>
      <c r="L49" s="153"/>
      <c r="M49" s="153"/>
      <c r="N49" s="153"/>
      <c r="O49" s="153"/>
      <c r="P49" s="153"/>
      <c r="Q49" s="153"/>
      <c r="R49" s="153"/>
      <c r="S49" s="153"/>
      <c r="T49" s="153"/>
      <c r="U49" s="153"/>
      <c r="V49" s="153"/>
      <c r="W49" s="153"/>
      <c r="X49" s="153"/>
      <c r="Y49" s="153"/>
      <c r="Z49" s="153"/>
      <c r="AA49" s="153"/>
      <c r="AB49" s="153"/>
      <c r="AC49" s="153"/>
      <c r="AD49" s="153"/>
      <c r="AE49" s="153"/>
      <c r="AF49" s="153"/>
      <c r="AG49" s="153"/>
      <c r="AH49" s="153"/>
      <c r="AI49" s="153"/>
      <c r="AJ49" s="153"/>
      <c r="AK49" s="153"/>
      <c r="AL49" s="153"/>
      <c r="AM49" s="153"/>
      <c r="AN49" s="153"/>
      <c r="AO49" s="153"/>
      <c r="AP49" s="153"/>
      <c r="AQ49" s="153"/>
      <c r="AR49" s="158"/>
    </row>
    <row r="50" spans="1:44" ht="15.75" customHeight="1">
      <c r="A50" s="153"/>
      <c r="B50" s="159"/>
      <c r="C50" s="152"/>
      <c r="D50" s="152"/>
      <c r="E50" s="153"/>
      <c r="F50" s="153"/>
      <c r="G50" s="153"/>
      <c r="H50" s="153"/>
      <c r="I50" s="153"/>
      <c r="J50" s="153"/>
      <c r="K50" s="153"/>
      <c r="L50" s="153"/>
      <c r="M50" s="153"/>
      <c r="N50" s="153"/>
      <c r="O50" s="153"/>
      <c r="P50" s="153"/>
      <c r="Q50" s="153"/>
      <c r="R50" s="153"/>
      <c r="S50" s="153"/>
      <c r="T50" s="153"/>
      <c r="U50" s="153"/>
      <c r="V50" s="153"/>
      <c r="W50" s="153"/>
      <c r="X50" s="153"/>
      <c r="Y50" s="153"/>
      <c r="Z50" s="153"/>
      <c r="AA50" s="153"/>
      <c r="AB50" s="153"/>
      <c r="AC50" s="153"/>
      <c r="AD50" s="153"/>
      <c r="AE50" s="153"/>
      <c r="AF50" s="153"/>
      <c r="AG50" s="153"/>
      <c r="AH50" s="153"/>
      <c r="AI50" s="153"/>
      <c r="AJ50" s="153"/>
      <c r="AK50" s="153"/>
      <c r="AL50" s="153"/>
      <c r="AM50" s="153"/>
      <c r="AN50" s="153"/>
      <c r="AO50" s="153"/>
      <c r="AP50" s="153"/>
      <c r="AQ50" s="153"/>
      <c r="AR50" s="158"/>
    </row>
    <row r="51" spans="1:44" ht="15.75" customHeight="1">
      <c r="A51" s="153"/>
      <c r="B51" s="159"/>
      <c r="C51" s="152"/>
      <c r="D51" s="152"/>
      <c r="E51" s="153"/>
      <c r="F51" s="153"/>
      <c r="G51" s="153"/>
      <c r="H51" s="153"/>
      <c r="I51" s="153"/>
      <c r="J51" s="153"/>
      <c r="K51" s="153"/>
      <c r="L51" s="153"/>
      <c r="M51" s="153"/>
      <c r="N51" s="153"/>
      <c r="O51" s="153"/>
      <c r="P51" s="153"/>
      <c r="Q51" s="153"/>
      <c r="R51" s="153"/>
      <c r="S51" s="153"/>
      <c r="T51" s="153"/>
      <c r="U51" s="153"/>
      <c r="V51" s="153"/>
      <c r="W51" s="153"/>
      <c r="X51" s="153"/>
      <c r="Y51" s="153"/>
      <c r="Z51" s="153"/>
      <c r="AA51" s="153"/>
      <c r="AB51" s="153"/>
      <c r="AC51" s="153"/>
      <c r="AD51" s="153"/>
      <c r="AE51" s="153"/>
      <c r="AF51" s="153"/>
      <c r="AG51" s="153"/>
      <c r="AH51" s="153"/>
      <c r="AI51" s="153"/>
      <c r="AJ51" s="153"/>
      <c r="AK51" s="153"/>
      <c r="AL51" s="153"/>
      <c r="AM51" s="153"/>
      <c r="AN51" s="153"/>
      <c r="AO51" s="153"/>
      <c r="AP51" s="153"/>
      <c r="AQ51" s="153"/>
      <c r="AR51" s="158"/>
    </row>
    <row r="52" spans="1:44" ht="15.75" customHeight="1">
      <c r="A52" s="153"/>
      <c r="B52" s="159"/>
      <c r="C52" s="152"/>
      <c r="D52" s="152"/>
      <c r="E52" s="153"/>
      <c r="F52" s="153"/>
      <c r="G52" s="153"/>
      <c r="H52" s="153"/>
      <c r="I52" s="153"/>
      <c r="J52" s="153"/>
      <c r="K52" s="153"/>
      <c r="L52" s="153"/>
      <c r="M52" s="153"/>
      <c r="N52" s="153"/>
      <c r="O52" s="153"/>
      <c r="P52" s="153"/>
      <c r="Q52" s="153"/>
      <c r="R52" s="153"/>
      <c r="S52" s="153"/>
      <c r="T52" s="153"/>
      <c r="U52" s="153"/>
      <c r="V52" s="153"/>
      <c r="W52" s="153"/>
      <c r="X52" s="153"/>
      <c r="Y52" s="153"/>
      <c r="Z52" s="153"/>
      <c r="AA52" s="153"/>
      <c r="AB52" s="153"/>
      <c r="AC52" s="153"/>
      <c r="AD52" s="153"/>
      <c r="AE52" s="153"/>
      <c r="AF52" s="153"/>
      <c r="AG52" s="153"/>
      <c r="AH52" s="153"/>
      <c r="AI52" s="153"/>
      <c r="AJ52" s="153"/>
      <c r="AK52" s="153"/>
      <c r="AL52" s="153"/>
      <c r="AM52" s="153"/>
      <c r="AN52" s="153"/>
      <c r="AO52" s="153"/>
      <c r="AP52" s="153"/>
      <c r="AQ52" s="153"/>
      <c r="AR52" s="158"/>
    </row>
    <row r="53" spans="1:44" ht="15.75" customHeight="1">
      <c r="A53" s="153"/>
      <c r="B53" s="159"/>
      <c r="C53" s="152"/>
      <c r="D53" s="152"/>
      <c r="E53" s="153"/>
      <c r="F53" s="153"/>
      <c r="G53" s="153"/>
      <c r="H53" s="153"/>
      <c r="I53" s="153"/>
      <c r="J53" s="153"/>
      <c r="K53" s="153"/>
      <c r="L53" s="153"/>
      <c r="M53" s="153"/>
      <c r="N53" s="153"/>
      <c r="O53" s="153"/>
      <c r="P53" s="153"/>
      <c r="Q53" s="153"/>
      <c r="R53" s="153"/>
      <c r="S53" s="153"/>
      <c r="T53" s="153"/>
      <c r="U53" s="153"/>
      <c r="V53" s="153"/>
      <c r="W53" s="153"/>
      <c r="X53" s="153"/>
      <c r="Y53" s="153"/>
      <c r="Z53" s="153"/>
      <c r="AA53" s="153"/>
      <c r="AB53" s="153"/>
      <c r="AC53" s="153"/>
      <c r="AD53" s="153"/>
      <c r="AE53" s="153"/>
      <c r="AF53" s="153"/>
      <c r="AG53" s="153"/>
      <c r="AH53" s="153"/>
      <c r="AI53" s="153"/>
      <c r="AJ53" s="153"/>
      <c r="AK53" s="153"/>
      <c r="AL53" s="153"/>
      <c r="AM53" s="153"/>
      <c r="AN53" s="153"/>
      <c r="AO53" s="153"/>
      <c r="AP53" s="153"/>
      <c r="AQ53" s="153"/>
      <c r="AR53" s="158"/>
    </row>
    <row r="54" spans="1:44" ht="15.75" customHeight="1">
      <c r="A54" s="153"/>
      <c r="B54" s="191"/>
      <c r="C54" s="192"/>
      <c r="D54" s="192"/>
      <c r="E54" s="193"/>
      <c r="F54" s="193"/>
      <c r="G54" s="193"/>
      <c r="H54" s="193"/>
      <c r="I54" s="193"/>
      <c r="J54" s="193"/>
      <c r="K54" s="193"/>
      <c r="L54" s="193"/>
      <c r="M54" s="193"/>
      <c r="N54" s="193"/>
      <c r="O54" s="193"/>
      <c r="P54" s="193"/>
      <c r="Q54" s="193"/>
      <c r="R54" s="193"/>
      <c r="S54" s="193"/>
      <c r="T54" s="193"/>
      <c r="U54" s="193"/>
      <c r="V54" s="193"/>
      <c r="W54" s="193"/>
      <c r="X54" s="193"/>
      <c r="Y54" s="193"/>
      <c r="Z54" s="193"/>
      <c r="AA54" s="193"/>
      <c r="AB54" s="193"/>
      <c r="AC54" s="193"/>
      <c r="AD54" s="193"/>
      <c r="AE54" s="193"/>
      <c r="AF54" s="193"/>
      <c r="AG54" s="193"/>
      <c r="AH54" s="193"/>
      <c r="AI54" s="193"/>
      <c r="AJ54" s="193"/>
      <c r="AK54" s="193"/>
      <c r="AL54" s="193"/>
      <c r="AM54" s="193"/>
      <c r="AN54" s="193"/>
      <c r="AO54" s="193"/>
      <c r="AP54" s="193"/>
      <c r="AQ54" s="193"/>
      <c r="AR54" s="194"/>
    </row>
    <row r="55" spans="1:44" ht="15.75" customHeight="1">
      <c r="A55" s="153"/>
      <c r="B55" s="153"/>
      <c r="C55" s="152"/>
      <c r="D55" s="152"/>
      <c r="E55" s="153"/>
      <c r="F55" s="153"/>
      <c r="G55" s="153"/>
      <c r="H55" s="153"/>
      <c r="I55" s="153"/>
      <c r="J55" s="153"/>
      <c r="K55" s="153"/>
      <c r="L55" s="153"/>
      <c r="M55" s="153"/>
      <c r="N55" s="153"/>
      <c r="O55" s="153"/>
      <c r="P55" s="153"/>
      <c r="Q55" s="153"/>
      <c r="R55" s="153"/>
      <c r="S55" s="153"/>
      <c r="T55" s="153"/>
      <c r="U55" s="153"/>
      <c r="V55" s="153"/>
      <c r="W55" s="153"/>
      <c r="X55" s="153"/>
      <c r="Y55" s="153"/>
      <c r="Z55" s="153"/>
      <c r="AA55" s="153"/>
      <c r="AB55" s="153"/>
      <c r="AC55" s="153"/>
      <c r="AD55" s="153"/>
      <c r="AE55" s="153"/>
      <c r="AF55" s="153"/>
      <c r="AG55" s="153"/>
      <c r="AH55" s="153"/>
      <c r="AI55" s="153"/>
      <c r="AJ55" s="153"/>
      <c r="AK55" s="153"/>
      <c r="AL55" s="153"/>
      <c r="AM55" s="153"/>
      <c r="AN55" s="153"/>
      <c r="AO55" s="153"/>
      <c r="AP55" s="153"/>
      <c r="AQ55" s="153"/>
      <c r="AR55" s="153"/>
    </row>
    <row r="56" spans="1:44" ht="15.75" customHeight="1">
      <c r="A56" s="153"/>
      <c r="B56" s="153"/>
      <c r="C56" s="152"/>
      <c r="D56" s="152"/>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c r="AN56" s="153"/>
      <c r="AO56" s="153"/>
      <c r="AP56" s="153"/>
      <c r="AQ56" s="153"/>
      <c r="AR56" s="153"/>
    </row>
    <row r="57" spans="1:44" ht="15.75" customHeight="1">
      <c r="A57" s="153"/>
      <c r="B57" s="153"/>
      <c r="C57" s="152"/>
      <c r="D57" s="152"/>
      <c r="E57" s="153"/>
      <c r="F57" s="153"/>
      <c r="G57" s="153"/>
      <c r="H57" s="153"/>
      <c r="I57" s="153"/>
      <c r="J57" s="153"/>
      <c r="K57" s="153"/>
      <c r="L57" s="153"/>
      <c r="M57" s="153"/>
      <c r="N57" s="153"/>
      <c r="O57" s="153"/>
      <c r="P57" s="153"/>
      <c r="Q57" s="153"/>
      <c r="R57" s="153"/>
      <c r="S57" s="153"/>
      <c r="T57" s="153"/>
      <c r="U57" s="153"/>
      <c r="V57" s="153"/>
      <c r="W57" s="153"/>
      <c r="X57" s="153"/>
      <c r="Y57" s="153"/>
      <c r="Z57" s="153"/>
      <c r="AA57" s="153"/>
      <c r="AB57" s="153"/>
      <c r="AC57" s="153"/>
      <c r="AD57" s="153"/>
      <c r="AE57" s="153"/>
      <c r="AF57" s="153"/>
      <c r="AG57" s="153"/>
      <c r="AH57" s="153"/>
      <c r="AI57" s="153"/>
      <c r="AJ57" s="153"/>
      <c r="AK57" s="153"/>
      <c r="AL57" s="153"/>
      <c r="AM57" s="153"/>
      <c r="AN57" s="153"/>
      <c r="AO57" s="153"/>
      <c r="AP57" s="153"/>
      <c r="AQ57" s="153"/>
      <c r="AR57" s="153"/>
    </row>
    <row r="58" spans="1:44" ht="15.75" customHeight="1">
      <c r="A58" s="153"/>
      <c r="B58" s="153"/>
      <c r="C58" s="152"/>
      <c r="D58" s="152"/>
      <c r="E58" s="153"/>
      <c r="F58" s="153"/>
      <c r="G58" s="153"/>
      <c r="H58" s="153"/>
      <c r="I58" s="153"/>
      <c r="J58" s="153"/>
      <c r="K58" s="153"/>
      <c r="L58" s="153"/>
      <c r="M58" s="153"/>
      <c r="N58" s="153"/>
      <c r="O58" s="153"/>
      <c r="P58" s="153"/>
      <c r="Q58" s="153"/>
      <c r="R58" s="153"/>
      <c r="S58" s="153"/>
      <c r="T58" s="153"/>
      <c r="U58" s="153"/>
      <c r="V58" s="153"/>
      <c r="W58" s="153"/>
      <c r="X58" s="153"/>
      <c r="Y58" s="153"/>
      <c r="Z58" s="153"/>
      <c r="AA58" s="153"/>
      <c r="AB58" s="153"/>
      <c r="AC58" s="153"/>
      <c r="AD58" s="153"/>
      <c r="AE58" s="153"/>
      <c r="AF58" s="153"/>
      <c r="AG58" s="153"/>
      <c r="AH58" s="153"/>
      <c r="AI58" s="153"/>
      <c r="AJ58" s="153"/>
      <c r="AK58" s="153"/>
      <c r="AL58" s="153"/>
      <c r="AM58" s="153"/>
      <c r="AN58" s="153"/>
      <c r="AO58" s="153"/>
      <c r="AP58" s="153"/>
      <c r="AQ58" s="153"/>
      <c r="AR58" s="153"/>
    </row>
    <row r="59" spans="1:44" ht="15.75" customHeight="1">
      <c r="A59" s="153"/>
      <c r="B59" s="153"/>
      <c r="C59" s="152"/>
      <c r="D59" s="152"/>
      <c r="E59" s="153"/>
      <c r="F59" s="153"/>
      <c r="G59" s="153"/>
      <c r="H59" s="153"/>
      <c r="I59" s="153"/>
      <c r="J59" s="153"/>
      <c r="K59" s="153"/>
      <c r="L59" s="153"/>
      <c r="M59" s="153"/>
      <c r="N59" s="153"/>
      <c r="O59" s="153"/>
      <c r="P59" s="153"/>
      <c r="Q59" s="153"/>
      <c r="R59" s="153"/>
      <c r="S59" s="153"/>
      <c r="T59" s="153"/>
      <c r="U59" s="153"/>
      <c r="V59" s="153"/>
      <c r="W59" s="153"/>
      <c r="X59" s="153"/>
      <c r="Y59" s="153"/>
      <c r="Z59" s="153"/>
      <c r="AA59" s="153"/>
      <c r="AB59" s="153"/>
      <c r="AC59" s="153"/>
      <c r="AD59" s="153"/>
      <c r="AE59" s="153"/>
      <c r="AF59" s="153"/>
      <c r="AG59" s="153"/>
      <c r="AH59" s="153"/>
      <c r="AI59" s="153"/>
      <c r="AJ59" s="153"/>
      <c r="AK59" s="153"/>
      <c r="AL59" s="153"/>
      <c r="AM59" s="153"/>
      <c r="AN59" s="153"/>
      <c r="AO59" s="153"/>
      <c r="AP59" s="153"/>
      <c r="AQ59" s="153"/>
      <c r="AR59" s="153"/>
    </row>
    <row r="60" spans="1:44" ht="15.75" customHeight="1">
      <c r="A60" s="153"/>
      <c r="B60" s="153"/>
      <c r="C60" s="152"/>
      <c r="D60" s="152"/>
      <c r="E60" s="153"/>
      <c r="F60" s="153"/>
      <c r="G60" s="153"/>
      <c r="H60" s="153"/>
      <c r="I60" s="153"/>
      <c r="J60" s="153"/>
      <c r="K60" s="153"/>
      <c r="L60" s="153"/>
      <c r="M60" s="153"/>
      <c r="N60" s="153"/>
      <c r="O60" s="153"/>
      <c r="P60" s="153"/>
      <c r="Q60" s="153"/>
      <c r="R60" s="153"/>
      <c r="S60" s="153"/>
      <c r="T60" s="153"/>
      <c r="U60" s="153"/>
      <c r="V60" s="153"/>
      <c r="W60" s="153"/>
      <c r="X60" s="153"/>
      <c r="Y60" s="153"/>
      <c r="Z60" s="153"/>
      <c r="AA60" s="153"/>
      <c r="AB60" s="153"/>
      <c r="AC60" s="153"/>
      <c r="AD60" s="153"/>
      <c r="AE60" s="153"/>
      <c r="AF60" s="153"/>
      <c r="AG60" s="153"/>
      <c r="AH60" s="153"/>
      <c r="AI60" s="153"/>
      <c r="AJ60" s="153"/>
      <c r="AK60" s="153"/>
      <c r="AL60" s="153"/>
      <c r="AM60" s="153"/>
      <c r="AN60" s="153"/>
      <c r="AO60" s="153"/>
      <c r="AP60" s="153"/>
      <c r="AQ60" s="153"/>
      <c r="AR60" s="153"/>
    </row>
    <row r="61" spans="1:44" ht="15.75" customHeight="1">
      <c r="A61" s="153"/>
      <c r="B61" s="153"/>
      <c r="C61" s="152"/>
      <c r="D61" s="152"/>
      <c r="E61" s="153"/>
      <c r="F61" s="153"/>
      <c r="G61" s="153"/>
      <c r="H61" s="153"/>
      <c r="I61" s="153"/>
      <c r="J61" s="153"/>
      <c r="K61" s="153"/>
      <c r="L61" s="153"/>
      <c r="M61" s="153"/>
      <c r="N61" s="153"/>
      <c r="O61" s="153"/>
      <c r="P61" s="153"/>
      <c r="Q61" s="153"/>
      <c r="R61" s="153"/>
      <c r="S61" s="153"/>
      <c r="T61" s="153"/>
      <c r="U61" s="153"/>
      <c r="V61" s="153"/>
      <c r="W61" s="153"/>
      <c r="X61" s="153"/>
      <c r="Y61" s="153"/>
      <c r="Z61" s="153"/>
      <c r="AA61" s="153"/>
      <c r="AB61" s="153"/>
      <c r="AC61" s="153"/>
      <c r="AD61" s="153"/>
      <c r="AE61" s="153"/>
      <c r="AF61" s="153"/>
      <c r="AG61" s="153"/>
      <c r="AH61" s="153"/>
      <c r="AI61" s="153"/>
      <c r="AJ61" s="153"/>
      <c r="AK61" s="153"/>
      <c r="AL61" s="153"/>
      <c r="AM61" s="153"/>
      <c r="AN61" s="153"/>
      <c r="AO61" s="153"/>
      <c r="AP61" s="153"/>
      <c r="AQ61" s="153"/>
      <c r="AR61" s="153"/>
    </row>
    <row r="62" spans="1:44" ht="15.75" customHeight="1">
      <c r="A62" s="153"/>
      <c r="B62" s="153"/>
      <c r="C62" s="152"/>
      <c r="D62" s="152"/>
      <c r="E62" s="153"/>
      <c r="F62" s="153"/>
      <c r="G62" s="153"/>
      <c r="H62" s="153"/>
      <c r="I62" s="153"/>
      <c r="J62" s="153"/>
      <c r="K62" s="153"/>
      <c r="L62" s="153"/>
      <c r="M62" s="153"/>
      <c r="N62" s="153"/>
      <c r="O62" s="153"/>
      <c r="P62" s="153"/>
      <c r="Q62" s="153"/>
      <c r="R62" s="153"/>
      <c r="S62" s="153"/>
      <c r="T62" s="153"/>
      <c r="U62" s="153"/>
      <c r="V62" s="153"/>
      <c r="W62" s="153"/>
      <c r="X62" s="153"/>
      <c r="Y62" s="153"/>
      <c r="Z62" s="153"/>
      <c r="AA62" s="153"/>
      <c r="AB62" s="153"/>
      <c r="AC62" s="153"/>
      <c r="AD62" s="153"/>
      <c r="AE62" s="153"/>
      <c r="AF62" s="153"/>
      <c r="AG62" s="153"/>
      <c r="AH62" s="153"/>
      <c r="AI62" s="153"/>
      <c r="AJ62" s="153"/>
      <c r="AK62" s="153"/>
      <c r="AL62" s="153"/>
      <c r="AM62" s="153"/>
      <c r="AN62" s="153"/>
      <c r="AO62" s="153"/>
      <c r="AP62" s="153"/>
      <c r="AQ62" s="153"/>
      <c r="AR62" s="153"/>
    </row>
    <row r="63" spans="1:44" ht="15.75" customHeight="1">
      <c r="A63" s="153"/>
      <c r="B63" s="153"/>
      <c r="C63" s="152"/>
      <c r="D63" s="152"/>
      <c r="E63" s="153"/>
      <c r="F63" s="153"/>
      <c r="G63" s="153"/>
      <c r="H63" s="153"/>
      <c r="I63" s="153"/>
      <c r="J63" s="153"/>
      <c r="K63" s="153"/>
      <c r="L63" s="153"/>
      <c r="M63" s="153"/>
      <c r="N63" s="153"/>
      <c r="O63" s="153"/>
      <c r="P63" s="153"/>
      <c r="Q63" s="153"/>
      <c r="R63" s="153"/>
      <c r="S63" s="153"/>
      <c r="T63" s="153"/>
      <c r="U63" s="153"/>
      <c r="V63" s="153"/>
      <c r="W63" s="153"/>
      <c r="X63" s="153"/>
      <c r="Y63" s="153"/>
      <c r="Z63" s="153"/>
      <c r="AA63" s="153"/>
      <c r="AB63" s="153"/>
      <c r="AC63" s="153"/>
      <c r="AD63" s="153"/>
      <c r="AE63" s="153"/>
      <c r="AF63" s="153"/>
      <c r="AG63" s="153"/>
      <c r="AH63" s="153"/>
      <c r="AI63" s="153"/>
      <c r="AJ63" s="153"/>
      <c r="AK63" s="153"/>
      <c r="AL63" s="153"/>
      <c r="AM63" s="153"/>
      <c r="AN63" s="153"/>
      <c r="AO63" s="153"/>
      <c r="AP63" s="153"/>
      <c r="AQ63" s="153"/>
      <c r="AR63" s="153"/>
    </row>
    <row r="64" spans="1:44" ht="15.75" customHeight="1">
      <c r="A64" s="153"/>
      <c r="B64" s="153"/>
      <c r="C64" s="152"/>
      <c r="D64" s="152"/>
      <c r="E64" s="153"/>
      <c r="F64" s="153"/>
      <c r="G64" s="153"/>
      <c r="H64" s="153"/>
      <c r="I64" s="153"/>
      <c r="J64" s="153"/>
      <c r="K64" s="153"/>
      <c r="L64" s="153"/>
      <c r="M64" s="153"/>
      <c r="N64" s="153"/>
      <c r="O64" s="153"/>
      <c r="P64" s="153"/>
      <c r="Q64" s="153"/>
      <c r="R64" s="153"/>
      <c r="S64" s="153"/>
      <c r="T64" s="153"/>
      <c r="U64" s="153"/>
      <c r="V64" s="153"/>
      <c r="W64" s="153"/>
      <c r="X64" s="153"/>
      <c r="Y64" s="153"/>
      <c r="Z64" s="153"/>
      <c r="AA64" s="153"/>
      <c r="AB64" s="153"/>
      <c r="AC64" s="153"/>
      <c r="AD64" s="153"/>
      <c r="AE64" s="153"/>
      <c r="AF64" s="153"/>
      <c r="AG64" s="153"/>
      <c r="AH64" s="153"/>
      <c r="AI64" s="153"/>
      <c r="AJ64" s="153"/>
      <c r="AK64" s="153"/>
      <c r="AL64" s="153"/>
      <c r="AM64" s="153"/>
      <c r="AN64" s="153"/>
      <c r="AO64" s="153"/>
      <c r="AP64" s="153"/>
      <c r="AQ64" s="153"/>
      <c r="AR64" s="153"/>
    </row>
    <row r="65" spans="1:44" ht="15.75" customHeight="1">
      <c r="A65" s="153"/>
      <c r="B65" s="153"/>
      <c r="C65" s="152"/>
      <c r="D65" s="152"/>
      <c r="E65" s="153"/>
      <c r="F65" s="153"/>
      <c r="G65" s="153"/>
      <c r="H65" s="153"/>
      <c r="I65" s="153"/>
      <c r="J65" s="153"/>
      <c r="K65" s="153"/>
      <c r="L65" s="153"/>
      <c r="M65" s="153"/>
      <c r="N65" s="153"/>
      <c r="O65" s="153"/>
      <c r="P65" s="153"/>
      <c r="Q65" s="153"/>
      <c r="R65" s="153"/>
      <c r="S65" s="153"/>
      <c r="T65" s="153"/>
      <c r="U65" s="153"/>
      <c r="V65" s="153"/>
      <c r="W65" s="153"/>
      <c r="X65" s="153"/>
      <c r="Y65" s="153"/>
      <c r="Z65" s="153"/>
      <c r="AA65" s="153"/>
      <c r="AB65" s="153"/>
      <c r="AC65" s="153"/>
      <c r="AD65" s="153"/>
      <c r="AE65" s="153"/>
      <c r="AF65" s="153"/>
      <c r="AG65" s="153"/>
      <c r="AH65" s="153"/>
      <c r="AI65" s="153"/>
      <c r="AJ65" s="153"/>
      <c r="AK65" s="153"/>
      <c r="AL65" s="153"/>
      <c r="AM65" s="153"/>
      <c r="AN65" s="153"/>
      <c r="AO65" s="153"/>
      <c r="AP65" s="153"/>
      <c r="AQ65" s="153"/>
      <c r="AR65" s="153"/>
    </row>
    <row r="66" spans="1:44" ht="15.75" customHeight="1">
      <c r="A66" s="153"/>
      <c r="B66" s="153"/>
      <c r="C66" s="152"/>
      <c r="D66" s="152"/>
      <c r="E66" s="153"/>
      <c r="F66" s="153"/>
      <c r="G66" s="153"/>
      <c r="H66" s="153"/>
      <c r="I66" s="153"/>
      <c r="J66" s="153"/>
      <c r="K66" s="153"/>
      <c r="L66" s="153"/>
      <c r="M66" s="153"/>
      <c r="N66" s="153"/>
      <c r="O66" s="153"/>
      <c r="P66" s="153"/>
      <c r="Q66" s="153"/>
      <c r="R66" s="153"/>
      <c r="S66" s="153"/>
      <c r="T66" s="153"/>
      <c r="U66" s="153"/>
      <c r="V66" s="153"/>
      <c r="W66" s="153"/>
      <c r="X66" s="153"/>
      <c r="Y66" s="153"/>
      <c r="Z66" s="153"/>
      <c r="AA66" s="153"/>
      <c r="AB66" s="153"/>
      <c r="AC66" s="153"/>
      <c r="AD66" s="153"/>
      <c r="AE66" s="153"/>
      <c r="AF66" s="153"/>
      <c r="AG66" s="153"/>
      <c r="AH66" s="153"/>
      <c r="AI66" s="153"/>
      <c r="AJ66" s="153"/>
      <c r="AK66" s="153"/>
      <c r="AL66" s="153"/>
      <c r="AM66" s="153"/>
      <c r="AN66" s="153"/>
      <c r="AO66" s="153"/>
      <c r="AP66" s="153"/>
      <c r="AQ66" s="153"/>
      <c r="AR66" s="153"/>
    </row>
    <row r="67" spans="1:44" ht="15.75" customHeight="1">
      <c r="A67" s="153"/>
      <c r="B67" s="153"/>
      <c r="C67" s="152"/>
      <c r="D67" s="152"/>
      <c r="E67" s="153"/>
      <c r="F67" s="153"/>
      <c r="G67" s="153"/>
      <c r="H67" s="153"/>
      <c r="I67" s="153"/>
      <c r="J67" s="153"/>
      <c r="K67" s="153"/>
      <c r="L67" s="153"/>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3"/>
      <c r="AL67" s="153"/>
      <c r="AM67" s="153"/>
      <c r="AN67" s="153"/>
      <c r="AO67" s="153"/>
      <c r="AP67" s="153"/>
      <c r="AQ67" s="153"/>
      <c r="AR67" s="153"/>
    </row>
    <row r="68" spans="1:44" ht="15.75" customHeight="1">
      <c r="A68" s="153"/>
      <c r="B68" s="153"/>
      <c r="C68" s="152"/>
      <c r="D68" s="152"/>
      <c r="E68" s="153"/>
      <c r="F68" s="153"/>
      <c r="G68" s="153"/>
      <c r="H68" s="153"/>
      <c r="I68" s="153"/>
      <c r="J68" s="153"/>
      <c r="K68" s="153"/>
      <c r="L68" s="153"/>
      <c r="M68" s="153"/>
      <c r="N68" s="153"/>
      <c r="O68" s="153"/>
      <c r="P68" s="153"/>
      <c r="Q68" s="153"/>
      <c r="R68" s="153"/>
      <c r="S68" s="153"/>
      <c r="T68" s="153"/>
      <c r="U68" s="153"/>
      <c r="V68" s="153"/>
      <c r="W68" s="153"/>
      <c r="X68" s="153"/>
      <c r="Y68" s="153"/>
      <c r="Z68" s="153"/>
      <c r="AA68" s="153"/>
      <c r="AB68" s="153"/>
      <c r="AC68" s="153"/>
      <c r="AD68" s="153"/>
      <c r="AE68" s="153"/>
      <c r="AF68" s="153"/>
      <c r="AG68" s="153"/>
      <c r="AH68" s="153"/>
      <c r="AI68" s="153"/>
      <c r="AJ68" s="153"/>
      <c r="AK68" s="153"/>
      <c r="AL68" s="153"/>
      <c r="AM68" s="153"/>
      <c r="AN68" s="153"/>
      <c r="AO68" s="153"/>
      <c r="AP68" s="153"/>
      <c r="AQ68" s="153"/>
      <c r="AR68" s="153"/>
    </row>
    <row r="69" spans="1:44" ht="15.75" customHeight="1">
      <c r="A69" s="153"/>
      <c r="B69" s="153"/>
      <c r="C69" s="152"/>
      <c r="D69" s="152"/>
      <c r="E69" s="153"/>
      <c r="F69" s="153"/>
      <c r="G69" s="153"/>
      <c r="H69" s="153"/>
      <c r="I69" s="153"/>
      <c r="J69" s="153"/>
      <c r="K69" s="153"/>
      <c r="L69" s="153"/>
      <c r="M69" s="153"/>
      <c r="N69" s="153"/>
      <c r="O69" s="153"/>
      <c r="P69" s="153"/>
      <c r="Q69" s="153"/>
      <c r="R69" s="153"/>
      <c r="S69" s="153"/>
      <c r="T69" s="153"/>
      <c r="U69" s="153"/>
      <c r="V69" s="153"/>
      <c r="W69" s="153"/>
      <c r="X69" s="153"/>
      <c r="Y69" s="153"/>
      <c r="Z69" s="153"/>
      <c r="AA69" s="153"/>
      <c r="AB69" s="153"/>
      <c r="AC69" s="153"/>
      <c r="AD69" s="153"/>
      <c r="AE69" s="153"/>
      <c r="AF69" s="153"/>
      <c r="AG69" s="153"/>
      <c r="AH69" s="153"/>
      <c r="AI69" s="153"/>
      <c r="AJ69" s="153"/>
      <c r="AK69" s="153"/>
      <c r="AL69" s="153"/>
      <c r="AM69" s="153"/>
      <c r="AN69" s="153"/>
      <c r="AO69" s="153"/>
      <c r="AP69" s="153"/>
      <c r="AQ69" s="153"/>
      <c r="AR69" s="153"/>
    </row>
    <row r="70" spans="1:44" ht="15.75" customHeight="1">
      <c r="A70" s="153"/>
      <c r="B70" s="153"/>
      <c r="C70" s="152"/>
      <c r="D70" s="152"/>
      <c r="E70" s="153"/>
      <c r="F70" s="153"/>
      <c r="G70" s="153"/>
      <c r="H70" s="153"/>
      <c r="I70" s="153"/>
      <c r="J70" s="153"/>
      <c r="K70" s="153"/>
      <c r="L70" s="153"/>
      <c r="M70" s="153"/>
      <c r="N70" s="153"/>
      <c r="O70" s="153"/>
      <c r="P70" s="153"/>
      <c r="Q70" s="153"/>
      <c r="R70" s="153"/>
      <c r="S70" s="153"/>
      <c r="T70" s="153"/>
      <c r="U70" s="153"/>
      <c r="V70" s="153"/>
      <c r="W70" s="153"/>
      <c r="X70" s="153"/>
      <c r="Y70" s="153"/>
      <c r="Z70" s="153"/>
      <c r="AA70" s="153"/>
      <c r="AB70" s="153"/>
      <c r="AC70" s="153"/>
      <c r="AD70" s="153"/>
      <c r="AE70" s="153"/>
      <c r="AF70" s="153"/>
      <c r="AG70" s="153"/>
      <c r="AH70" s="153"/>
      <c r="AI70" s="153"/>
      <c r="AJ70" s="153"/>
      <c r="AK70" s="153"/>
      <c r="AL70" s="153"/>
      <c r="AM70" s="153"/>
      <c r="AN70" s="153"/>
      <c r="AO70" s="153"/>
      <c r="AP70" s="153"/>
      <c r="AQ70" s="153"/>
      <c r="AR70" s="153"/>
    </row>
    <row r="71" spans="1:44" ht="15.75" customHeight="1">
      <c r="A71" s="153"/>
      <c r="B71" s="153"/>
      <c r="C71" s="152"/>
      <c r="D71" s="152"/>
      <c r="E71" s="153"/>
      <c r="F71" s="153"/>
      <c r="G71" s="153"/>
      <c r="H71" s="153"/>
      <c r="I71" s="153"/>
      <c r="J71" s="153"/>
      <c r="K71" s="153"/>
      <c r="L71" s="153"/>
      <c r="M71" s="153"/>
      <c r="N71" s="153"/>
      <c r="O71" s="153"/>
      <c r="P71" s="153"/>
      <c r="Q71" s="153"/>
      <c r="R71" s="153"/>
      <c r="S71" s="153"/>
      <c r="T71" s="153"/>
      <c r="U71" s="153"/>
      <c r="V71" s="153"/>
      <c r="W71" s="153"/>
      <c r="X71" s="153"/>
      <c r="Y71" s="153"/>
      <c r="Z71" s="153"/>
      <c r="AA71" s="153"/>
      <c r="AB71" s="153"/>
      <c r="AC71" s="153"/>
      <c r="AD71" s="153"/>
      <c r="AE71" s="153"/>
      <c r="AF71" s="153"/>
      <c r="AG71" s="153"/>
      <c r="AH71" s="153"/>
      <c r="AI71" s="153"/>
      <c r="AJ71" s="153"/>
      <c r="AK71" s="153"/>
      <c r="AL71" s="153"/>
      <c r="AM71" s="153"/>
      <c r="AN71" s="153"/>
      <c r="AO71" s="153"/>
      <c r="AP71" s="153"/>
      <c r="AQ71" s="153"/>
      <c r="AR71" s="153"/>
    </row>
    <row r="72" spans="1:44" ht="15.75" customHeight="1">
      <c r="A72" s="153"/>
      <c r="B72" s="153"/>
      <c r="C72" s="152"/>
      <c r="D72" s="152"/>
      <c r="E72" s="153"/>
      <c r="F72" s="153"/>
      <c r="G72" s="153"/>
      <c r="H72" s="153"/>
      <c r="I72" s="153"/>
      <c r="J72" s="153"/>
      <c r="K72" s="153"/>
      <c r="L72" s="153"/>
      <c r="M72" s="153"/>
      <c r="N72" s="153"/>
      <c r="O72" s="153"/>
      <c r="P72" s="153"/>
      <c r="Q72" s="153"/>
      <c r="R72" s="153"/>
      <c r="S72" s="153"/>
      <c r="T72" s="153"/>
      <c r="U72" s="153"/>
      <c r="V72" s="153"/>
      <c r="W72" s="153"/>
      <c r="X72" s="153"/>
      <c r="Y72" s="153"/>
      <c r="Z72" s="153"/>
      <c r="AA72" s="153"/>
      <c r="AB72" s="153"/>
      <c r="AC72" s="153"/>
      <c r="AD72" s="153"/>
      <c r="AE72" s="153"/>
      <c r="AF72" s="153"/>
      <c r="AG72" s="153"/>
      <c r="AH72" s="153"/>
      <c r="AI72" s="153"/>
      <c r="AJ72" s="153"/>
      <c r="AK72" s="153"/>
      <c r="AL72" s="153"/>
      <c r="AM72" s="153"/>
      <c r="AN72" s="153"/>
      <c r="AO72" s="153"/>
      <c r="AP72" s="153"/>
      <c r="AQ72" s="153"/>
      <c r="AR72" s="153"/>
    </row>
    <row r="73" spans="1:44" ht="15.75" customHeight="1">
      <c r="A73" s="153"/>
      <c r="B73" s="153"/>
      <c r="C73" s="152"/>
      <c r="D73" s="152"/>
      <c r="E73" s="153"/>
      <c r="F73" s="153"/>
      <c r="G73" s="153"/>
      <c r="H73" s="153"/>
      <c r="I73" s="153"/>
      <c r="J73" s="153"/>
      <c r="K73" s="153"/>
      <c r="L73" s="153"/>
      <c r="M73" s="153"/>
      <c r="N73" s="153"/>
      <c r="O73" s="153"/>
      <c r="P73" s="153"/>
      <c r="Q73" s="153"/>
      <c r="R73" s="153"/>
      <c r="S73" s="153"/>
      <c r="T73" s="153"/>
      <c r="U73" s="153"/>
      <c r="V73" s="153"/>
      <c r="W73" s="153"/>
      <c r="X73" s="153"/>
      <c r="Y73" s="153"/>
      <c r="Z73" s="153"/>
      <c r="AA73" s="153"/>
      <c r="AB73" s="153"/>
      <c r="AC73" s="153"/>
      <c r="AD73" s="153"/>
      <c r="AE73" s="153"/>
      <c r="AF73" s="153"/>
      <c r="AG73" s="153"/>
      <c r="AH73" s="153"/>
      <c r="AI73" s="153"/>
      <c r="AJ73" s="153"/>
      <c r="AK73" s="153"/>
      <c r="AL73" s="153"/>
      <c r="AM73" s="153"/>
      <c r="AN73" s="153"/>
      <c r="AO73" s="153"/>
      <c r="AP73" s="153"/>
      <c r="AQ73" s="153"/>
      <c r="AR73" s="153"/>
    </row>
    <row r="74" spans="1:44" ht="15.75" customHeight="1">
      <c r="A74" s="153"/>
      <c r="B74" s="153"/>
      <c r="C74" s="152"/>
      <c r="D74" s="152"/>
      <c r="E74" s="153"/>
      <c r="F74" s="153"/>
      <c r="G74" s="153"/>
      <c r="H74" s="153"/>
      <c r="I74" s="153"/>
      <c r="J74" s="153"/>
      <c r="K74" s="153"/>
      <c r="L74" s="153"/>
      <c r="M74" s="153"/>
      <c r="N74" s="153"/>
      <c r="O74" s="153"/>
      <c r="P74" s="153"/>
      <c r="Q74" s="153"/>
      <c r="R74" s="153"/>
      <c r="S74" s="153"/>
      <c r="T74" s="153"/>
      <c r="U74" s="153"/>
      <c r="V74" s="153"/>
      <c r="W74" s="153"/>
      <c r="X74" s="153"/>
      <c r="Y74" s="153"/>
      <c r="Z74" s="153"/>
      <c r="AA74" s="153"/>
      <c r="AB74" s="153"/>
      <c r="AC74" s="153"/>
      <c r="AD74" s="153"/>
      <c r="AE74" s="153"/>
      <c r="AF74" s="153"/>
      <c r="AG74" s="153"/>
      <c r="AH74" s="153"/>
      <c r="AI74" s="153"/>
      <c r="AJ74" s="153"/>
      <c r="AK74" s="153"/>
      <c r="AL74" s="153"/>
      <c r="AM74" s="153"/>
      <c r="AN74" s="153"/>
      <c r="AO74" s="153"/>
      <c r="AP74" s="153"/>
      <c r="AQ74" s="153"/>
      <c r="AR74" s="153"/>
    </row>
    <row r="75" spans="1:44" ht="15.75" customHeight="1">
      <c r="A75" s="153"/>
      <c r="B75" s="153"/>
      <c r="C75" s="152"/>
      <c r="D75" s="152"/>
      <c r="E75" s="153"/>
      <c r="F75" s="153"/>
      <c r="G75" s="153"/>
      <c r="H75" s="153"/>
      <c r="I75" s="153"/>
      <c r="J75" s="153"/>
      <c r="K75" s="153"/>
      <c r="L75" s="153"/>
      <c r="M75" s="153"/>
      <c r="N75" s="153"/>
      <c r="O75" s="153"/>
      <c r="P75" s="153"/>
      <c r="Q75" s="153"/>
      <c r="R75" s="153"/>
      <c r="S75" s="153"/>
      <c r="T75" s="153"/>
      <c r="U75" s="153"/>
      <c r="V75" s="153"/>
      <c r="W75" s="153"/>
      <c r="X75" s="153"/>
      <c r="Y75" s="153"/>
      <c r="Z75" s="153"/>
      <c r="AA75" s="153"/>
      <c r="AB75" s="153"/>
      <c r="AC75" s="153"/>
      <c r="AD75" s="153"/>
      <c r="AE75" s="153"/>
      <c r="AF75" s="153"/>
      <c r="AG75" s="153"/>
      <c r="AH75" s="153"/>
      <c r="AI75" s="153"/>
      <c r="AJ75" s="153"/>
      <c r="AK75" s="153"/>
      <c r="AL75" s="153"/>
      <c r="AM75" s="153"/>
      <c r="AN75" s="153"/>
      <c r="AO75" s="153"/>
      <c r="AP75" s="153"/>
      <c r="AQ75" s="153"/>
      <c r="AR75" s="153"/>
    </row>
    <row r="76" spans="1:44" ht="15.75" customHeight="1">
      <c r="A76" s="153"/>
      <c r="B76" s="153"/>
      <c r="C76" s="152"/>
      <c r="D76" s="152"/>
      <c r="E76" s="153"/>
      <c r="F76" s="153"/>
      <c r="G76" s="153"/>
      <c r="H76" s="153"/>
      <c r="I76" s="153"/>
      <c r="J76" s="153"/>
      <c r="K76" s="153"/>
      <c r="L76" s="153"/>
      <c r="M76" s="153"/>
      <c r="N76" s="153"/>
      <c r="O76" s="153"/>
      <c r="P76" s="153"/>
      <c r="Q76" s="153"/>
      <c r="R76" s="153"/>
      <c r="S76" s="153"/>
      <c r="T76" s="153"/>
      <c r="U76" s="153"/>
      <c r="V76" s="153"/>
      <c r="W76" s="153"/>
      <c r="X76" s="153"/>
      <c r="Y76" s="153"/>
      <c r="Z76" s="153"/>
      <c r="AA76" s="153"/>
      <c r="AB76" s="153"/>
      <c r="AC76" s="153"/>
      <c r="AD76" s="153"/>
      <c r="AE76" s="153"/>
      <c r="AF76" s="153"/>
      <c r="AG76" s="153"/>
      <c r="AH76" s="153"/>
      <c r="AI76" s="153"/>
      <c r="AJ76" s="153"/>
      <c r="AK76" s="153"/>
      <c r="AL76" s="153"/>
      <c r="AM76" s="153"/>
      <c r="AN76" s="153"/>
      <c r="AO76" s="153"/>
      <c r="AP76" s="153"/>
      <c r="AQ76" s="153"/>
      <c r="AR76" s="153"/>
    </row>
    <row r="77" spans="1:44" ht="15.75" customHeight="1">
      <c r="A77" s="153"/>
      <c r="B77" s="153"/>
      <c r="C77" s="152"/>
      <c r="D77" s="152"/>
      <c r="E77" s="153"/>
      <c r="F77" s="153"/>
      <c r="G77" s="153"/>
      <c r="H77" s="153"/>
      <c r="I77" s="153"/>
      <c r="J77" s="153"/>
      <c r="K77" s="153"/>
      <c r="L77" s="153"/>
      <c r="M77" s="153"/>
      <c r="N77" s="153"/>
      <c r="O77" s="153"/>
      <c r="P77" s="153"/>
      <c r="Q77" s="153"/>
      <c r="R77" s="153"/>
      <c r="S77" s="153"/>
      <c r="T77" s="153"/>
      <c r="U77" s="153"/>
      <c r="V77" s="153"/>
      <c r="W77" s="153"/>
      <c r="X77" s="153"/>
      <c r="Y77" s="153"/>
      <c r="Z77" s="153"/>
      <c r="AA77" s="153"/>
      <c r="AB77" s="153"/>
      <c r="AC77" s="153"/>
      <c r="AD77" s="153"/>
      <c r="AE77" s="153"/>
      <c r="AF77" s="153"/>
      <c r="AG77" s="153"/>
      <c r="AH77" s="153"/>
      <c r="AI77" s="153"/>
      <c r="AJ77" s="153"/>
      <c r="AK77" s="153"/>
      <c r="AL77" s="153"/>
      <c r="AM77" s="153"/>
      <c r="AN77" s="153"/>
      <c r="AO77" s="153"/>
      <c r="AP77" s="153"/>
      <c r="AQ77" s="153"/>
      <c r="AR77" s="153"/>
    </row>
    <row r="78" spans="1:44" ht="15.75" customHeight="1">
      <c r="A78" s="153"/>
      <c r="B78" s="153"/>
      <c r="C78" s="152"/>
      <c r="D78" s="152"/>
      <c r="E78" s="153"/>
      <c r="F78" s="153"/>
      <c r="G78" s="153"/>
      <c r="H78" s="153"/>
      <c r="I78" s="153"/>
      <c r="J78" s="153"/>
      <c r="K78" s="153"/>
      <c r="L78" s="153"/>
      <c r="M78" s="153"/>
      <c r="N78" s="153"/>
      <c r="O78" s="153"/>
      <c r="P78" s="153"/>
      <c r="Q78" s="153"/>
      <c r="R78" s="153"/>
      <c r="S78" s="153"/>
      <c r="T78" s="153"/>
      <c r="U78" s="153"/>
      <c r="V78" s="153"/>
      <c r="W78" s="153"/>
      <c r="X78" s="153"/>
      <c r="Y78" s="153"/>
      <c r="Z78" s="153"/>
      <c r="AA78" s="153"/>
      <c r="AB78" s="153"/>
      <c r="AC78" s="153"/>
      <c r="AD78" s="153"/>
      <c r="AE78" s="153"/>
      <c r="AF78" s="153"/>
      <c r="AG78" s="153"/>
      <c r="AH78" s="153"/>
      <c r="AI78" s="153"/>
      <c r="AJ78" s="153"/>
      <c r="AK78" s="153"/>
      <c r="AL78" s="153"/>
      <c r="AM78" s="153"/>
      <c r="AN78" s="153"/>
      <c r="AO78" s="153"/>
      <c r="AP78" s="153"/>
      <c r="AQ78" s="153"/>
      <c r="AR78" s="153"/>
    </row>
    <row r="79" spans="1:44" ht="15.75" customHeight="1">
      <c r="A79" s="153"/>
      <c r="B79" s="153"/>
      <c r="C79" s="152"/>
      <c r="D79" s="152"/>
      <c r="E79" s="153"/>
      <c r="F79" s="153"/>
      <c r="G79" s="153"/>
      <c r="H79" s="153"/>
      <c r="I79" s="153"/>
      <c r="J79" s="153"/>
      <c r="K79" s="153"/>
      <c r="L79" s="153"/>
      <c r="M79" s="153"/>
      <c r="N79" s="153"/>
      <c r="O79" s="153"/>
      <c r="P79" s="153"/>
      <c r="Q79" s="153"/>
      <c r="R79" s="153"/>
      <c r="S79" s="153"/>
      <c r="T79" s="153"/>
      <c r="U79" s="153"/>
      <c r="V79" s="153"/>
      <c r="W79" s="153"/>
      <c r="X79" s="153"/>
      <c r="Y79" s="153"/>
      <c r="Z79" s="153"/>
      <c r="AA79" s="153"/>
      <c r="AB79" s="153"/>
      <c r="AC79" s="153"/>
      <c r="AD79" s="153"/>
      <c r="AE79" s="153"/>
      <c r="AF79" s="153"/>
      <c r="AG79" s="153"/>
      <c r="AH79" s="153"/>
      <c r="AI79" s="153"/>
      <c r="AJ79" s="153"/>
      <c r="AK79" s="153"/>
      <c r="AL79" s="153"/>
      <c r="AM79" s="153"/>
      <c r="AN79" s="153"/>
      <c r="AO79" s="153"/>
      <c r="AP79" s="153"/>
      <c r="AQ79" s="153"/>
      <c r="AR79" s="153"/>
    </row>
    <row r="80" spans="1:44" ht="15.75" customHeight="1">
      <c r="A80" s="153"/>
      <c r="B80" s="153"/>
      <c r="C80" s="152"/>
      <c r="D80" s="152"/>
      <c r="E80" s="153"/>
      <c r="F80" s="153"/>
      <c r="G80" s="153"/>
      <c r="H80" s="153"/>
      <c r="I80" s="153"/>
      <c r="J80" s="153"/>
      <c r="K80" s="153"/>
      <c r="L80" s="153"/>
      <c r="M80" s="153"/>
      <c r="N80" s="153"/>
      <c r="O80" s="153"/>
      <c r="P80" s="153"/>
      <c r="Q80" s="153"/>
      <c r="R80" s="153"/>
      <c r="S80" s="153"/>
      <c r="T80" s="153"/>
      <c r="U80" s="153"/>
      <c r="V80" s="153"/>
      <c r="W80" s="153"/>
      <c r="X80" s="153"/>
      <c r="Y80" s="153"/>
      <c r="Z80" s="153"/>
      <c r="AA80" s="153"/>
      <c r="AB80" s="153"/>
      <c r="AC80" s="153"/>
      <c r="AD80" s="153"/>
      <c r="AE80" s="153"/>
      <c r="AF80" s="153"/>
      <c r="AG80" s="153"/>
      <c r="AH80" s="153"/>
      <c r="AI80" s="153"/>
      <c r="AJ80" s="153"/>
      <c r="AK80" s="153"/>
      <c r="AL80" s="153"/>
      <c r="AM80" s="153"/>
      <c r="AN80" s="153"/>
      <c r="AO80" s="153"/>
      <c r="AP80" s="153"/>
      <c r="AQ80" s="153"/>
      <c r="AR80" s="153"/>
    </row>
    <row r="81" spans="1:44" ht="15.75" customHeight="1">
      <c r="A81" s="153"/>
      <c r="B81" s="153"/>
      <c r="C81" s="152"/>
      <c r="D81" s="152"/>
      <c r="E81" s="153"/>
      <c r="F81" s="153"/>
      <c r="G81" s="153"/>
      <c r="H81" s="153"/>
      <c r="I81" s="153"/>
      <c r="J81" s="153"/>
      <c r="K81" s="153"/>
      <c r="L81" s="153"/>
      <c r="M81" s="153"/>
      <c r="N81" s="153"/>
      <c r="O81" s="153"/>
      <c r="P81" s="153"/>
      <c r="Q81" s="153"/>
      <c r="R81" s="153"/>
      <c r="S81" s="153"/>
      <c r="T81" s="153"/>
      <c r="U81" s="153"/>
      <c r="V81" s="153"/>
      <c r="W81" s="153"/>
      <c r="X81" s="153"/>
      <c r="Y81" s="153"/>
      <c r="Z81" s="153"/>
      <c r="AA81" s="153"/>
      <c r="AB81" s="153"/>
      <c r="AC81" s="153"/>
      <c r="AD81" s="153"/>
      <c r="AE81" s="153"/>
      <c r="AF81" s="153"/>
      <c r="AG81" s="153"/>
      <c r="AH81" s="153"/>
      <c r="AI81" s="153"/>
      <c r="AJ81" s="153"/>
      <c r="AK81" s="153"/>
      <c r="AL81" s="153"/>
      <c r="AM81" s="153"/>
      <c r="AN81" s="153"/>
      <c r="AO81" s="153"/>
      <c r="AP81" s="153"/>
      <c r="AQ81" s="153"/>
      <c r="AR81" s="153"/>
    </row>
    <row r="82" spans="1:44" ht="15.75" customHeight="1">
      <c r="A82" s="153"/>
      <c r="B82" s="153"/>
      <c r="C82" s="152"/>
      <c r="D82" s="152"/>
      <c r="E82" s="153"/>
      <c r="F82" s="153"/>
      <c r="G82" s="153"/>
      <c r="H82" s="153"/>
      <c r="I82" s="153"/>
      <c r="J82" s="153"/>
      <c r="K82" s="153"/>
      <c r="L82" s="153"/>
      <c r="M82" s="153"/>
      <c r="N82" s="153"/>
      <c r="O82" s="153"/>
      <c r="P82" s="153"/>
      <c r="Q82" s="153"/>
      <c r="R82" s="153"/>
      <c r="S82" s="153"/>
      <c r="T82" s="153"/>
      <c r="U82" s="153"/>
      <c r="V82" s="153"/>
      <c r="W82" s="153"/>
      <c r="X82" s="153"/>
      <c r="Y82" s="153"/>
      <c r="Z82" s="153"/>
      <c r="AA82" s="153"/>
      <c r="AB82" s="153"/>
      <c r="AC82" s="153"/>
      <c r="AD82" s="153"/>
      <c r="AE82" s="153"/>
      <c r="AF82" s="153"/>
      <c r="AG82" s="153"/>
      <c r="AH82" s="153"/>
      <c r="AI82" s="153"/>
      <c r="AJ82" s="153"/>
      <c r="AK82" s="153"/>
      <c r="AL82" s="153"/>
      <c r="AM82" s="153"/>
      <c r="AN82" s="153"/>
      <c r="AO82" s="153"/>
      <c r="AP82" s="153"/>
      <c r="AQ82" s="153"/>
      <c r="AR82" s="153"/>
    </row>
    <row r="83" spans="1:44" ht="15.75" customHeight="1">
      <c r="A83" s="153"/>
      <c r="B83" s="153"/>
      <c r="C83" s="152"/>
      <c r="D83" s="152"/>
      <c r="E83" s="153"/>
      <c r="F83" s="153"/>
      <c r="G83" s="153"/>
      <c r="H83" s="153"/>
      <c r="I83" s="153"/>
      <c r="J83" s="153"/>
      <c r="K83" s="153"/>
      <c r="L83" s="153"/>
      <c r="M83" s="153"/>
      <c r="N83" s="153"/>
      <c r="O83" s="153"/>
      <c r="P83" s="153"/>
      <c r="Q83" s="153"/>
      <c r="R83" s="153"/>
      <c r="S83" s="153"/>
      <c r="T83" s="153"/>
      <c r="U83" s="153"/>
      <c r="V83" s="153"/>
      <c r="W83" s="153"/>
      <c r="X83" s="153"/>
      <c r="Y83" s="153"/>
      <c r="Z83" s="153"/>
      <c r="AA83" s="153"/>
      <c r="AB83" s="153"/>
      <c r="AC83" s="153"/>
      <c r="AD83" s="153"/>
      <c r="AE83" s="153"/>
      <c r="AF83" s="153"/>
      <c r="AG83" s="153"/>
      <c r="AH83" s="153"/>
      <c r="AI83" s="153"/>
      <c r="AJ83" s="153"/>
      <c r="AK83" s="153"/>
      <c r="AL83" s="153"/>
      <c r="AM83" s="153"/>
      <c r="AN83" s="153"/>
      <c r="AO83" s="153"/>
      <c r="AP83" s="153"/>
      <c r="AQ83" s="153"/>
      <c r="AR83" s="153"/>
    </row>
    <row r="84" spans="1:44" ht="15.75" customHeight="1">
      <c r="A84" s="153"/>
      <c r="B84" s="153"/>
      <c r="C84" s="152"/>
      <c r="D84" s="152"/>
      <c r="E84" s="153"/>
      <c r="F84" s="153"/>
      <c r="G84" s="153"/>
      <c r="H84" s="153"/>
      <c r="I84" s="153"/>
      <c r="J84" s="153"/>
      <c r="K84" s="153"/>
      <c r="L84" s="153"/>
      <c r="M84" s="153"/>
      <c r="N84" s="153"/>
      <c r="O84" s="153"/>
      <c r="P84" s="153"/>
      <c r="Q84" s="153"/>
      <c r="R84" s="153"/>
      <c r="S84" s="153"/>
      <c r="T84" s="153"/>
      <c r="U84" s="153"/>
      <c r="V84" s="153"/>
      <c r="W84" s="153"/>
      <c r="X84" s="153"/>
      <c r="Y84" s="153"/>
      <c r="Z84" s="153"/>
      <c r="AA84" s="153"/>
      <c r="AB84" s="153"/>
      <c r="AC84" s="153"/>
      <c r="AD84" s="153"/>
      <c r="AE84" s="153"/>
      <c r="AF84" s="153"/>
      <c r="AG84" s="153"/>
      <c r="AH84" s="153"/>
      <c r="AI84" s="153"/>
      <c r="AJ84" s="153"/>
      <c r="AK84" s="153"/>
      <c r="AL84" s="153"/>
      <c r="AM84" s="153"/>
      <c r="AN84" s="153"/>
      <c r="AO84" s="153"/>
      <c r="AP84" s="153"/>
      <c r="AQ84" s="153"/>
      <c r="AR84" s="153"/>
    </row>
    <row r="85" spans="1:44" ht="15.75" customHeight="1">
      <c r="A85" s="153"/>
      <c r="B85" s="153"/>
      <c r="C85" s="152"/>
      <c r="D85" s="152"/>
      <c r="E85" s="153"/>
      <c r="F85" s="153"/>
      <c r="G85" s="153"/>
      <c r="H85" s="153"/>
      <c r="I85" s="153"/>
      <c r="J85" s="153"/>
      <c r="K85" s="153"/>
      <c r="L85" s="153"/>
      <c r="M85" s="153"/>
      <c r="N85" s="153"/>
      <c r="O85" s="153"/>
      <c r="P85" s="153"/>
      <c r="Q85" s="153"/>
      <c r="R85" s="153"/>
      <c r="S85" s="153"/>
      <c r="T85" s="153"/>
      <c r="U85" s="153"/>
      <c r="V85" s="153"/>
      <c r="W85" s="153"/>
      <c r="X85" s="153"/>
      <c r="Y85" s="153"/>
      <c r="Z85" s="153"/>
      <c r="AA85" s="153"/>
      <c r="AB85" s="153"/>
      <c r="AC85" s="153"/>
      <c r="AD85" s="153"/>
      <c r="AE85" s="153"/>
      <c r="AF85" s="153"/>
      <c r="AG85" s="153"/>
      <c r="AH85" s="153"/>
      <c r="AI85" s="153"/>
      <c r="AJ85" s="153"/>
      <c r="AK85" s="153"/>
      <c r="AL85" s="153"/>
      <c r="AM85" s="153"/>
      <c r="AN85" s="153"/>
      <c r="AO85" s="153"/>
      <c r="AP85" s="153"/>
      <c r="AQ85" s="153"/>
      <c r="AR85" s="153"/>
    </row>
    <row r="86" spans="1:44" ht="15.75" customHeight="1">
      <c r="A86" s="153"/>
      <c r="B86" s="153"/>
      <c r="C86" s="152"/>
      <c r="D86" s="152"/>
      <c r="E86" s="153"/>
      <c r="F86" s="153"/>
      <c r="G86" s="153"/>
      <c r="H86" s="153"/>
      <c r="I86" s="153"/>
      <c r="J86" s="153"/>
      <c r="K86" s="153"/>
      <c r="L86" s="153"/>
      <c r="M86" s="153"/>
      <c r="N86" s="153"/>
      <c r="O86" s="153"/>
      <c r="P86" s="153"/>
      <c r="Q86" s="153"/>
      <c r="R86" s="153"/>
      <c r="S86" s="153"/>
      <c r="T86" s="153"/>
      <c r="U86" s="153"/>
      <c r="V86" s="153"/>
      <c r="W86" s="153"/>
      <c r="X86" s="153"/>
      <c r="Y86" s="153"/>
      <c r="Z86" s="153"/>
      <c r="AA86" s="153"/>
      <c r="AB86" s="153"/>
      <c r="AC86" s="153"/>
      <c r="AD86" s="153"/>
      <c r="AE86" s="153"/>
      <c r="AF86" s="153"/>
      <c r="AG86" s="153"/>
      <c r="AH86" s="153"/>
      <c r="AI86" s="153"/>
      <c r="AJ86" s="153"/>
      <c r="AK86" s="153"/>
      <c r="AL86" s="153"/>
      <c r="AM86" s="153"/>
      <c r="AN86" s="153"/>
      <c r="AO86" s="153"/>
      <c r="AP86" s="153"/>
      <c r="AQ86" s="153"/>
      <c r="AR86" s="153"/>
    </row>
    <row r="87" spans="1:44" ht="15.75" customHeight="1">
      <c r="A87" s="153"/>
      <c r="B87" s="153"/>
      <c r="C87" s="152"/>
      <c r="D87" s="152"/>
      <c r="E87" s="153"/>
      <c r="F87" s="153"/>
      <c r="G87" s="153"/>
      <c r="H87" s="153"/>
      <c r="I87" s="153"/>
      <c r="J87" s="153"/>
      <c r="K87" s="153"/>
      <c r="L87" s="153"/>
      <c r="M87" s="153"/>
      <c r="N87" s="153"/>
      <c r="O87" s="153"/>
      <c r="P87" s="153"/>
      <c r="Q87" s="153"/>
      <c r="R87" s="153"/>
      <c r="S87" s="153"/>
      <c r="T87" s="153"/>
      <c r="U87" s="153"/>
      <c r="V87" s="153"/>
      <c r="W87" s="153"/>
      <c r="X87" s="153"/>
      <c r="Y87" s="153"/>
      <c r="Z87" s="153"/>
      <c r="AA87" s="153"/>
      <c r="AB87" s="153"/>
      <c r="AC87" s="153"/>
      <c r="AD87" s="153"/>
      <c r="AE87" s="153"/>
      <c r="AF87" s="153"/>
      <c r="AG87" s="153"/>
      <c r="AH87" s="153"/>
      <c r="AI87" s="153"/>
      <c r="AJ87" s="153"/>
      <c r="AK87" s="153"/>
      <c r="AL87" s="153"/>
      <c r="AM87" s="153"/>
      <c r="AN87" s="153"/>
      <c r="AO87" s="153"/>
      <c r="AP87" s="153"/>
      <c r="AQ87" s="153"/>
      <c r="AR87" s="153"/>
    </row>
    <row r="88" spans="1:44" ht="15.75" customHeight="1">
      <c r="A88" s="153"/>
      <c r="B88" s="153"/>
      <c r="C88" s="152"/>
      <c r="D88" s="152"/>
      <c r="E88" s="153"/>
      <c r="F88" s="153"/>
      <c r="G88" s="153"/>
      <c r="H88" s="153"/>
      <c r="I88" s="153"/>
      <c r="J88" s="153"/>
      <c r="K88" s="153"/>
      <c r="L88" s="153"/>
      <c r="M88" s="153"/>
      <c r="N88" s="153"/>
      <c r="O88" s="153"/>
      <c r="P88" s="153"/>
      <c r="Q88" s="153"/>
      <c r="R88" s="153"/>
      <c r="S88" s="153"/>
      <c r="T88" s="153"/>
      <c r="U88" s="153"/>
      <c r="V88" s="153"/>
      <c r="W88" s="153"/>
      <c r="X88" s="153"/>
      <c r="Y88" s="153"/>
      <c r="Z88" s="153"/>
      <c r="AA88" s="153"/>
      <c r="AB88" s="153"/>
      <c r="AC88" s="153"/>
      <c r="AD88" s="153"/>
      <c r="AE88" s="153"/>
      <c r="AF88" s="153"/>
      <c r="AG88" s="153"/>
      <c r="AH88" s="153"/>
      <c r="AI88" s="153"/>
      <c r="AJ88" s="153"/>
      <c r="AK88" s="153"/>
      <c r="AL88" s="153"/>
      <c r="AM88" s="153"/>
      <c r="AN88" s="153"/>
      <c r="AO88" s="153"/>
      <c r="AP88" s="153"/>
      <c r="AQ88" s="153"/>
      <c r="AR88" s="153"/>
    </row>
    <row r="89" spans="1:44" ht="15.75" customHeight="1">
      <c r="A89" s="153"/>
      <c r="B89" s="153"/>
      <c r="C89" s="152"/>
      <c r="D89" s="152"/>
      <c r="E89" s="153"/>
      <c r="F89" s="153"/>
      <c r="G89" s="153"/>
      <c r="H89" s="153"/>
      <c r="I89" s="153"/>
      <c r="J89" s="153"/>
      <c r="K89" s="153"/>
      <c r="L89" s="153"/>
      <c r="M89" s="153"/>
      <c r="N89" s="153"/>
      <c r="O89" s="153"/>
      <c r="P89" s="153"/>
      <c r="Q89" s="153"/>
      <c r="R89" s="153"/>
      <c r="S89" s="153"/>
      <c r="T89" s="153"/>
      <c r="U89" s="153"/>
      <c r="V89" s="153"/>
      <c r="W89" s="153"/>
      <c r="X89" s="153"/>
      <c r="Y89" s="153"/>
      <c r="Z89" s="153"/>
      <c r="AA89" s="153"/>
      <c r="AB89" s="153"/>
      <c r="AC89" s="153"/>
      <c r="AD89" s="153"/>
      <c r="AE89" s="153"/>
      <c r="AF89" s="153"/>
      <c r="AG89" s="153"/>
      <c r="AH89" s="153"/>
      <c r="AI89" s="153"/>
      <c r="AJ89" s="153"/>
      <c r="AK89" s="153"/>
      <c r="AL89" s="153"/>
      <c r="AM89" s="153"/>
      <c r="AN89" s="153"/>
      <c r="AO89" s="153"/>
      <c r="AP89" s="153"/>
      <c r="AQ89" s="153"/>
      <c r="AR89" s="153"/>
    </row>
    <row r="90" spans="1:44" ht="15.75" customHeight="1">
      <c r="A90" s="153"/>
      <c r="B90" s="153"/>
      <c r="C90" s="152"/>
      <c r="D90" s="152"/>
      <c r="E90" s="153"/>
      <c r="F90" s="153"/>
      <c r="G90" s="153"/>
      <c r="H90" s="153"/>
      <c r="I90" s="153"/>
      <c r="J90" s="153"/>
      <c r="K90" s="153"/>
      <c r="L90" s="153"/>
      <c r="M90" s="153"/>
      <c r="N90" s="153"/>
      <c r="O90" s="153"/>
      <c r="P90" s="153"/>
      <c r="Q90" s="153"/>
      <c r="R90" s="153"/>
      <c r="S90" s="153"/>
      <c r="T90" s="153"/>
      <c r="U90" s="153"/>
      <c r="V90" s="153"/>
      <c r="W90" s="153"/>
      <c r="X90" s="153"/>
      <c r="Y90" s="153"/>
      <c r="Z90" s="153"/>
      <c r="AA90" s="153"/>
      <c r="AB90" s="153"/>
      <c r="AC90" s="153"/>
      <c r="AD90" s="153"/>
      <c r="AE90" s="153"/>
      <c r="AF90" s="153"/>
      <c r="AG90" s="153"/>
      <c r="AH90" s="153"/>
      <c r="AI90" s="153"/>
      <c r="AJ90" s="153"/>
      <c r="AK90" s="153"/>
      <c r="AL90" s="153"/>
      <c r="AM90" s="153"/>
      <c r="AN90" s="153"/>
      <c r="AO90" s="153"/>
      <c r="AP90" s="153"/>
      <c r="AQ90" s="153"/>
      <c r="AR90" s="153"/>
    </row>
    <row r="91" spans="1:44" ht="15.75" customHeight="1">
      <c r="A91" s="153"/>
      <c r="B91" s="153"/>
      <c r="C91" s="152"/>
      <c r="D91" s="152"/>
      <c r="E91" s="153"/>
      <c r="F91" s="153"/>
      <c r="G91" s="153"/>
      <c r="H91" s="153"/>
      <c r="I91" s="153"/>
      <c r="J91" s="153"/>
      <c r="K91" s="153"/>
      <c r="L91" s="153"/>
      <c r="M91" s="153"/>
      <c r="N91" s="153"/>
      <c r="O91" s="153"/>
      <c r="P91" s="153"/>
      <c r="Q91" s="153"/>
      <c r="R91" s="153"/>
      <c r="S91" s="153"/>
      <c r="T91" s="153"/>
      <c r="U91" s="153"/>
      <c r="V91" s="153"/>
      <c r="W91" s="153"/>
      <c r="X91" s="153"/>
      <c r="Y91" s="153"/>
      <c r="Z91" s="153"/>
      <c r="AA91" s="153"/>
      <c r="AB91" s="153"/>
      <c r="AC91" s="153"/>
      <c r="AD91" s="153"/>
      <c r="AE91" s="153"/>
      <c r="AF91" s="153"/>
      <c r="AG91" s="153"/>
      <c r="AH91" s="153"/>
      <c r="AI91" s="153"/>
      <c r="AJ91" s="153"/>
      <c r="AK91" s="153"/>
      <c r="AL91" s="153"/>
      <c r="AM91" s="153"/>
      <c r="AN91" s="153"/>
      <c r="AO91" s="153"/>
      <c r="AP91" s="153"/>
      <c r="AQ91" s="153"/>
      <c r="AR91" s="153"/>
    </row>
    <row r="92" spans="1:44" ht="15.75" customHeight="1">
      <c r="A92" s="153"/>
      <c r="B92" s="153"/>
      <c r="C92" s="152"/>
      <c r="D92" s="152"/>
      <c r="E92" s="153"/>
      <c r="F92" s="153"/>
      <c r="G92" s="153"/>
      <c r="H92" s="153"/>
      <c r="I92" s="153"/>
      <c r="J92" s="153"/>
      <c r="K92" s="153"/>
      <c r="L92" s="153"/>
      <c r="M92" s="153"/>
      <c r="N92" s="153"/>
      <c r="O92" s="153"/>
      <c r="P92" s="153"/>
      <c r="Q92" s="153"/>
      <c r="R92" s="153"/>
      <c r="S92" s="153"/>
      <c r="T92" s="153"/>
      <c r="U92" s="153"/>
      <c r="V92" s="153"/>
      <c r="W92" s="153"/>
      <c r="X92" s="153"/>
      <c r="Y92" s="153"/>
      <c r="Z92" s="153"/>
      <c r="AA92" s="153"/>
      <c r="AB92" s="153"/>
      <c r="AC92" s="153"/>
      <c r="AD92" s="153"/>
      <c r="AE92" s="153"/>
      <c r="AF92" s="153"/>
      <c r="AG92" s="153"/>
      <c r="AH92" s="153"/>
      <c r="AI92" s="153"/>
      <c r="AJ92" s="153"/>
      <c r="AK92" s="153"/>
      <c r="AL92" s="153"/>
      <c r="AM92" s="153"/>
      <c r="AN92" s="153"/>
      <c r="AO92" s="153"/>
      <c r="AP92" s="153"/>
      <c r="AQ92" s="153"/>
      <c r="AR92" s="153"/>
    </row>
    <row r="93" spans="1:44" ht="15.75" customHeight="1">
      <c r="A93" s="153"/>
      <c r="B93" s="153"/>
      <c r="C93" s="152"/>
      <c r="D93" s="152"/>
      <c r="E93" s="153"/>
      <c r="F93" s="153"/>
      <c r="G93" s="153"/>
      <c r="H93" s="153"/>
      <c r="I93" s="153"/>
      <c r="J93" s="153"/>
      <c r="K93" s="153"/>
      <c r="L93" s="153"/>
      <c r="M93" s="153"/>
      <c r="N93" s="153"/>
      <c r="O93" s="153"/>
      <c r="P93" s="153"/>
      <c r="Q93" s="153"/>
      <c r="R93" s="153"/>
      <c r="S93" s="153"/>
      <c r="T93" s="153"/>
      <c r="U93" s="153"/>
      <c r="V93" s="153"/>
      <c r="W93" s="153"/>
      <c r="X93" s="153"/>
      <c r="Y93" s="153"/>
      <c r="Z93" s="153"/>
      <c r="AA93" s="153"/>
      <c r="AB93" s="153"/>
      <c r="AC93" s="153"/>
      <c r="AD93" s="153"/>
      <c r="AE93" s="153"/>
      <c r="AF93" s="153"/>
      <c r="AG93" s="153"/>
      <c r="AH93" s="153"/>
      <c r="AI93" s="153"/>
      <c r="AJ93" s="153"/>
      <c r="AK93" s="153"/>
      <c r="AL93" s="153"/>
      <c r="AM93" s="153"/>
      <c r="AN93" s="153"/>
      <c r="AO93" s="153"/>
      <c r="AP93" s="153"/>
      <c r="AQ93" s="153"/>
      <c r="AR93" s="153"/>
    </row>
    <row r="94" spans="1:44" ht="15.75" customHeight="1">
      <c r="A94" s="153"/>
      <c r="B94" s="153"/>
      <c r="C94" s="152"/>
      <c r="D94" s="152"/>
      <c r="E94" s="153"/>
      <c r="F94" s="153"/>
      <c r="G94" s="153"/>
      <c r="H94" s="153"/>
      <c r="I94" s="153"/>
      <c r="J94" s="153"/>
      <c r="K94" s="153"/>
      <c r="L94" s="153"/>
      <c r="M94" s="153"/>
      <c r="N94" s="153"/>
      <c r="O94" s="153"/>
      <c r="P94" s="153"/>
      <c r="Q94" s="153"/>
      <c r="R94" s="153"/>
      <c r="S94" s="153"/>
      <c r="T94" s="153"/>
      <c r="U94" s="153"/>
      <c r="V94" s="153"/>
      <c r="W94" s="153"/>
      <c r="X94" s="153"/>
      <c r="Y94" s="153"/>
      <c r="Z94" s="153"/>
      <c r="AA94" s="153"/>
      <c r="AB94" s="153"/>
      <c r="AC94" s="153"/>
      <c r="AD94" s="153"/>
      <c r="AE94" s="153"/>
      <c r="AF94" s="153"/>
      <c r="AG94" s="153"/>
      <c r="AH94" s="153"/>
      <c r="AI94" s="153"/>
      <c r="AJ94" s="153"/>
      <c r="AK94" s="153"/>
      <c r="AL94" s="153"/>
      <c r="AM94" s="153"/>
      <c r="AN94" s="153"/>
      <c r="AO94" s="153"/>
      <c r="AP94" s="153"/>
      <c r="AQ94" s="153"/>
      <c r="AR94" s="153"/>
    </row>
    <row r="95" spans="1:44" ht="15.75" customHeight="1">
      <c r="A95" s="153"/>
      <c r="B95" s="153"/>
      <c r="C95" s="152"/>
      <c r="D95" s="152"/>
      <c r="E95" s="153"/>
      <c r="F95" s="153"/>
      <c r="G95" s="153"/>
      <c r="H95" s="153"/>
      <c r="I95" s="153"/>
      <c r="J95" s="153"/>
      <c r="K95" s="153"/>
      <c r="L95" s="153"/>
      <c r="M95" s="153"/>
      <c r="N95" s="153"/>
      <c r="O95" s="153"/>
      <c r="P95" s="153"/>
      <c r="Q95" s="153"/>
      <c r="R95" s="153"/>
      <c r="S95" s="153"/>
      <c r="T95" s="153"/>
      <c r="U95" s="153"/>
      <c r="V95" s="153"/>
      <c r="W95" s="153"/>
      <c r="X95" s="153"/>
      <c r="Y95" s="153"/>
      <c r="Z95" s="153"/>
      <c r="AA95" s="153"/>
      <c r="AB95" s="153"/>
      <c r="AC95" s="153"/>
      <c r="AD95" s="153"/>
      <c r="AE95" s="153"/>
      <c r="AF95" s="153"/>
      <c r="AG95" s="153"/>
      <c r="AH95" s="153"/>
      <c r="AI95" s="153"/>
      <c r="AJ95" s="153"/>
      <c r="AK95" s="153"/>
      <c r="AL95" s="153"/>
      <c r="AM95" s="153"/>
      <c r="AN95" s="153"/>
      <c r="AO95" s="153"/>
      <c r="AP95" s="153"/>
      <c r="AQ95" s="153"/>
      <c r="AR95" s="153"/>
    </row>
    <row r="96" spans="1:44" ht="15.75" customHeight="1">
      <c r="A96" s="153"/>
      <c r="B96" s="153"/>
      <c r="C96" s="152"/>
      <c r="D96" s="152"/>
      <c r="E96" s="153"/>
      <c r="F96" s="153"/>
      <c r="G96" s="153"/>
      <c r="H96" s="153"/>
      <c r="I96" s="153"/>
      <c r="J96" s="153"/>
      <c r="K96" s="153"/>
      <c r="L96" s="153"/>
      <c r="M96" s="153"/>
      <c r="N96" s="153"/>
      <c r="O96" s="153"/>
      <c r="P96" s="153"/>
      <c r="Q96" s="153"/>
      <c r="R96" s="153"/>
      <c r="S96" s="153"/>
      <c r="T96" s="153"/>
      <c r="U96" s="153"/>
      <c r="V96" s="153"/>
      <c r="W96" s="153"/>
      <c r="X96" s="153"/>
      <c r="Y96" s="153"/>
      <c r="Z96" s="153"/>
      <c r="AA96" s="153"/>
      <c r="AB96" s="153"/>
      <c r="AC96" s="153"/>
      <c r="AD96" s="153"/>
      <c r="AE96" s="153"/>
      <c r="AF96" s="153"/>
      <c r="AG96" s="153"/>
      <c r="AH96" s="153"/>
      <c r="AI96" s="153"/>
      <c r="AJ96" s="153"/>
      <c r="AK96" s="153"/>
      <c r="AL96" s="153"/>
      <c r="AM96" s="153"/>
      <c r="AN96" s="153"/>
      <c r="AO96" s="153"/>
      <c r="AP96" s="153"/>
      <c r="AQ96" s="153"/>
      <c r="AR96" s="153"/>
    </row>
    <row r="97" spans="1:44" ht="15.75" customHeight="1">
      <c r="A97" s="153"/>
      <c r="B97" s="153"/>
      <c r="C97" s="152"/>
      <c r="D97" s="152"/>
      <c r="E97" s="153"/>
      <c r="F97" s="153"/>
      <c r="G97" s="153"/>
      <c r="H97" s="153"/>
      <c r="I97" s="153"/>
      <c r="J97" s="153"/>
      <c r="K97" s="153"/>
      <c r="L97" s="153"/>
      <c r="M97" s="153"/>
      <c r="N97" s="153"/>
      <c r="O97" s="153"/>
      <c r="P97" s="153"/>
      <c r="Q97" s="153"/>
      <c r="R97" s="153"/>
      <c r="S97" s="153"/>
      <c r="T97" s="153"/>
      <c r="U97" s="153"/>
      <c r="V97" s="153"/>
      <c r="W97" s="153"/>
      <c r="X97" s="153"/>
      <c r="Y97" s="153"/>
      <c r="Z97" s="153"/>
      <c r="AA97" s="153"/>
      <c r="AB97" s="153"/>
      <c r="AC97" s="153"/>
      <c r="AD97" s="153"/>
      <c r="AE97" s="153"/>
      <c r="AF97" s="153"/>
      <c r="AG97" s="153"/>
      <c r="AH97" s="153"/>
      <c r="AI97" s="153"/>
      <c r="AJ97" s="153"/>
      <c r="AK97" s="153"/>
      <c r="AL97" s="153"/>
      <c r="AM97" s="153"/>
      <c r="AN97" s="153"/>
      <c r="AO97" s="153"/>
      <c r="AP97" s="153"/>
      <c r="AQ97" s="153"/>
      <c r="AR97" s="153"/>
    </row>
    <row r="98" spans="1:44" ht="15.75" customHeight="1">
      <c r="A98" s="153"/>
      <c r="B98" s="153"/>
      <c r="C98" s="152"/>
      <c r="D98" s="152"/>
      <c r="E98" s="153"/>
      <c r="F98" s="153"/>
      <c r="G98" s="153"/>
      <c r="H98" s="153"/>
      <c r="I98" s="153"/>
      <c r="J98" s="153"/>
      <c r="K98" s="153"/>
      <c r="L98" s="153"/>
      <c r="M98" s="153"/>
      <c r="N98" s="153"/>
      <c r="O98" s="153"/>
      <c r="P98" s="153"/>
      <c r="Q98" s="153"/>
      <c r="R98" s="153"/>
      <c r="S98" s="153"/>
      <c r="T98" s="153"/>
      <c r="U98" s="153"/>
      <c r="V98" s="153"/>
      <c r="W98" s="153"/>
      <c r="X98" s="153"/>
      <c r="Y98" s="153"/>
      <c r="Z98" s="153"/>
      <c r="AA98" s="153"/>
      <c r="AB98" s="153"/>
      <c r="AC98" s="153"/>
      <c r="AD98" s="153"/>
      <c r="AE98" s="153"/>
      <c r="AF98" s="153"/>
      <c r="AG98" s="153"/>
      <c r="AH98" s="153"/>
      <c r="AI98" s="153"/>
      <c r="AJ98" s="153"/>
      <c r="AK98" s="153"/>
      <c r="AL98" s="153"/>
      <c r="AM98" s="153"/>
      <c r="AN98" s="153"/>
      <c r="AO98" s="153"/>
      <c r="AP98" s="153"/>
      <c r="AQ98" s="153"/>
      <c r="AR98" s="153"/>
    </row>
    <row r="99" spans="1:44" ht="15.75" customHeight="1">
      <c r="A99" s="153"/>
      <c r="B99" s="153"/>
      <c r="C99" s="152"/>
      <c r="D99" s="152"/>
      <c r="E99" s="153"/>
      <c r="F99" s="153"/>
      <c r="G99" s="153"/>
      <c r="H99" s="153"/>
      <c r="I99" s="153"/>
      <c r="J99" s="153"/>
      <c r="K99" s="153"/>
      <c r="L99" s="153"/>
      <c r="M99" s="153"/>
      <c r="N99" s="153"/>
      <c r="O99" s="153"/>
      <c r="P99" s="153"/>
      <c r="Q99" s="153"/>
      <c r="R99" s="153"/>
      <c r="S99" s="153"/>
      <c r="T99" s="153"/>
      <c r="U99" s="153"/>
      <c r="V99" s="153"/>
      <c r="W99" s="153"/>
      <c r="X99" s="153"/>
      <c r="Y99" s="153"/>
      <c r="Z99" s="153"/>
      <c r="AA99" s="153"/>
      <c r="AB99" s="153"/>
      <c r="AC99" s="153"/>
      <c r="AD99" s="153"/>
      <c r="AE99" s="153"/>
      <c r="AF99" s="153"/>
      <c r="AG99" s="153"/>
      <c r="AH99" s="153"/>
      <c r="AI99" s="153"/>
      <c r="AJ99" s="153"/>
      <c r="AK99" s="153"/>
      <c r="AL99" s="153"/>
      <c r="AM99" s="153"/>
      <c r="AN99" s="153"/>
      <c r="AO99" s="153"/>
      <c r="AP99" s="153"/>
      <c r="AQ99" s="153"/>
      <c r="AR99" s="153"/>
    </row>
    <row r="100" spans="1:44" ht="15.75" customHeight="1">
      <c r="A100" s="153"/>
      <c r="B100" s="153"/>
      <c r="C100" s="152"/>
      <c r="D100" s="152"/>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c r="AA100" s="153"/>
      <c r="AB100" s="153"/>
      <c r="AC100" s="153"/>
      <c r="AD100" s="153"/>
      <c r="AE100" s="153"/>
      <c r="AF100" s="153"/>
      <c r="AG100" s="153"/>
      <c r="AH100" s="153"/>
      <c r="AI100" s="153"/>
      <c r="AJ100" s="153"/>
      <c r="AK100" s="153"/>
      <c r="AL100" s="153"/>
      <c r="AM100" s="153"/>
      <c r="AN100" s="153"/>
      <c r="AO100" s="153"/>
      <c r="AP100" s="153"/>
      <c r="AQ100" s="153"/>
      <c r="AR100" s="153"/>
    </row>
    <row r="101" spans="1:44" ht="15.75" customHeight="1">
      <c r="A101" s="153"/>
      <c r="B101" s="153"/>
      <c r="C101" s="152"/>
      <c r="D101" s="152"/>
      <c r="E101" s="153"/>
      <c r="F101" s="153"/>
      <c r="G101" s="153"/>
      <c r="H101" s="153"/>
      <c r="I101" s="153"/>
      <c r="J101" s="153"/>
      <c r="K101" s="153"/>
      <c r="L101" s="153"/>
      <c r="M101" s="153"/>
      <c r="N101" s="153"/>
      <c r="O101" s="153"/>
      <c r="P101" s="153"/>
      <c r="Q101" s="153"/>
      <c r="R101" s="153"/>
      <c r="S101" s="153"/>
      <c r="T101" s="153"/>
      <c r="U101" s="153"/>
      <c r="V101" s="153"/>
      <c r="W101" s="153"/>
      <c r="X101" s="153"/>
      <c r="Y101" s="153"/>
      <c r="Z101" s="153"/>
      <c r="AA101" s="153"/>
      <c r="AB101" s="153"/>
      <c r="AC101" s="153"/>
      <c r="AD101" s="153"/>
      <c r="AE101" s="153"/>
      <c r="AF101" s="153"/>
      <c r="AG101" s="153"/>
      <c r="AH101" s="153"/>
      <c r="AI101" s="153"/>
      <c r="AJ101" s="153"/>
      <c r="AK101" s="153"/>
      <c r="AL101" s="153"/>
      <c r="AM101" s="153"/>
      <c r="AN101" s="153"/>
      <c r="AO101" s="153"/>
      <c r="AP101" s="153"/>
      <c r="AQ101" s="153"/>
      <c r="AR101" s="153"/>
    </row>
    <row r="102" spans="1:44" ht="15.75" customHeight="1">
      <c r="A102" s="153"/>
      <c r="B102" s="153"/>
      <c r="C102" s="152"/>
      <c r="D102" s="152"/>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c r="AA102" s="153"/>
      <c r="AB102" s="153"/>
      <c r="AC102" s="153"/>
      <c r="AD102" s="153"/>
      <c r="AE102" s="153"/>
      <c r="AF102" s="153"/>
      <c r="AG102" s="153"/>
      <c r="AH102" s="153"/>
      <c r="AI102" s="153"/>
      <c r="AJ102" s="153"/>
      <c r="AK102" s="153"/>
      <c r="AL102" s="153"/>
      <c r="AM102" s="153"/>
      <c r="AN102" s="153"/>
      <c r="AO102" s="153"/>
      <c r="AP102" s="153"/>
      <c r="AQ102" s="153"/>
      <c r="AR102" s="153"/>
    </row>
    <row r="103" spans="1:44" ht="15.75" customHeight="1">
      <c r="A103" s="153"/>
      <c r="B103" s="153"/>
      <c r="C103" s="152"/>
      <c r="D103" s="152"/>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c r="AA103" s="153"/>
      <c r="AB103" s="153"/>
      <c r="AC103" s="153"/>
      <c r="AD103" s="153"/>
      <c r="AE103" s="153"/>
      <c r="AF103" s="153"/>
      <c r="AG103" s="153"/>
      <c r="AH103" s="153"/>
      <c r="AI103" s="153"/>
      <c r="AJ103" s="153"/>
      <c r="AK103" s="153"/>
      <c r="AL103" s="153"/>
      <c r="AM103" s="153"/>
      <c r="AN103" s="153"/>
      <c r="AO103" s="153"/>
      <c r="AP103" s="153"/>
      <c r="AQ103" s="153"/>
      <c r="AR103" s="153"/>
    </row>
    <row r="104" spans="1:44" ht="15.75" customHeight="1">
      <c r="A104" s="153"/>
      <c r="B104" s="153"/>
      <c r="C104" s="152"/>
      <c r="D104" s="152"/>
      <c r="E104" s="153"/>
      <c r="F104" s="153"/>
      <c r="G104" s="153"/>
      <c r="H104" s="153"/>
      <c r="I104" s="153"/>
      <c r="J104" s="153"/>
      <c r="K104" s="153"/>
      <c r="L104" s="153"/>
      <c r="M104" s="153"/>
      <c r="N104" s="153"/>
      <c r="O104" s="153"/>
      <c r="P104" s="153"/>
      <c r="Q104" s="153"/>
      <c r="R104" s="153"/>
      <c r="S104" s="153"/>
      <c r="T104" s="153"/>
      <c r="U104" s="153"/>
      <c r="V104" s="153"/>
      <c r="W104" s="153"/>
      <c r="X104" s="153"/>
      <c r="Y104" s="153"/>
      <c r="Z104" s="153"/>
      <c r="AA104" s="153"/>
      <c r="AB104" s="153"/>
      <c r="AC104" s="153"/>
      <c r="AD104" s="153"/>
      <c r="AE104" s="153"/>
      <c r="AF104" s="153"/>
      <c r="AG104" s="153"/>
      <c r="AH104" s="153"/>
      <c r="AI104" s="153"/>
      <c r="AJ104" s="153"/>
      <c r="AK104" s="153"/>
      <c r="AL104" s="153"/>
      <c r="AM104" s="153"/>
      <c r="AN104" s="153"/>
      <c r="AO104" s="153"/>
      <c r="AP104" s="153"/>
      <c r="AQ104" s="153"/>
      <c r="AR104" s="153"/>
    </row>
    <row r="105" spans="1:44" ht="15.75" customHeight="1">
      <c r="A105" s="153"/>
      <c r="B105" s="153"/>
      <c r="C105" s="152"/>
      <c r="D105" s="152"/>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c r="AA105" s="153"/>
      <c r="AB105" s="153"/>
      <c r="AC105" s="153"/>
      <c r="AD105" s="153"/>
      <c r="AE105" s="153"/>
      <c r="AF105" s="153"/>
      <c r="AG105" s="153"/>
      <c r="AH105" s="153"/>
      <c r="AI105" s="153"/>
      <c r="AJ105" s="153"/>
      <c r="AK105" s="153"/>
      <c r="AL105" s="153"/>
      <c r="AM105" s="153"/>
      <c r="AN105" s="153"/>
      <c r="AO105" s="153"/>
      <c r="AP105" s="153"/>
      <c r="AQ105" s="153"/>
      <c r="AR105" s="153"/>
    </row>
    <row r="106" spans="1:44" ht="15.75" customHeight="1">
      <c r="A106" s="153"/>
      <c r="B106" s="153"/>
      <c r="C106" s="152"/>
      <c r="D106" s="152"/>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c r="AA106" s="153"/>
      <c r="AB106" s="153"/>
      <c r="AC106" s="153"/>
      <c r="AD106" s="153"/>
      <c r="AE106" s="153"/>
      <c r="AF106" s="153"/>
      <c r="AG106" s="153"/>
      <c r="AH106" s="153"/>
      <c r="AI106" s="153"/>
      <c r="AJ106" s="153"/>
      <c r="AK106" s="153"/>
      <c r="AL106" s="153"/>
      <c r="AM106" s="153"/>
      <c r="AN106" s="153"/>
      <c r="AO106" s="153"/>
      <c r="AP106" s="153"/>
      <c r="AQ106" s="153"/>
      <c r="AR106" s="153"/>
    </row>
    <row r="107" spans="1:44" ht="15.75" customHeight="1">
      <c r="A107" s="153"/>
      <c r="B107" s="153"/>
      <c r="C107" s="152"/>
      <c r="D107" s="152"/>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c r="AA107" s="153"/>
      <c r="AB107" s="153"/>
      <c r="AC107" s="153"/>
      <c r="AD107" s="153"/>
      <c r="AE107" s="153"/>
      <c r="AF107" s="153"/>
      <c r="AG107" s="153"/>
      <c r="AH107" s="153"/>
      <c r="AI107" s="153"/>
      <c r="AJ107" s="153"/>
      <c r="AK107" s="153"/>
      <c r="AL107" s="153"/>
      <c r="AM107" s="153"/>
      <c r="AN107" s="153"/>
      <c r="AO107" s="153"/>
      <c r="AP107" s="153"/>
      <c r="AQ107" s="153"/>
      <c r="AR107" s="153"/>
    </row>
    <row r="108" spans="1:44" ht="15.75" customHeight="1">
      <c r="A108" s="153"/>
      <c r="B108" s="153"/>
      <c r="C108" s="152"/>
      <c r="D108" s="152"/>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c r="AA108" s="153"/>
      <c r="AB108" s="153"/>
      <c r="AC108" s="153"/>
      <c r="AD108" s="153"/>
      <c r="AE108" s="153"/>
      <c r="AF108" s="153"/>
      <c r="AG108" s="153"/>
      <c r="AH108" s="153"/>
      <c r="AI108" s="153"/>
      <c r="AJ108" s="153"/>
      <c r="AK108" s="153"/>
      <c r="AL108" s="153"/>
      <c r="AM108" s="153"/>
      <c r="AN108" s="153"/>
      <c r="AO108" s="153"/>
      <c r="AP108" s="153"/>
      <c r="AQ108" s="153"/>
      <c r="AR108" s="153"/>
    </row>
    <row r="109" spans="1:44" ht="15.75" customHeight="1">
      <c r="A109" s="153"/>
      <c r="B109" s="153"/>
      <c r="C109" s="152"/>
      <c r="D109" s="152"/>
      <c r="E109" s="153"/>
      <c r="F109" s="153"/>
      <c r="G109" s="153"/>
      <c r="H109" s="153"/>
      <c r="I109" s="153"/>
      <c r="J109" s="153"/>
      <c r="K109" s="153"/>
      <c r="L109" s="153"/>
      <c r="M109" s="153"/>
      <c r="N109" s="153"/>
      <c r="O109" s="153"/>
      <c r="P109" s="153"/>
      <c r="Q109" s="153"/>
      <c r="R109" s="153"/>
      <c r="S109" s="153"/>
      <c r="T109" s="153"/>
      <c r="U109" s="153"/>
      <c r="V109" s="153"/>
      <c r="W109" s="153"/>
      <c r="X109" s="153"/>
      <c r="Y109" s="153"/>
      <c r="Z109" s="153"/>
      <c r="AA109" s="153"/>
      <c r="AB109" s="153"/>
      <c r="AC109" s="153"/>
      <c r="AD109" s="153"/>
      <c r="AE109" s="153"/>
      <c r="AF109" s="153"/>
      <c r="AG109" s="153"/>
      <c r="AH109" s="153"/>
      <c r="AI109" s="153"/>
      <c r="AJ109" s="153"/>
      <c r="AK109" s="153"/>
      <c r="AL109" s="153"/>
      <c r="AM109" s="153"/>
      <c r="AN109" s="153"/>
      <c r="AO109" s="153"/>
      <c r="AP109" s="153"/>
      <c r="AQ109" s="153"/>
      <c r="AR109" s="153"/>
    </row>
    <row r="110" spans="1:44" ht="15.75" customHeight="1">
      <c r="A110" s="153"/>
      <c r="B110" s="153"/>
      <c r="C110" s="152"/>
      <c r="D110" s="152"/>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row>
    <row r="111" spans="1:44" ht="15.75" customHeight="1">
      <c r="A111" s="153"/>
      <c r="B111" s="153"/>
      <c r="C111" s="152"/>
      <c r="D111" s="152"/>
      <c r="E111" s="153"/>
      <c r="F111" s="153"/>
      <c r="G111" s="153"/>
      <c r="H111" s="153"/>
      <c r="I111" s="153"/>
      <c r="J111" s="153"/>
      <c r="K111" s="153"/>
      <c r="L111" s="153"/>
      <c r="M111" s="153"/>
      <c r="N111" s="153"/>
      <c r="O111" s="153"/>
      <c r="P111" s="153"/>
      <c r="Q111" s="153"/>
      <c r="R111" s="153"/>
      <c r="S111" s="153"/>
      <c r="T111" s="153"/>
      <c r="U111" s="153"/>
      <c r="V111" s="153"/>
      <c r="W111" s="153"/>
      <c r="X111" s="153"/>
      <c r="Y111" s="153"/>
      <c r="Z111" s="153"/>
      <c r="AA111" s="153"/>
      <c r="AB111" s="153"/>
      <c r="AC111" s="153"/>
      <c r="AD111" s="153"/>
      <c r="AE111" s="153"/>
      <c r="AF111" s="153"/>
      <c r="AG111" s="153"/>
      <c r="AH111" s="153"/>
      <c r="AI111" s="153"/>
      <c r="AJ111" s="153"/>
      <c r="AK111" s="153"/>
      <c r="AL111" s="153"/>
      <c r="AM111" s="153"/>
      <c r="AN111" s="153"/>
      <c r="AO111" s="153"/>
      <c r="AP111" s="153"/>
      <c r="AQ111" s="153"/>
      <c r="AR111" s="153"/>
    </row>
    <row r="112" spans="1:44" ht="15.75" customHeight="1">
      <c r="A112" s="153"/>
      <c r="B112" s="153"/>
      <c r="C112" s="152"/>
      <c r="D112" s="152"/>
      <c r="E112" s="153"/>
      <c r="F112" s="153"/>
      <c r="G112" s="153"/>
      <c r="H112" s="153"/>
      <c r="I112" s="153"/>
      <c r="J112" s="153"/>
      <c r="K112" s="153"/>
      <c r="L112" s="153"/>
      <c r="M112" s="153"/>
      <c r="N112" s="153"/>
      <c r="O112" s="153"/>
      <c r="P112" s="153"/>
      <c r="Q112" s="153"/>
      <c r="R112" s="153"/>
      <c r="S112" s="153"/>
      <c r="T112" s="153"/>
      <c r="U112" s="153"/>
      <c r="V112" s="153"/>
      <c r="W112" s="153"/>
      <c r="X112" s="153"/>
      <c r="Y112" s="153"/>
      <c r="Z112" s="153"/>
      <c r="AA112" s="153"/>
      <c r="AB112" s="153"/>
      <c r="AC112" s="153"/>
      <c r="AD112" s="153"/>
      <c r="AE112" s="153"/>
      <c r="AF112" s="153"/>
      <c r="AG112" s="153"/>
      <c r="AH112" s="153"/>
      <c r="AI112" s="153"/>
      <c r="AJ112" s="153"/>
      <c r="AK112" s="153"/>
      <c r="AL112" s="153"/>
      <c r="AM112" s="153"/>
      <c r="AN112" s="153"/>
      <c r="AO112" s="153"/>
      <c r="AP112" s="153"/>
      <c r="AQ112" s="153"/>
      <c r="AR112" s="153"/>
    </row>
    <row r="113" spans="1:44" ht="15.75" customHeight="1">
      <c r="A113" s="153"/>
      <c r="B113" s="153"/>
      <c r="C113" s="152"/>
      <c r="D113" s="152"/>
      <c r="E113" s="153"/>
      <c r="F113" s="153"/>
      <c r="G113" s="153"/>
      <c r="H113" s="153"/>
      <c r="I113" s="153"/>
      <c r="J113" s="153"/>
      <c r="K113" s="153"/>
      <c r="L113" s="153"/>
      <c r="M113" s="153"/>
      <c r="N113" s="153"/>
      <c r="O113" s="153"/>
      <c r="P113" s="153"/>
      <c r="Q113" s="153"/>
      <c r="R113" s="153"/>
      <c r="S113" s="153"/>
      <c r="T113" s="153"/>
      <c r="U113" s="153"/>
      <c r="V113" s="153"/>
      <c r="W113" s="153"/>
      <c r="X113" s="153"/>
      <c r="Y113" s="153"/>
      <c r="Z113" s="153"/>
      <c r="AA113" s="153"/>
      <c r="AB113" s="153"/>
      <c r="AC113" s="153"/>
      <c r="AD113" s="153"/>
      <c r="AE113" s="153"/>
      <c r="AF113" s="153"/>
      <c r="AG113" s="153"/>
      <c r="AH113" s="153"/>
      <c r="AI113" s="153"/>
      <c r="AJ113" s="153"/>
      <c r="AK113" s="153"/>
      <c r="AL113" s="153"/>
      <c r="AM113" s="153"/>
      <c r="AN113" s="153"/>
      <c r="AO113" s="153"/>
      <c r="AP113" s="153"/>
      <c r="AQ113" s="153"/>
      <c r="AR113" s="153"/>
    </row>
    <row r="114" spans="1:44" ht="15.75" customHeight="1">
      <c r="A114" s="153"/>
      <c r="B114" s="153"/>
      <c r="C114" s="152"/>
      <c r="D114" s="152"/>
      <c r="E114" s="153"/>
      <c r="F114" s="153"/>
      <c r="G114" s="153"/>
      <c r="H114" s="153"/>
      <c r="I114" s="153"/>
      <c r="J114" s="153"/>
      <c r="K114" s="153"/>
      <c r="L114" s="153"/>
      <c r="M114" s="153"/>
      <c r="N114" s="153"/>
      <c r="O114" s="153"/>
      <c r="P114" s="153"/>
      <c r="Q114" s="153"/>
      <c r="R114" s="153"/>
      <c r="S114" s="153"/>
      <c r="T114" s="153"/>
      <c r="U114" s="153"/>
      <c r="V114" s="153"/>
      <c r="W114" s="153"/>
      <c r="X114" s="153"/>
      <c r="Y114" s="153"/>
      <c r="Z114" s="153"/>
      <c r="AA114" s="153"/>
      <c r="AB114" s="153"/>
      <c r="AC114" s="153"/>
      <c r="AD114" s="153"/>
      <c r="AE114" s="153"/>
      <c r="AF114" s="153"/>
      <c r="AG114" s="153"/>
      <c r="AH114" s="153"/>
      <c r="AI114" s="153"/>
      <c r="AJ114" s="153"/>
      <c r="AK114" s="153"/>
      <c r="AL114" s="153"/>
      <c r="AM114" s="153"/>
      <c r="AN114" s="153"/>
      <c r="AO114" s="153"/>
      <c r="AP114" s="153"/>
      <c r="AQ114" s="153"/>
      <c r="AR114" s="153"/>
    </row>
    <row r="115" spans="1:44" ht="15.75" customHeight="1">
      <c r="A115" s="153"/>
      <c r="B115" s="153"/>
      <c r="C115" s="152"/>
      <c r="D115" s="152"/>
      <c r="E115" s="153"/>
      <c r="F115" s="153"/>
      <c r="G115" s="153"/>
      <c r="H115" s="153"/>
      <c r="I115" s="153"/>
      <c r="J115" s="153"/>
      <c r="K115" s="153"/>
      <c r="L115" s="153"/>
      <c r="M115" s="153"/>
      <c r="N115" s="153"/>
      <c r="O115" s="153"/>
      <c r="P115" s="153"/>
      <c r="Q115" s="153"/>
      <c r="R115" s="153"/>
      <c r="S115" s="153"/>
      <c r="T115" s="153"/>
      <c r="U115" s="153"/>
      <c r="V115" s="153"/>
      <c r="W115" s="153"/>
      <c r="X115" s="153"/>
      <c r="Y115" s="153"/>
      <c r="Z115" s="153"/>
      <c r="AA115" s="153"/>
      <c r="AB115" s="153"/>
      <c r="AC115" s="153"/>
      <c r="AD115" s="153"/>
      <c r="AE115" s="153"/>
      <c r="AF115" s="153"/>
      <c r="AG115" s="153"/>
      <c r="AH115" s="153"/>
      <c r="AI115" s="153"/>
      <c r="AJ115" s="153"/>
      <c r="AK115" s="153"/>
      <c r="AL115" s="153"/>
      <c r="AM115" s="153"/>
      <c r="AN115" s="153"/>
      <c r="AO115" s="153"/>
      <c r="AP115" s="153"/>
      <c r="AQ115" s="153"/>
      <c r="AR115" s="153"/>
    </row>
    <row r="116" spans="1:44" ht="15.75" customHeight="1">
      <c r="A116" s="153"/>
      <c r="B116" s="153"/>
      <c r="C116" s="152"/>
      <c r="D116" s="152"/>
      <c r="E116" s="153"/>
      <c r="F116" s="153"/>
      <c r="G116" s="153"/>
      <c r="H116" s="153"/>
      <c r="I116" s="153"/>
      <c r="J116" s="153"/>
      <c r="K116" s="153"/>
      <c r="L116" s="153"/>
      <c r="M116" s="153"/>
      <c r="N116" s="153"/>
      <c r="O116" s="153"/>
      <c r="P116" s="153"/>
      <c r="Q116" s="153"/>
      <c r="R116" s="153"/>
      <c r="S116" s="153"/>
      <c r="T116" s="153"/>
      <c r="U116" s="153"/>
      <c r="V116" s="153"/>
      <c r="W116" s="153"/>
      <c r="X116" s="153"/>
      <c r="Y116" s="153"/>
      <c r="Z116" s="153"/>
      <c r="AA116" s="153"/>
      <c r="AB116" s="153"/>
      <c r="AC116" s="153"/>
      <c r="AD116" s="153"/>
      <c r="AE116" s="153"/>
      <c r="AF116" s="153"/>
      <c r="AG116" s="153"/>
      <c r="AH116" s="153"/>
      <c r="AI116" s="153"/>
      <c r="AJ116" s="153"/>
      <c r="AK116" s="153"/>
      <c r="AL116" s="153"/>
      <c r="AM116" s="153"/>
      <c r="AN116" s="153"/>
      <c r="AO116" s="153"/>
      <c r="AP116" s="153"/>
      <c r="AQ116" s="153"/>
      <c r="AR116" s="153"/>
    </row>
    <row r="117" spans="1:44" ht="15.75" customHeight="1">
      <c r="A117" s="153"/>
      <c r="B117" s="153"/>
      <c r="C117" s="152"/>
      <c r="D117" s="152"/>
      <c r="E117" s="153"/>
      <c r="F117" s="153"/>
      <c r="G117" s="153"/>
      <c r="H117" s="153"/>
      <c r="I117" s="153"/>
      <c r="J117" s="153"/>
      <c r="K117" s="153"/>
      <c r="L117" s="153"/>
      <c r="M117" s="153"/>
      <c r="N117" s="153"/>
      <c r="O117" s="153"/>
      <c r="P117" s="153"/>
      <c r="Q117" s="153"/>
      <c r="R117" s="153"/>
      <c r="S117" s="153"/>
      <c r="T117" s="153"/>
      <c r="U117" s="153"/>
      <c r="V117" s="153"/>
      <c r="W117" s="153"/>
      <c r="X117" s="153"/>
      <c r="Y117" s="153"/>
      <c r="Z117" s="153"/>
      <c r="AA117" s="153"/>
      <c r="AB117" s="153"/>
      <c r="AC117" s="153"/>
      <c r="AD117" s="153"/>
      <c r="AE117" s="153"/>
      <c r="AF117" s="153"/>
      <c r="AG117" s="153"/>
      <c r="AH117" s="153"/>
      <c r="AI117" s="153"/>
      <c r="AJ117" s="153"/>
      <c r="AK117" s="153"/>
      <c r="AL117" s="153"/>
      <c r="AM117" s="153"/>
      <c r="AN117" s="153"/>
      <c r="AO117" s="153"/>
      <c r="AP117" s="153"/>
      <c r="AQ117" s="153"/>
      <c r="AR117" s="153"/>
    </row>
    <row r="118" spans="1:44" ht="15.75" customHeight="1">
      <c r="A118" s="153"/>
      <c r="B118" s="153"/>
      <c r="C118" s="152"/>
      <c r="D118" s="152"/>
      <c r="E118" s="153"/>
      <c r="F118" s="153"/>
      <c r="G118" s="153"/>
      <c r="H118" s="153"/>
      <c r="I118" s="153"/>
      <c r="J118" s="153"/>
      <c r="K118" s="153"/>
      <c r="L118" s="153"/>
      <c r="M118" s="153"/>
      <c r="N118" s="153"/>
      <c r="O118" s="153"/>
      <c r="P118" s="153"/>
      <c r="Q118" s="153"/>
      <c r="R118" s="153"/>
      <c r="S118" s="153"/>
      <c r="T118" s="153"/>
      <c r="U118" s="153"/>
      <c r="V118" s="153"/>
      <c r="W118" s="153"/>
      <c r="X118" s="153"/>
      <c r="Y118" s="153"/>
      <c r="Z118" s="153"/>
      <c r="AA118" s="153"/>
      <c r="AB118" s="153"/>
      <c r="AC118" s="153"/>
      <c r="AD118" s="153"/>
      <c r="AE118" s="153"/>
      <c r="AF118" s="153"/>
      <c r="AG118" s="153"/>
      <c r="AH118" s="153"/>
      <c r="AI118" s="153"/>
      <c r="AJ118" s="153"/>
      <c r="AK118" s="153"/>
      <c r="AL118" s="153"/>
      <c r="AM118" s="153"/>
      <c r="AN118" s="153"/>
      <c r="AO118" s="153"/>
      <c r="AP118" s="153"/>
      <c r="AQ118" s="153"/>
      <c r="AR118" s="153"/>
    </row>
    <row r="119" spans="1:44" ht="15.75" customHeight="1">
      <c r="A119" s="153"/>
      <c r="B119" s="153"/>
      <c r="C119" s="152"/>
      <c r="D119" s="152"/>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c r="AA119" s="153"/>
      <c r="AB119" s="153"/>
      <c r="AC119" s="153"/>
      <c r="AD119" s="153"/>
      <c r="AE119" s="153"/>
      <c r="AF119" s="153"/>
      <c r="AG119" s="153"/>
      <c r="AH119" s="153"/>
      <c r="AI119" s="153"/>
      <c r="AJ119" s="153"/>
      <c r="AK119" s="153"/>
      <c r="AL119" s="153"/>
      <c r="AM119" s="153"/>
      <c r="AN119" s="153"/>
      <c r="AO119" s="153"/>
      <c r="AP119" s="153"/>
      <c r="AQ119" s="153"/>
      <c r="AR119" s="153"/>
    </row>
    <row r="120" spans="1:44" ht="15.75" customHeight="1">
      <c r="A120" s="153"/>
      <c r="B120" s="153"/>
      <c r="C120" s="152"/>
      <c r="D120" s="152"/>
      <c r="E120" s="153"/>
      <c r="F120" s="153"/>
      <c r="G120" s="153"/>
      <c r="H120" s="153"/>
      <c r="I120" s="153"/>
      <c r="J120" s="153"/>
      <c r="K120" s="153"/>
      <c r="L120" s="153"/>
      <c r="M120" s="153"/>
      <c r="N120" s="153"/>
      <c r="O120" s="153"/>
      <c r="P120" s="153"/>
      <c r="Q120" s="153"/>
      <c r="R120" s="153"/>
      <c r="S120" s="153"/>
      <c r="T120" s="153"/>
      <c r="U120" s="153"/>
      <c r="V120" s="153"/>
      <c r="W120" s="153"/>
      <c r="X120" s="153"/>
      <c r="Y120" s="153"/>
      <c r="Z120" s="153"/>
      <c r="AA120" s="153"/>
      <c r="AB120" s="153"/>
      <c r="AC120" s="153"/>
      <c r="AD120" s="153"/>
      <c r="AE120" s="153"/>
      <c r="AF120" s="153"/>
      <c r="AG120" s="153"/>
      <c r="AH120" s="153"/>
      <c r="AI120" s="153"/>
      <c r="AJ120" s="153"/>
      <c r="AK120" s="153"/>
      <c r="AL120" s="153"/>
      <c r="AM120" s="153"/>
      <c r="AN120" s="153"/>
      <c r="AO120" s="153"/>
      <c r="AP120" s="153"/>
      <c r="AQ120" s="153"/>
      <c r="AR120" s="153"/>
    </row>
    <row r="121" spans="1:44" ht="15.75" customHeight="1">
      <c r="A121" s="153"/>
      <c r="B121" s="153"/>
      <c r="C121" s="152"/>
      <c r="D121" s="152"/>
      <c r="E121" s="153"/>
      <c r="F121" s="153"/>
      <c r="G121" s="153"/>
      <c r="H121" s="153"/>
      <c r="I121" s="153"/>
      <c r="J121" s="153"/>
      <c r="K121" s="153"/>
      <c r="L121" s="153"/>
      <c r="M121" s="153"/>
      <c r="N121" s="153"/>
      <c r="O121" s="153"/>
      <c r="P121" s="153"/>
      <c r="Q121" s="153"/>
      <c r="R121" s="153"/>
      <c r="S121" s="153"/>
      <c r="T121" s="153"/>
      <c r="U121" s="153"/>
      <c r="V121" s="153"/>
      <c r="W121" s="153"/>
      <c r="X121" s="153"/>
      <c r="Y121" s="153"/>
      <c r="Z121" s="153"/>
      <c r="AA121" s="153"/>
      <c r="AB121" s="153"/>
      <c r="AC121" s="153"/>
      <c r="AD121" s="153"/>
      <c r="AE121" s="153"/>
      <c r="AF121" s="153"/>
      <c r="AG121" s="153"/>
      <c r="AH121" s="153"/>
      <c r="AI121" s="153"/>
      <c r="AJ121" s="153"/>
      <c r="AK121" s="153"/>
      <c r="AL121" s="153"/>
      <c r="AM121" s="153"/>
      <c r="AN121" s="153"/>
      <c r="AO121" s="153"/>
      <c r="AP121" s="153"/>
      <c r="AQ121" s="153"/>
      <c r="AR121" s="153"/>
    </row>
    <row r="122" spans="1:44" ht="15.75" customHeight="1">
      <c r="A122" s="153"/>
      <c r="B122" s="153"/>
      <c r="C122" s="152"/>
      <c r="D122" s="152"/>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c r="AA122" s="153"/>
      <c r="AB122" s="153"/>
      <c r="AC122" s="153"/>
      <c r="AD122" s="153"/>
      <c r="AE122" s="153"/>
      <c r="AF122" s="153"/>
      <c r="AG122" s="153"/>
      <c r="AH122" s="153"/>
      <c r="AI122" s="153"/>
      <c r="AJ122" s="153"/>
      <c r="AK122" s="153"/>
      <c r="AL122" s="153"/>
      <c r="AM122" s="153"/>
      <c r="AN122" s="153"/>
      <c r="AO122" s="153"/>
      <c r="AP122" s="153"/>
      <c r="AQ122" s="153"/>
      <c r="AR122" s="153"/>
    </row>
    <row r="123" spans="1:44" ht="15.75" customHeight="1">
      <c r="A123" s="153"/>
      <c r="B123" s="153"/>
      <c r="C123" s="152"/>
      <c r="D123" s="152"/>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c r="AA123" s="153"/>
      <c r="AB123" s="153"/>
      <c r="AC123" s="153"/>
      <c r="AD123" s="153"/>
      <c r="AE123" s="153"/>
      <c r="AF123" s="153"/>
      <c r="AG123" s="153"/>
      <c r="AH123" s="153"/>
      <c r="AI123" s="153"/>
      <c r="AJ123" s="153"/>
      <c r="AK123" s="153"/>
      <c r="AL123" s="153"/>
      <c r="AM123" s="153"/>
      <c r="AN123" s="153"/>
      <c r="AO123" s="153"/>
      <c r="AP123" s="153"/>
      <c r="AQ123" s="153"/>
      <c r="AR123" s="153"/>
    </row>
    <row r="124" spans="1:44" ht="15.75" customHeight="1">
      <c r="A124" s="153"/>
      <c r="B124" s="153"/>
      <c r="C124" s="152"/>
      <c r="D124" s="152"/>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c r="AA124" s="153"/>
      <c r="AB124" s="153"/>
      <c r="AC124" s="153"/>
      <c r="AD124" s="153"/>
      <c r="AE124" s="153"/>
      <c r="AF124" s="153"/>
      <c r="AG124" s="153"/>
      <c r="AH124" s="153"/>
      <c r="AI124" s="153"/>
      <c r="AJ124" s="153"/>
      <c r="AK124" s="153"/>
      <c r="AL124" s="153"/>
      <c r="AM124" s="153"/>
      <c r="AN124" s="153"/>
      <c r="AO124" s="153"/>
      <c r="AP124" s="153"/>
      <c r="AQ124" s="153"/>
      <c r="AR124" s="153"/>
    </row>
    <row r="125" spans="1:44" ht="15.75" customHeight="1">
      <c r="A125" s="153"/>
      <c r="B125" s="153"/>
      <c r="C125" s="152"/>
      <c r="D125" s="152"/>
      <c r="E125" s="153"/>
      <c r="F125" s="153"/>
      <c r="G125" s="153"/>
      <c r="H125" s="153"/>
      <c r="I125" s="153"/>
      <c r="J125" s="153"/>
      <c r="K125" s="153"/>
      <c r="L125" s="153"/>
      <c r="M125" s="153"/>
      <c r="N125" s="153"/>
      <c r="O125" s="153"/>
      <c r="P125" s="153"/>
      <c r="Q125" s="153"/>
      <c r="R125" s="153"/>
      <c r="S125" s="153"/>
      <c r="T125" s="153"/>
      <c r="U125" s="153"/>
      <c r="V125" s="153"/>
      <c r="W125" s="153"/>
      <c r="X125" s="153"/>
      <c r="Y125" s="153"/>
      <c r="Z125" s="153"/>
      <c r="AA125" s="153"/>
      <c r="AB125" s="153"/>
      <c r="AC125" s="153"/>
      <c r="AD125" s="153"/>
      <c r="AE125" s="153"/>
      <c r="AF125" s="153"/>
      <c r="AG125" s="153"/>
      <c r="AH125" s="153"/>
      <c r="AI125" s="153"/>
      <c r="AJ125" s="153"/>
      <c r="AK125" s="153"/>
      <c r="AL125" s="153"/>
      <c r="AM125" s="153"/>
      <c r="AN125" s="153"/>
      <c r="AO125" s="153"/>
      <c r="AP125" s="153"/>
      <c r="AQ125" s="153"/>
      <c r="AR125" s="153"/>
    </row>
    <row r="126" spans="1:44" ht="15.75" customHeight="1">
      <c r="A126" s="153"/>
      <c r="B126" s="153"/>
      <c r="C126" s="152"/>
      <c r="D126" s="152"/>
      <c r="E126" s="153"/>
      <c r="F126" s="153"/>
      <c r="G126" s="153"/>
      <c r="H126" s="153"/>
      <c r="I126" s="153"/>
      <c r="J126" s="153"/>
      <c r="K126" s="153"/>
      <c r="L126" s="153"/>
      <c r="M126" s="153"/>
      <c r="N126" s="153"/>
      <c r="O126" s="153"/>
      <c r="P126" s="153"/>
      <c r="Q126" s="153"/>
      <c r="R126" s="153"/>
      <c r="S126" s="153"/>
      <c r="T126" s="153"/>
      <c r="U126" s="153"/>
      <c r="V126" s="153"/>
      <c r="W126" s="153"/>
      <c r="X126" s="153"/>
      <c r="Y126" s="153"/>
      <c r="Z126" s="153"/>
      <c r="AA126" s="153"/>
      <c r="AB126" s="153"/>
      <c r="AC126" s="153"/>
      <c r="AD126" s="153"/>
      <c r="AE126" s="153"/>
      <c r="AF126" s="153"/>
      <c r="AG126" s="153"/>
      <c r="AH126" s="153"/>
      <c r="AI126" s="153"/>
      <c r="AJ126" s="153"/>
      <c r="AK126" s="153"/>
      <c r="AL126" s="153"/>
      <c r="AM126" s="153"/>
      <c r="AN126" s="153"/>
      <c r="AO126" s="153"/>
      <c r="AP126" s="153"/>
      <c r="AQ126" s="153"/>
      <c r="AR126" s="153"/>
    </row>
    <row r="127" spans="1:44" ht="15.75" customHeight="1">
      <c r="A127" s="153"/>
      <c r="B127" s="153"/>
      <c r="C127" s="152"/>
      <c r="D127" s="152"/>
      <c r="E127" s="153"/>
      <c r="F127" s="153"/>
      <c r="G127" s="153"/>
      <c r="H127" s="153"/>
      <c r="I127" s="153"/>
      <c r="J127" s="153"/>
      <c r="K127" s="153"/>
      <c r="L127" s="153"/>
      <c r="M127" s="153"/>
      <c r="N127" s="153"/>
      <c r="O127" s="153"/>
      <c r="P127" s="153"/>
      <c r="Q127" s="153"/>
      <c r="R127" s="153"/>
      <c r="S127" s="153"/>
      <c r="T127" s="153"/>
      <c r="U127" s="153"/>
      <c r="V127" s="153"/>
      <c r="W127" s="153"/>
      <c r="X127" s="153"/>
      <c r="Y127" s="153"/>
      <c r="Z127" s="153"/>
      <c r="AA127" s="153"/>
      <c r="AB127" s="153"/>
      <c r="AC127" s="153"/>
      <c r="AD127" s="153"/>
      <c r="AE127" s="153"/>
      <c r="AF127" s="153"/>
      <c r="AG127" s="153"/>
      <c r="AH127" s="153"/>
      <c r="AI127" s="153"/>
      <c r="AJ127" s="153"/>
      <c r="AK127" s="153"/>
      <c r="AL127" s="153"/>
      <c r="AM127" s="153"/>
      <c r="AN127" s="153"/>
      <c r="AO127" s="153"/>
      <c r="AP127" s="153"/>
      <c r="AQ127" s="153"/>
      <c r="AR127" s="153"/>
    </row>
    <row r="128" spans="1:44" ht="15.75" customHeight="1">
      <c r="A128" s="153"/>
      <c r="B128" s="153"/>
      <c r="C128" s="152"/>
      <c r="D128" s="152"/>
      <c r="E128" s="153"/>
      <c r="F128" s="153"/>
      <c r="G128" s="153"/>
      <c r="H128" s="153"/>
      <c r="I128" s="153"/>
      <c r="J128" s="153"/>
      <c r="K128" s="153"/>
      <c r="L128" s="153"/>
      <c r="M128" s="153"/>
      <c r="N128" s="153"/>
      <c r="O128" s="153"/>
      <c r="P128" s="153"/>
      <c r="Q128" s="153"/>
      <c r="R128" s="153"/>
      <c r="S128" s="153"/>
      <c r="T128" s="153"/>
      <c r="U128" s="153"/>
      <c r="V128" s="153"/>
      <c r="W128" s="153"/>
      <c r="X128" s="153"/>
      <c r="Y128" s="153"/>
      <c r="Z128" s="153"/>
      <c r="AA128" s="153"/>
      <c r="AB128" s="153"/>
      <c r="AC128" s="153"/>
      <c r="AD128" s="153"/>
      <c r="AE128" s="153"/>
      <c r="AF128" s="153"/>
      <c r="AG128" s="153"/>
      <c r="AH128" s="153"/>
      <c r="AI128" s="153"/>
      <c r="AJ128" s="153"/>
      <c r="AK128" s="153"/>
      <c r="AL128" s="153"/>
      <c r="AM128" s="153"/>
      <c r="AN128" s="153"/>
      <c r="AO128" s="153"/>
      <c r="AP128" s="153"/>
      <c r="AQ128" s="153"/>
      <c r="AR128" s="153"/>
    </row>
    <row r="129" spans="1:44" ht="15.75" customHeight="1">
      <c r="A129" s="153"/>
      <c r="B129" s="153"/>
      <c r="C129" s="152"/>
      <c r="D129" s="152"/>
      <c r="E129" s="153"/>
      <c r="F129" s="153"/>
      <c r="G129" s="153"/>
      <c r="H129" s="153"/>
      <c r="I129" s="153"/>
      <c r="J129" s="153"/>
      <c r="K129" s="153"/>
      <c r="L129" s="153"/>
      <c r="M129" s="153"/>
      <c r="N129" s="153"/>
      <c r="O129" s="153"/>
      <c r="P129" s="153"/>
      <c r="Q129" s="153"/>
      <c r="R129" s="153"/>
      <c r="S129" s="153"/>
      <c r="T129" s="153"/>
      <c r="U129" s="153"/>
      <c r="V129" s="153"/>
      <c r="W129" s="153"/>
      <c r="X129" s="153"/>
      <c r="Y129" s="153"/>
      <c r="Z129" s="153"/>
      <c r="AA129" s="153"/>
      <c r="AB129" s="153"/>
      <c r="AC129" s="153"/>
      <c r="AD129" s="153"/>
      <c r="AE129" s="153"/>
      <c r="AF129" s="153"/>
      <c r="AG129" s="153"/>
      <c r="AH129" s="153"/>
      <c r="AI129" s="153"/>
      <c r="AJ129" s="153"/>
      <c r="AK129" s="153"/>
      <c r="AL129" s="153"/>
      <c r="AM129" s="153"/>
      <c r="AN129" s="153"/>
      <c r="AO129" s="153"/>
      <c r="AP129" s="153"/>
      <c r="AQ129" s="153"/>
      <c r="AR129" s="153"/>
    </row>
    <row r="130" spans="1:44" ht="15.75" customHeight="1">
      <c r="A130" s="153"/>
      <c r="B130" s="153"/>
      <c r="C130" s="152"/>
      <c r="D130" s="152"/>
      <c r="E130" s="153"/>
      <c r="F130" s="153"/>
      <c r="G130" s="153"/>
      <c r="H130" s="153"/>
      <c r="I130" s="153"/>
      <c r="J130" s="153"/>
      <c r="K130" s="153"/>
      <c r="L130" s="153"/>
      <c r="M130" s="153"/>
      <c r="N130" s="153"/>
      <c r="O130" s="153"/>
      <c r="P130" s="153"/>
      <c r="Q130" s="153"/>
      <c r="R130" s="153"/>
      <c r="S130" s="153"/>
      <c r="T130" s="153"/>
      <c r="U130" s="153"/>
      <c r="V130" s="153"/>
      <c r="W130" s="153"/>
      <c r="X130" s="153"/>
      <c r="Y130" s="153"/>
      <c r="Z130" s="153"/>
      <c r="AA130" s="153"/>
      <c r="AB130" s="153"/>
      <c r="AC130" s="153"/>
      <c r="AD130" s="153"/>
      <c r="AE130" s="153"/>
      <c r="AF130" s="153"/>
      <c r="AG130" s="153"/>
      <c r="AH130" s="153"/>
      <c r="AI130" s="153"/>
      <c r="AJ130" s="153"/>
      <c r="AK130" s="153"/>
      <c r="AL130" s="153"/>
      <c r="AM130" s="153"/>
      <c r="AN130" s="153"/>
      <c r="AO130" s="153"/>
      <c r="AP130" s="153"/>
      <c r="AQ130" s="153"/>
      <c r="AR130" s="153"/>
    </row>
    <row r="131" spans="1:44" ht="15.75" customHeight="1">
      <c r="A131" s="153"/>
      <c r="B131" s="153"/>
      <c r="C131" s="152"/>
      <c r="D131" s="152"/>
      <c r="E131" s="153"/>
      <c r="F131" s="153"/>
      <c r="G131" s="153"/>
      <c r="H131" s="153"/>
      <c r="I131" s="153"/>
      <c r="J131" s="153"/>
      <c r="K131" s="153"/>
      <c r="L131" s="153"/>
      <c r="M131" s="153"/>
      <c r="N131" s="153"/>
      <c r="O131" s="153"/>
      <c r="P131" s="153"/>
      <c r="Q131" s="153"/>
      <c r="R131" s="153"/>
      <c r="S131" s="153"/>
      <c r="T131" s="153"/>
      <c r="U131" s="153"/>
      <c r="V131" s="153"/>
      <c r="W131" s="153"/>
      <c r="X131" s="153"/>
      <c r="Y131" s="153"/>
      <c r="Z131" s="153"/>
      <c r="AA131" s="153"/>
      <c r="AB131" s="153"/>
      <c r="AC131" s="153"/>
      <c r="AD131" s="153"/>
      <c r="AE131" s="153"/>
      <c r="AF131" s="153"/>
      <c r="AG131" s="153"/>
      <c r="AH131" s="153"/>
      <c r="AI131" s="153"/>
      <c r="AJ131" s="153"/>
      <c r="AK131" s="153"/>
      <c r="AL131" s="153"/>
      <c r="AM131" s="153"/>
      <c r="AN131" s="153"/>
      <c r="AO131" s="153"/>
      <c r="AP131" s="153"/>
      <c r="AQ131" s="153"/>
      <c r="AR131" s="153"/>
    </row>
    <row r="132" spans="1:44" ht="15.75" customHeight="1">
      <c r="A132" s="153"/>
      <c r="B132" s="153"/>
      <c r="C132" s="152"/>
      <c r="D132" s="152"/>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c r="AA132" s="153"/>
      <c r="AB132" s="153"/>
      <c r="AC132" s="153"/>
      <c r="AD132" s="153"/>
      <c r="AE132" s="153"/>
      <c r="AF132" s="153"/>
      <c r="AG132" s="153"/>
      <c r="AH132" s="153"/>
      <c r="AI132" s="153"/>
      <c r="AJ132" s="153"/>
      <c r="AK132" s="153"/>
      <c r="AL132" s="153"/>
      <c r="AM132" s="153"/>
      <c r="AN132" s="153"/>
      <c r="AO132" s="153"/>
      <c r="AP132" s="153"/>
      <c r="AQ132" s="153"/>
      <c r="AR132" s="153"/>
    </row>
    <row r="133" spans="1:44" ht="15.75" customHeight="1">
      <c r="A133" s="153"/>
      <c r="B133" s="153"/>
      <c r="C133" s="152"/>
      <c r="D133" s="152"/>
      <c r="E133" s="153"/>
      <c r="F133" s="153"/>
      <c r="G133" s="153"/>
      <c r="H133" s="153"/>
      <c r="I133" s="153"/>
      <c r="J133" s="153"/>
      <c r="K133" s="153"/>
      <c r="L133" s="153"/>
      <c r="M133" s="153"/>
      <c r="N133" s="153"/>
      <c r="O133" s="153"/>
      <c r="P133" s="153"/>
      <c r="Q133" s="153"/>
      <c r="R133" s="153"/>
      <c r="S133" s="153"/>
      <c r="T133" s="153"/>
      <c r="U133" s="153"/>
      <c r="V133" s="153"/>
      <c r="W133" s="153"/>
      <c r="X133" s="153"/>
      <c r="Y133" s="153"/>
      <c r="Z133" s="153"/>
      <c r="AA133" s="153"/>
      <c r="AB133" s="153"/>
      <c r="AC133" s="153"/>
      <c r="AD133" s="153"/>
      <c r="AE133" s="153"/>
      <c r="AF133" s="153"/>
      <c r="AG133" s="153"/>
      <c r="AH133" s="153"/>
      <c r="AI133" s="153"/>
      <c r="AJ133" s="153"/>
      <c r="AK133" s="153"/>
      <c r="AL133" s="153"/>
      <c r="AM133" s="153"/>
      <c r="AN133" s="153"/>
      <c r="AO133" s="153"/>
      <c r="AP133" s="153"/>
      <c r="AQ133" s="153"/>
      <c r="AR133" s="153"/>
    </row>
    <row r="134" spans="1:44" ht="15.75" customHeight="1">
      <c r="A134" s="153"/>
      <c r="B134" s="153"/>
      <c r="C134" s="152"/>
      <c r="D134" s="152"/>
      <c r="E134" s="153"/>
      <c r="F134" s="153"/>
      <c r="G134" s="153"/>
      <c r="H134" s="153"/>
      <c r="I134" s="153"/>
      <c r="J134" s="153"/>
      <c r="K134" s="153"/>
      <c r="L134" s="153"/>
      <c r="M134" s="153"/>
      <c r="N134" s="153"/>
      <c r="O134" s="153"/>
      <c r="P134" s="153"/>
      <c r="Q134" s="153"/>
      <c r="R134" s="153"/>
      <c r="S134" s="153"/>
      <c r="T134" s="153"/>
      <c r="U134" s="153"/>
      <c r="V134" s="153"/>
      <c r="W134" s="153"/>
      <c r="X134" s="153"/>
      <c r="Y134" s="153"/>
      <c r="Z134" s="153"/>
      <c r="AA134" s="153"/>
      <c r="AB134" s="153"/>
      <c r="AC134" s="153"/>
      <c r="AD134" s="153"/>
      <c r="AE134" s="153"/>
      <c r="AF134" s="153"/>
      <c r="AG134" s="153"/>
      <c r="AH134" s="153"/>
      <c r="AI134" s="153"/>
      <c r="AJ134" s="153"/>
      <c r="AK134" s="153"/>
      <c r="AL134" s="153"/>
      <c r="AM134" s="153"/>
      <c r="AN134" s="153"/>
      <c r="AO134" s="153"/>
      <c r="AP134" s="153"/>
      <c r="AQ134" s="153"/>
      <c r="AR134" s="153"/>
    </row>
    <row r="135" spans="1:44" ht="15.75" customHeight="1">
      <c r="A135" s="153"/>
      <c r="B135" s="153"/>
      <c r="C135" s="152"/>
      <c r="D135" s="152"/>
      <c r="E135" s="153"/>
      <c r="F135" s="153"/>
      <c r="G135" s="153"/>
      <c r="H135" s="153"/>
      <c r="I135" s="153"/>
      <c r="J135" s="153"/>
      <c r="K135" s="153"/>
      <c r="L135" s="153"/>
      <c r="M135" s="153"/>
      <c r="N135" s="153"/>
      <c r="O135" s="153"/>
      <c r="P135" s="153"/>
      <c r="Q135" s="153"/>
      <c r="R135" s="153"/>
      <c r="S135" s="153"/>
      <c r="T135" s="153"/>
      <c r="U135" s="153"/>
      <c r="V135" s="153"/>
      <c r="W135" s="153"/>
      <c r="X135" s="153"/>
      <c r="Y135" s="153"/>
      <c r="Z135" s="153"/>
      <c r="AA135" s="153"/>
      <c r="AB135" s="153"/>
      <c r="AC135" s="153"/>
      <c r="AD135" s="153"/>
      <c r="AE135" s="153"/>
      <c r="AF135" s="153"/>
      <c r="AG135" s="153"/>
      <c r="AH135" s="153"/>
      <c r="AI135" s="153"/>
      <c r="AJ135" s="153"/>
      <c r="AK135" s="153"/>
      <c r="AL135" s="153"/>
      <c r="AM135" s="153"/>
      <c r="AN135" s="153"/>
      <c r="AO135" s="153"/>
      <c r="AP135" s="153"/>
      <c r="AQ135" s="153"/>
      <c r="AR135" s="153"/>
    </row>
    <row r="136" spans="1:44" ht="15.75" customHeight="1">
      <c r="A136" s="153"/>
      <c r="B136" s="153"/>
      <c r="C136" s="152"/>
      <c r="D136" s="152"/>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c r="AA136" s="153"/>
      <c r="AB136" s="153"/>
      <c r="AC136" s="153"/>
      <c r="AD136" s="153"/>
      <c r="AE136" s="153"/>
      <c r="AF136" s="153"/>
      <c r="AG136" s="153"/>
      <c r="AH136" s="153"/>
      <c r="AI136" s="153"/>
      <c r="AJ136" s="153"/>
      <c r="AK136" s="153"/>
      <c r="AL136" s="153"/>
      <c r="AM136" s="153"/>
      <c r="AN136" s="153"/>
      <c r="AO136" s="153"/>
      <c r="AP136" s="153"/>
      <c r="AQ136" s="153"/>
      <c r="AR136" s="153"/>
    </row>
    <row r="137" spans="1:44" ht="15.75" customHeight="1">
      <c r="A137" s="153"/>
      <c r="B137" s="153"/>
      <c r="C137" s="152"/>
      <c r="D137" s="152"/>
      <c r="E137" s="153"/>
      <c r="F137" s="153"/>
      <c r="G137" s="153"/>
      <c r="H137" s="153"/>
      <c r="I137" s="153"/>
      <c r="J137" s="153"/>
      <c r="K137" s="153"/>
      <c r="L137" s="153"/>
      <c r="M137" s="153"/>
      <c r="N137" s="153"/>
      <c r="O137" s="153"/>
      <c r="P137" s="153"/>
      <c r="Q137" s="153"/>
      <c r="R137" s="153"/>
      <c r="S137" s="153"/>
      <c r="T137" s="153"/>
      <c r="U137" s="153"/>
      <c r="V137" s="153"/>
      <c r="W137" s="153"/>
      <c r="X137" s="153"/>
      <c r="Y137" s="153"/>
      <c r="Z137" s="153"/>
      <c r="AA137" s="153"/>
      <c r="AB137" s="153"/>
      <c r="AC137" s="153"/>
      <c r="AD137" s="153"/>
      <c r="AE137" s="153"/>
      <c r="AF137" s="153"/>
      <c r="AG137" s="153"/>
      <c r="AH137" s="153"/>
      <c r="AI137" s="153"/>
      <c r="AJ137" s="153"/>
      <c r="AK137" s="153"/>
      <c r="AL137" s="153"/>
      <c r="AM137" s="153"/>
      <c r="AN137" s="153"/>
      <c r="AO137" s="153"/>
      <c r="AP137" s="153"/>
      <c r="AQ137" s="153"/>
      <c r="AR137" s="153"/>
    </row>
    <row r="138" spans="1:44" ht="15.75" customHeight="1">
      <c r="A138" s="153"/>
      <c r="B138" s="153"/>
      <c r="C138" s="152"/>
      <c r="D138" s="152"/>
      <c r="E138" s="153"/>
      <c r="F138" s="153"/>
      <c r="G138" s="153"/>
      <c r="H138" s="153"/>
      <c r="I138" s="153"/>
      <c r="J138" s="153"/>
      <c r="K138" s="153"/>
      <c r="L138" s="153"/>
      <c r="M138" s="153"/>
      <c r="N138" s="153"/>
      <c r="O138" s="153"/>
      <c r="P138" s="153"/>
      <c r="Q138" s="153"/>
      <c r="R138" s="153"/>
      <c r="S138" s="153"/>
      <c r="T138" s="153"/>
      <c r="U138" s="153"/>
      <c r="V138" s="153"/>
      <c r="W138" s="153"/>
      <c r="X138" s="153"/>
      <c r="Y138" s="153"/>
      <c r="Z138" s="153"/>
      <c r="AA138" s="153"/>
      <c r="AB138" s="153"/>
      <c r="AC138" s="153"/>
      <c r="AD138" s="153"/>
      <c r="AE138" s="153"/>
      <c r="AF138" s="153"/>
      <c r="AG138" s="153"/>
      <c r="AH138" s="153"/>
      <c r="AI138" s="153"/>
      <c r="AJ138" s="153"/>
      <c r="AK138" s="153"/>
      <c r="AL138" s="153"/>
      <c r="AM138" s="153"/>
      <c r="AN138" s="153"/>
      <c r="AO138" s="153"/>
      <c r="AP138" s="153"/>
      <c r="AQ138" s="153"/>
      <c r="AR138" s="153"/>
    </row>
    <row r="139" spans="1:44" ht="15.75" customHeight="1">
      <c r="A139" s="153"/>
      <c r="B139" s="153"/>
      <c r="C139" s="152"/>
      <c r="D139" s="152"/>
      <c r="E139" s="153"/>
      <c r="F139" s="153"/>
      <c r="G139" s="153"/>
      <c r="H139" s="153"/>
      <c r="I139" s="153"/>
      <c r="J139" s="153"/>
      <c r="K139" s="153"/>
      <c r="L139" s="153"/>
      <c r="M139" s="153"/>
      <c r="N139" s="153"/>
      <c r="O139" s="153"/>
      <c r="P139" s="153"/>
      <c r="Q139" s="153"/>
      <c r="R139" s="153"/>
      <c r="S139" s="153"/>
      <c r="T139" s="153"/>
      <c r="U139" s="153"/>
      <c r="V139" s="153"/>
      <c r="W139" s="153"/>
      <c r="X139" s="153"/>
      <c r="Y139" s="153"/>
      <c r="Z139" s="153"/>
      <c r="AA139" s="153"/>
      <c r="AB139" s="153"/>
      <c r="AC139" s="153"/>
      <c r="AD139" s="153"/>
      <c r="AE139" s="153"/>
      <c r="AF139" s="153"/>
      <c r="AG139" s="153"/>
      <c r="AH139" s="153"/>
      <c r="AI139" s="153"/>
      <c r="AJ139" s="153"/>
      <c r="AK139" s="153"/>
      <c r="AL139" s="153"/>
      <c r="AM139" s="153"/>
      <c r="AN139" s="153"/>
      <c r="AO139" s="153"/>
      <c r="AP139" s="153"/>
      <c r="AQ139" s="153"/>
      <c r="AR139" s="153"/>
    </row>
    <row r="140" spans="1:44" ht="15.75" customHeight="1">
      <c r="A140" s="153"/>
      <c r="B140" s="153"/>
      <c r="C140" s="152"/>
      <c r="D140" s="152"/>
      <c r="E140" s="153"/>
      <c r="F140" s="153"/>
      <c r="G140" s="153"/>
      <c r="H140" s="153"/>
      <c r="I140" s="153"/>
      <c r="J140" s="153"/>
      <c r="K140" s="153"/>
      <c r="L140" s="153"/>
      <c r="M140" s="153"/>
      <c r="N140" s="153"/>
      <c r="O140" s="153"/>
      <c r="P140" s="153"/>
      <c r="Q140" s="153"/>
      <c r="R140" s="153"/>
      <c r="S140" s="153"/>
      <c r="T140" s="153"/>
      <c r="U140" s="153"/>
      <c r="V140" s="153"/>
      <c r="W140" s="153"/>
      <c r="X140" s="153"/>
      <c r="Y140" s="153"/>
      <c r="Z140" s="153"/>
      <c r="AA140" s="153"/>
      <c r="AB140" s="153"/>
      <c r="AC140" s="153"/>
      <c r="AD140" s="153"/>
      <c r="AE140" s="153"/>
      <c r="AF140" s="153"/>
      <c r="AG140" s="153"/>
      <c r="AH140" s="153"/>
      <c r="AI140" s="153"/>
      <c r="AJ140" s="153"/>
      <c r="AK140" s="153"/>
      <c r="AL140" s="153"/>
      <c r="AM140" s="153"/>
      <c r="AN140" s="153"/>
      <c r="AO140" s="153"/>
      <c r="AP140" s="153"/>
      <c r="AQ140" s="153"/>
      <c r="AR140" s="153"/>
    </row>
    <row r="141" spans="1:44" ht="15.75" customHeight="1">
      <c r="A141" s="153"/>
      <c r="B141" s="153"/>
      <c r="C141" s="152"/>
      <c r="D141" s="152"/>
      <c r="E141" s="153"/>
      <c r="F141" s="153"/>
      <c r="G141" s="153"/>
      <c r="H141" s="153"/>
      <c r="I141" s="153"/>
      <c r="J141" s="153"/>
      <c r="K141" s="153"/>
      <c r="L141" s="153"/>
      <c r="M141" s="153"/>
      <c r="N141" s="153"/>
      <c r="O141" s="153"/>
      <c r="P141" s="153"/>
      <c r="Q141" s="153"/>
      <c r="R141" s="153"/>
      <c r="S141" s="153"/>
      <c r="T141" s="153"/>
      <c r="U141" s="153"/>
      <c r="V141" s="153"/>
      <c r="W141" s="153"/>
      <c r="X141" s="153"/>
      <c r="Y141" s="153"/>
      <c r="Z141" s="153"/>
      <c r="AA141" s="153"/>
      <c r="AB141" s="153"/>
      <c r="AC141" s="153"/>
      <c r="AD141" s="153"/>
      <c r="AE141" s="153"/>
      <c r="AF141" s="153"/>
      <c r="AG141" s="153"/>
      <c r="AH141" s="153"/>
      <c r="AI141" s="153"/>
      <c r="AJ141" s="153"/>
      <c r="AK141" s="153"/>
      <c r="AL141" s="153"/>
      <c r="AM141" s="153"/>
      <c r="AN141" s="153"/>
      <c r="AO141" s="153"/>
      <c r="AP141" s="153"/>
      <c r="AQ141" s="153"/>
      <c r="AR141" s="153"/>
    </row>
    <row r="142" spans="1:44" ht="15.75" customHeight="1">
      <c r="A142" s="153"/>
      <c r="B142" s="153"/>
      <c r="C142" s="152"/>
      <c r="D142" s="152"/>
      <c r="E142" s="153"/>
      <c r="F142" s="153"/>
      <c r="G142" s="153"/>
      <c r="H142" s="153"/>
      <c r="I142" s="153"/>
      <c r="J142" s="153"/>
      <c r="K142" s="153"/>
      <c r="L142" s="153"/>
      <c r="M142" s="153"/>
      <c r="N142" s="153"/>
      <c r="O142" s="153"/>
      <c r="P142" s="153"/>
      <c r="Q142" s="153"/>
      <c r="R142" s="153"/>
      <c r="S142" s="153"/>
      <c r="T142" s="153"/>
      <c r="U142" s="153"/>
      <c r="V142" s="153"/>
      <c r="W142" s="153"/>
      <c r="X142" s="153"/>
      <c r="Y142" s="153"/>
      <c r="Z142" s="153"/>
      <c r="AA142" s="153"/>
      <c r="AB142" s="153"/>
      <c r="AC142" s="153"/>
      <c r="AD142" s="153"/>
      <c r="AE142" s="153"/>
      <c r="AF142" s="153"/>
      <c r="AG142" s="153"/>
      <c r="AH142" s="153"/>
      <c r="AI142" s="153"/>
      <c r="AJ142" s="153"/>
      <c r="AK142" s="153"/>
      <c r="AL142" s="153"/>
      <c r="AM142" s="153"/>
      <c r="AN142" s="153"/>
      <c r="AO142" s="153"/>
      <c r="AP142" s="153"/>
      <c r="AQ142" s="153"/>
      <c r="AR142" s="153"/>
    </row>
    <row r="143" spans="1:44" ht="15.75" customHeight="1">
      <c r="A143" s="153"/>
      <c r="B143" s="153"/>
      <c r="C143" s="152"/>
      <c r="D143" s="152"/>
      <c r="E143" s="153"/>
      <c r="F143" s="153"/>
      <c r="G143" s="153"/>
      <c r="H143" s="153"/>
      <c r="I143" s="153"/>
      <c r="J143" s="153"/>
      <c r="K143" s="153"/>
      <c r="L143" s="153"/>
      <c r="M143" s="153"/>
      <c r="N143" s="153"/>
      <c r="O143" s="153"/>
      <c r="P143" s="153"/>
      <c r="Q143" s="153"/>
      <c r="R143" s="153"/>
      <c r="S143" s="153"/>
      <c r="T143" s="153"/>
      <c r="U143" s="153"/>
      <c r="V143" s="153"/>
      <c r="W143" s="153"/>
      <c r="X143" s="153"/>
      <c r="Y143" s="153"/>
      <c r="Z143" s="153"/>
      <c r="AA143" s="153"/>
      <c r="AB143" s="153"/>
      <c r="AC143" s="153"/>
      <c r="AD143" s="153"/>
      <c r="AE143" s="153"/>
      <c r="AF143" s="153"/>
      <c r="AG143" s="153"/>
      <c r="AH143" s="153"/>
      <c r="AI143" s="153"/>
      <c r="AJ143" s="153"/>
      <c r="AK143" s="153"/>
      <c r="AL143" s="153"/>
      <c r="AM143" s="153"/>
      <c r="AN143" s="153"/>
      <c r="AO143" s="153"/>
      <c r="AP143" s="153"/>
      <c r="AQ143" s="153"/>
      <c r="AR143" s="153"/>
    </row>
    <row r="144" spans="1:44" ht="15.75" customHeight="1">
      <c r="A144" s="153"/>
      <c r="B144" s="153"/>
      <c r="C144" s="152"/>
      <c r="D144" s="152"/>
      <c r="E144" s="153"/>
      <c r="F144" s="153"/>
      <c r="G144" s="153"/>
      <c r="H144" s="153"/>
      <c r="I144" s="153"/>
      <c r="J144" s="153"/>
      <c r="K144" s="153"/>
      <c r="L144" s="153"/>
      <c r="M144" s="153"/>
      <c r="N144" s="153"/>
      <c r="O144" s="153"/>
      <c r="P144" s="153"/>
      <c r="Q144" s="153"/>
      <c r="R144" s="153"/>
      <c r="S144" s="153"/>
      <c r="T144" s="153"/>
      <c r="U144" s="153"/>
      <c r="V144" s="153"/>
      <c r="W144" s="153"/>
      <c r="X144" s="153"/>
      <c r="Y144" s="153"/>
      <c r="Z144" s="153"/>
      <c r="AA144" s="153"/>
      <c r="AB144" s="153"/>
      <c r="AC144" s="153"/>
      <c r="AD144" s="153"/>
      <c r="AE144" s="153"/>
      <c r="AF144" s="153"/>
      <c r="AG144" s="153"/>
      <c r="AH144" s="153"/>
      <c r="AI144" s="153"/>
      <c r="AJ144" s="153"/>
      <c r="AK144" s="153"/>
      <c r="AL144" s="153"/>
      <c r="AM144" s="153"/>
      <c r="AN144" s="153"/>
      <c r="AO144" s="153"/>
      <c r="AP144" s="153"/>
      <c r="AQ144" s="153"/>
      <c r="AR144" s="153"/>
    </row>
    <row r="145" spans="1:44" ht="15.75" customHeight="1">
      <c r="A145" s="153"/>
      <c r="B145" s="153"/>
      <c r="C145" s="152"/>
      <c r="D145" s="152"/>
      <c r="E145" s="153"/>
      <c r="F145" s="153"/>
      <c r="G145" s="153"/>
      <c r="H145" s="153"/>
      <c r="I145" s="153"/>
      <c r="J145" s="153"/>
      <c r="K145" s="153"/>
      <c r="L145" s="153"/>
      <c r="M145" s="153"/>
      <c r="N145" s="153"/>
      <c r="O145" s="153"/>
      <c r="P145" s="153"/>
      <c r="Q145" s="153"/>
      <c r="R145" s="153"/>
      <c r="S145" s="153"/>
      <c r="T145" s="153"/>
      <c r="U145" s="153"/>
      <c r="V145" s="153"/>
      <c r="W145" s="153"/>
      <c r="X145" s="153"/>
      <c r="Y145" s="153"/>
      <c r="Z145" s="153"/>
      <c r="AA145" s="153"/>
      <c r="AB145" s="153"/>
      <c r="AC145" s="153"/>
      <c r="AD145" s="153"/>
      <c r="AE145" s="153"/>
      <c r="AF145" s="153"/>
      <c r="AG145" s="153"/>
      <c r="AH145" s="153"/>
      <c r="AI145" s="153"/>
      <c r="AJ145" s="153"/>
      <c r="AK145" s="153"/>
      <c r="AL145" s="153"/>
      <c r="AM145" s="153"/>
      <c r="AN145" s="153"/>
      <c r="AO145" s="153"/>
      <c r="AP145" s="153"/>
      <c r="AQ145" s="153"/>
      <c r="AR145" s="153"/>
    </row>
    <row r="146" spans="1:44" ht="15.75" customHeight="1">
      <c r="A146" s="153"/>
      <c r="B146" s="153"/>
      <c r="C146" s="152"/>
      <c r="D146" s="152"/>
      <c r="E146" s="153"/>
      <c r="F146" s="153"/>
      <c r="G146" s="153"/>
      <c r="H146" s="153"/>
      <c r="I146" s="153"/>
      <c r="J146" s="153"/>
      <c r="K146" s="153"/>
      <c r="L146" s="153"/>
      <c r="M146" s="153"/>
      <c r="N146" s="153"/>
      <c r="O146" s="153"/>
      <c r="P146" s="153"/>
      <c r="Q146" s="153"/>
      <c r="R146" s="153"/>
      <c r="S146" s="153"/>
      <c r="T146" s="153"/>
      <c r="U146" s="153"/>
      <c r="V146" s="153"/>
      <c r="W146" s="153"/>
      <c r="X146" s="153"/>
      <c r="Y146" s="153"/>
      <c r="Z146" s="153"/>
      <c r="AA146" s="153"/>
      <c r="AB146" s="153"/>
      <c r="AC146" s="153"/>
      <c r="AD146" s="153"/>
      <c r="AE146" s="153"/>
      <c r="AF146" s="153"/>
      <c r="AG146" s="153"/>
      <c r="AH146" s="153"/>
      <c r="AI146" s="153"/>
      <c r="AJ146" s="153"/>
      <c r="AK146" s="153"/>
      <c r="AL146" s="153"/>
      <c r="AM146" s="153"/>
      <c r="AN146" s="153"/>
      <c r="AO146" s="153"/>
      <c r="AP146" s="153"/>
      <c r="AQ146" s="153"/>
      <c r="AR146" s="153"/>
    </row>
    <row r="147" spans="1:44" ht="15.75" customHeight="1">
      <c r="A147" s="153"/>
      <c r="B147" s="153"/>
      <c r="C147" s="152"/>
      <c r="D147" s="152"/>
      <c r="E147" s="153"/>
      <c r="F147" s="153"/>
      <c r="G147" s="153"/>
      <c r="H147" s="153"/>
      <c r="I147" s="153"/>
      <c r="J147" s="153"/>
      <c r="K147" s="153"/>
      <c r="L147" s="153"/>
      <c r="M147" s="153"/>
      <c r="N147" s="153"/>
      <c r="O147" s="153"/>
      <c r="P147" s="153"/>
      <c r="Q147" s="153"/>
      <c r="R147" s="153"/>
      <c r="S147" s="153"/>
      <c r="T147" s="153"/>
      <c r="U147" s="153"/>
      <c r="V147" s="153"/>
      <c r="W147" s="153"/>
      <c r="X147" s="153"/>
      <c r="Y147" s="153"/>
      <c r="Z147" s="153"/>
      <c r="AA147" s="153"/>
      <c r="AB147" s="153"/>
      <c r="AC147" s="153"/>
      <c r="AD147" s="153"/>
      <c r="AE147" s="153"/>
      <c r="AF147" s="153"/>
      <c r="AG147" s="153"/>
      <c r="AH147" s="153"/>
      <c r="AI147" s="153"/>
      <c r="AJ147" s="153"/>
      <c r="AK147" s="153"/>
      <c r="AL147" s="153"/>
      <c r="AM147" s="153"/>
      <c r="AN147" s="153"/>
      <c r="AO147" s="153"/>
      <c r="AP147" s="153"/>
      <c r="AQ147" s="153"/>
      <c r="AR147" s="153"/>
    </row>
    <row r="148" spans="1:44" ht="15.75" customHeight="1">
      <c r="A148" s="153"/>
      <c r="B148" s="153"/>
      <c r="C148" s="152"/>
      <c r="D148" s="152"/>
      <c r="E148" s="153"/>
      <c r="F148" s="153"/>
      <c r="G148" s="153"/>
      <c r="H148" s="153"/>
      <c r="I148" s="153"/>
      <c r="J148" s="153"/>
      <c r="K148" s="153"/>
      <c r="L148" s="153"/>
      <c r="M148" s="153"/>
      <c r="N148" s="153"/>
      <c r="O148" s="153"/>
      <c r="P148" s="153"/>
      <c r="Q148" s="153"/>
      <c r="R148" s="153"/>
      <c r="S148" s="153"/>
      <c r="T148" s="153"/>
      <c r="U148" s="153"/>
      <c r="V148" s="153"/>
      <c r="W148" s="153"/>
      <c r="X148" s="153"/>
      <c r="Y148" s="153"/>
      <c r="Z148" s="153"/>
      <c r="AA148" s="153"/>
      <c r="AB148" s="153"/>
      <c r="AC148" s="153"/>
      <c r="AD148" s="153"/>
      <c r="AE148" s="153"/>
      <c r="AF148" s="153"/>
      <c r="AG148" s="153"/>
      <c r="AH148" s="153"/>
      <c r="AI148" s="153"/>
      <c r="AJ148" s="153"/>
      <c r="AK148" s="153"/>
      <c r="AL148" s="153"/>
      <c r="AM148" s="153"/>
      <c r="AN148" s="153"/>
      <c r="AO148" s="153"/>
      <c r="AP148" s="153"/>
      <c r="AQ148" s="153"/>
      <c r="AR148" s="153"/>
    </row>
    <row r="149" spans="1:44" ht="15.75" customHeight="1">
      <c r="A149" s="153"/>
      <c r="B149" s="153"/>
      <c r="C149" s="152"/>
      <c r="D149" s="152"/>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c r="AA149" s="153"/>
      <c r="AB149" s="153"/>
      <c r="AC149" s="153"/>
      <c r="AD149" s="153"/>
      <c r="AE149" s="153"/>
      <c r="AF149" s="153"/>
      <c r="AG149" s="153"/>
      <c r="AH149" s="153"/>
      <c r="AI149" s="153"/>
      <c r="AJ149" s="153"/>
      <c r="AK149" s="153"/>
      <c r="AL149" s="153"/>
      <c r="AM149" s="153"/>
      <c r="AN149" s="153"/>
      <c r="AO149" s="153"/>
      <c r="AP149" s="153"/>
      <c r="AQ149" s="153"/>
      <c r="AR149" s="153"/>
    </row>
    <row r="150" spans="1:44" ht="15.75" customHeight="1">
      <c r="A150" s="153"/>
      <c r="B150" s="153"/>
      <c r="C150" s="152"/>
      <c r="D150" s="152"/>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c r="AA150" s="153"/>
      <c r="AB150" s="153"/>
      <c r="AC150" s="153"/>
      <c r="AD150" s="153"/>
      <c r="AE150" s="153"/>
      <c r="AF150" s="153"/>
      <c r="AG150" s="153"/>
      <c r="AH150" s="153"/>
      <c r="AI150" s="153"/>
      <c r="AJ150" s="153"/>
      <c r="AK150" s="153"/>
      <c r="AL150" s="153"/>
      <c r="AM150" s="153"/>
      <c r="AN150" s="153"/>
      <c r="AO150" s="153"/>
      <c r="AP150" s="153"/>
      <c r="AQ150" s="153"/>
      <c r="AR150" s="153"/>
    </row>
    <row r="151" spans="1:44" ht="15.75" customHeight="1">
      <c r="A151" s="153"/>
      <c r="B151" s="153"/>
      <c r="C151" s="152"/>
      <c r="D151" s="152"/>
      <c r="E151" s="153"/>
      <c r="F151" s="153"/>
      <c r="G151" s="153"/>
      <c r="H151" s="153"/>
      <c r="I151" s="153"/>
      <c r="J151" s="153"/>
      <c r="K151" s="153"/>
      <c r="L151" s="153"/>
      <c r="M151" s="153"/>
      <c r="N151" s="153"/>
      <c r="O151" s="153"/>
      <c r="P151" s="153"/>
      <c r="Q151" s="153"/>
      <c r="R151" s="153"/>
      <c r="S151" s="153"/>
      <c r="T151" s="153"/>
      <c r="U151" s="153"/>
      <c r="V151" s="153"/>
      <c r="W151" s="153"/>
      <c r="X151" s="153"/>
      <c r="Y151" s="153"/>
      <c r="Z151" s="153"/>
      <c r="AA151" s="153"/>
      <c r="AB151" s="153"/>
      <c r="AC151" s="153"/>
      <c r="AD151" s="153"/>
      <c r="AE151" s="153"/>
      <c r="AF151" s="153"/>
      <c r="AG151" s="153"/>
      <c r="AH151" s="153"/>
      <c r="AI151" s="153"/>
      <c r="AJ151" s="153"/>
      <c r="AK151" s="153"/>
      <c r="AL151" s="153"/>
      <c r="AM151" s="153"/>
      <c r="AN151" s="153"/>
      <c r="AO151" s="153"/>
      <c r="AP151" s="153"/>
      <c r="AQ151" s="153"/>
      <c r="AR151" s="153"/>
    </row>
    <row r="152" spans="1:44" ht="15.75" customHeight="1">
      <c r="A152" s="153"/>
      <c r="B152" s="153"/>
      <c r="C152" s="152"/>
      <c r="D152" s="152"/>
      <c r="E152" s="153"/>
      <c r="F152" s="153"/>
      <c r="G152" s="153"/>
      <c r="H152" s="153"/>
      <c r="I152" s="153"/>
      <c r="J152" s="153"/>
      <c r="K152" s="153"/>
      <c r="L152" s="153"/>
      <c r="M152" s="153"/>
      <c r="N152" s="153"/>
      <c r="O152" s="153"/>
      <c r="P152" s="153"/>
      <c r="Q152" s="153"/>
      <c r="R152" s="153"/>
      <c r="S152" s="153"/>
      <c r="T152" s="153"/>
      <c r="U152" s="153"/>
      <c r="V152" s="153"/>
      <c r="W152" s="153"/>
      <c r="X152" s="153"/>
      <c r="Y152" s="153"/>
      <c r="Z152" s="153"/>
      <c r="AA152" s="153"/>
      <c r="AB152" s="153"/>
      <c r="AC152" s="153"/>
      <c r="AD152" s="153"/>
      <c r="AE152" s="153"/>
      <c r="AF152" s="153"/>
      <c r="AG152" s="153"/>
      <c r="AH152" s="153"/>
      <c r="AI152" s="153"/>
      <c r="AJ152" s="153"/>
      <c r="AK152" s="153"/>
      <c r="AL152" s="153"/>
      <c r="AM152" s="153"/>
      <c r="AN152" s="153"/>
      <c r="AO152" s="153"/>
      <c r="AP152" s="153"/>
      <c r="AQ152" s="153"/>
      <c r="AR152" s="153"/>
    </row>
    <row r="153" spans="1:44" ht="15.75" customHeight="1">
      <c r="A153" s="153"/>
      <c r="B153" s="153"/>
      <c r="C153" s="152"/>
      <c r="D153" s="152"/>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c r="AA153" s="153"/>
      <c r="AB153" s="153"/>
      <c r="AC153" s="153"/>
      <c r="AD153" s="153"/>
      <c r="AE153" s="153"/>
      <c r="AF153" s="153"/>
      <c r="AG153" s="153"/>
      <c r="AH153" s="153"/>
      <c r="AI153" s="153"/>
      <c r="AJ153" s="153"/>
      <c r="AK153" s="153"/>
      <c r="AL153" s="153"/>
      <c r="AM153" s="153"/>
      <c r="AN153" s="153"/>
      <c r="AO153" s="153"/>
      <c r="AP153" s="153"/>
      <c r="AQ153" s="153"/>
      <c r="AR153" s="153"/>
    </row>
    <row r="154" spans="1:44" ht="15.75" customHeight="1">
      <c r="A154" s="153"/>
      <c r="B154" s="153"/>
      <c r="C154" s="152"/>
      <c r="D154" s="152"/>
      <c r="E154" s="153"/>
      <c r="F154" s="153"/>
      <c r="G154" s="153"/>
      <c r="H154" s="153"/>
      <c r="I154" s="153"/>
      <c r="J154" s="153"/>
      <c r="K154" s="153"/>
      <c r="L154" s="153"/>
      <c r="M154" s="153"/>
      <c r="N154" s="153"/>
      <c r="O154" s="153"/>
      <c r="P154" s="153"/>
      <c r="Q154" s="153"/>
      <c r="R154" s="153"/>
      <c r="S154" s="153"/>
      <c r="T154" s="153"/>
      <c r="U154" s="153"/>
      <c r="V154" s="153"/>
      <c r="W154" s="153"/>
      <c r="X154" s="153"/>
      <c r="Y154" s="153"/>
      <c r="Z154" s="153"/>
      <c r="AA154" s="153"/>
      <c r="AB154" s="153"/>
      <c r="AC154" s="153"/>
      <c r="AD154" s="153"/>
      <c r="AE154" s="153"/>
      <c r="AF154" s="153"/>
      <c r="AG154" s="153"/>
      <c r="AH154" s="153"/>
      <c r="AI154" s="153"/>
      <c r="AJ154" s="153"/>
      <c r="AK154" s="153"/>
      <c r="AL154" s="153"/>
      <c r="AM154" s="153"/>
      <c r="AN154" s="153"/>
      <c r="AO154" s="153"/>
      <c r="AP154" s="153"/>
      <c r="AQ154" s="153"/>
      <c r="AR154" s="153"/>
    </row>
    <row r="155" spans="1:44" ht="15.75" customHeight="1">
      <c r="A155" s="153"/>
      <c r="B155" s="153"/>
      <c r="C155" s="152"/>
      <c r="D155" s="152"/>
      <c r="E155" s="153"/>
      <c r="F155" s="153"/>
      <c r="G155" s="153"/>
      <c r="H155" s="153"/>
      <c r="I155" s="153"/>
      <c r="J155" s="153"/>
      <c r="K155" s="153"/>
      <c r="L155" s="153"/>
      <c r="M155" s="153"/>
      <c r="N155" s="153"/>
      <c r="O155" s="153"/>
      <c r="P155" s="153"/>
      <c r="Q155" s="153"/>
      <c r="R155" s="153"/>
      <c r="S155" s="153"/>
      <c r="T155" s="153"/>
      <c r="U155" s="153"/>
      <c r="V155" s="153"/>
      <c r="W155" s="153"/>
      <c r="X155" s="153"/>
      <c r="Y155" s="153"/>
      <c r="Z155" s="153"/>
      <c r="AA155" s="153"/>
      <c r="AB155" s="153"/>
      <c r="AC155" s="153"/>
      <c r="AD155" s="153"/>
      <c r="AE155" s="153"/>
      <c r="AF155" s="153"/>
      <c r="AG155" s="153"/>
      <c r="AH155" s="153"/>
      <c r="AI155" s="153"/>
      <c r="AJ155" s="153"/>
      <c r="AK155" s="153"/>
      <c r="AL155" s="153"/>
      <c r="AM155" s="153"/>
      <c r="AN155" s="153"/>
      <c r="AO155" s="153"/>
      <c r="AP155" s="153"/>
      <c r="AQ155" s="153"/>
      <c r="AR155" s="153"/>
    </row>
    <row r="156" spans="1:44" ht="15.75" customHeight="1">
      <c r="A156" s="153"/>
      <c r="B156" s="153"/>
      <c r="C156" s="152"/>
      <c r="D156" s="152"/>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c r="AA156" s="153"/>
      <c r="AB156" s="153"/>
      <c r="AC156" s="153"/>
      <c r="AD156" s="153"/>
      <c r="AE156" s="153"/>
      <c r="AF156" s="153"/>
      <c r="AG156" s="153"/>
      <c r="AH156" s="153"/>
      <c r="AI156" s="153"/>
      <c r="AJ156" s="153"/>
      <c r="AK156" s="153"/>
      <c r="AL156" s="153"/>
      <c r="AM156" s="153"/>
      <c r="AN156" s="153"/>
      <c r="AO156" s="153"/>
      <c r="AP156" s="153"/>
      <c r="AQ156" s="153"/>
      <c r="AR156" s="153"/>
    </row>
    <row r="157" spans="1:44" ht="15.75" customHeight="1">
      <c r="A157" s="153"/>
      <c r="B157" s="153"/>
      <c r="C157" s="152"/>
      <c r="D157" s="152"/>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c r="AA157" s="153"/>
      <c r="AB157" s="153"/>
      <c r="AC157" s="153"/>
      <c r="AD157" s="153"/>
      <c r="AE157" s="153"/>
      <c r="AF157" s="153"/>
      <c r="AG157" s="153"/>
      <c r="AH157" s="153"/>
      <c r="AI157" s="153"/>
      <c r="AJ157" s="153"/>
      <c r="AK157" s="153"/>
      <c r="AL157" s="153"/>
      <c r="AM157" s="153"/>
      <c r="AN157" s="153"/>
      <c r="AO157" s="153"/>
      <c r="AP157" s="153"/>
      <c r="AQ157" s="153"/>
      <c r="AR157" s="153"/>
    </row>
    <row r="158" spans="1:44" ht="15.75" customHeight="1">
      <c r="A158" s="153"/>
      <c r="B158" s="153"/>
      <c r="C158" s="152"/>
      <c r="D158" s="152"/>
      <c r="E158" s="153"/>
      <c r="F158" s="153"/>
      <c r="G158" s="153"/>
      <c r="H158" s="153"/>
      <c r="I158" s="153"/>
      <c r="J158" s="153"/>
      <c r="K158" s="153"/>
      <c r="L158" s="153"/>
      <c r="M158" s="153"/>
      <c r="N158" s="153"/>
      <c r="O158" s="153"/>
      <c r="P158" s="153"/>
      <c r="Q158" s="153"/>
      <c r="R158" s="153"/>
      <c r="S158" s="153"/>
      <c r="T158" s="153"/>
      <c r="U158" s="153"/>
      <c r="V158" s="153"/>
      <c r="W158" s="153"/>
      <c r="X158" s="153"/>
      <c r="Y158" s="153"/>
      <c r="Z158" s="153"/>
      <c r="AA158" s="153"/>
      <c r="AB158" s="153"/>
      <c r="AC158" s="153"/>
      <c r="AD158" s="153"/>
      <c r="AE158" s="153"/>
      <c r="AF158" s="153"/>
      <c r="AG158" s="153"/>
      <c r="AH158" s="153"/>
      <c r="AI158" s="153"/>
      <c r="AJ158" s="153"/>
      <c r="AK158" s="153"/>
      <c r="AL158" s="153"/>
      <c r="AM158" s="153"/>
      <c r="AN158" s="153"/>
      <c r="AO158" s="153"/>
      <c r="AP158" s="153"/>
      <c r="AQ158" s="153"/>
      <c r="AR158" s="153"/>
    </row>
    <row r="159" spans="1:44" ht="15.75" customHeight="1">
      <c r="A159" s="153"/>
      <c r="B159" s="153"/>
      <c r="C159" s="152"/>
      <c r="D159" s="152"/>
      <c r="E159" s="153"/>
      <c r="F159" s="153"/>
      <c r="G159" s="153"/>
      <c r="H159" s="153"/>
      <c r="I159" s="153"/>
      <c r="J159" s="153"/>
      <c r="K159" s="153"/>
      <c r="L159" s="153"/>
      <c r="M159" s="153"/>
      <c r="N159" s="153"/>
      <c r="O159" s="153"/>
      <c r="P159" s="153"/>
      <c r="Q159" s="153"/>
      <c r="R159" s="153"/>
      <c r="S159" s="153"/>
      <c r="T159" s="153"/>
      <c r="U159" s="153"/>
      <c r="V159" s="153"/>
      <c r="W159" s="153"/>
      <c r="X159" s="153"/>
      <c r="Y159" s="153"/>
      <c r="Z159" s="153"/>
      <c r="AA159" s="153"/>
      <c r="AB159" s="153"/>
      <c r="AC159" s="153"/>
      <c r="AD159" s="153"/>
      <c r="AE159" s="153"/>
      <c r="AF159" s="153"/>
      <c r="AG159" s="153"/>
      <c r="AH159" s="153"/>
      <c r="AI159" s="153"/>
      <c r="AJ159" s="153"/>
      <c r="AK159" s="153"/>
      <c r="AL159" s="153"/>
      <c r="AM159" s="153"/>
      <c r="AN159" s="153"/>
      <c r="AO159" s="153"/>
      <c r="AP159" s="153"/>
      <c r="AQ159" s="153"/>
      <c r="AR159" s="153"/>
    </row>
    <row r="160" spans="1:44" ht="15.75" customHeight="1">
      <c r="A160" s="153"/>
      <c r="B160" s="153"/>
      <c r="C160" s="152"/>
      <c r="D160" s="152"/>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c r="AA160" s="153"/>
      <c r="AB160" s="153"/>
      <c r="AC160" s="153"/>
      <c r="AD160" s="153"/>
      <c r="AE160" s="153"/>
      <c r="AF160" s="153"/>
      <c r="AG160" s="153"/>
      <c r="AH160" s="153"/>
      <c r="AI160" s="153"/>
      <c r="AJ160" s="153"/>
      <c r="AK160" s="153"/>
      <c r="AL160" s="153"/>
      <c r="AM160" s="153"/>
      <c r="AN160" s="153"/>
      <c r="AO160" s="153"/>
      <c r="AP160" s="153"/>
      <c r="AQ160" s="153"/>
      <c r="AR160" s="153"/>
    </row>
    <row r="161" spans="1:44" ht="15.75" customHeight="1">
      <c r="A161" s="153"/>
      <c r="B161" s="153"/>
      <c r="C161" s="152"/>
      <c r="D161" s="152"/>
      <c r="E161" s="153"/>
      <c r="F161" s="153"/>
      <c r="G161" s="153"/>
      <c r="H161" s="153"/>
      <c r="I161" s="153"/>
      <c r="J161" s="153"/>
      <c r="K161" s="153"/>
      <c r="L161" s="153"/>
      <c r="M161" s="153"/>
      <c r="N161" s="153"/>
      <c r="O161" s="153"/>
      <c r="P161" s="153"/>
      <c r="Q161" s="153"/>
      <c r="R161" s="153"/>
      <c r="S161" s="153"/>
      <c r="T161" s="153"/>
      <c r="U161" s="153"/>
      <c r="V161" s="153"/>
      <c r="W161" s="153"/>
      <c r="X161" s="153"/>
      <c r="Y161" s="153"/>
      <c r="Z161" s="153"/>
      <c r="AA161" s="153"/>
      <c r="AB161" s="153"/>
      <c r="AC161" s="153"/>
      <c r="AD161" s="153"/>
      <c r="AE161" s="153"/>
      <c r="AF161" s="153"/>
      <c r="AG161" s="153"/>
      <c r="AH161" s="153"/>
      <c r="AI161" s="153"/>
      <c r="AJ161" s="153"/>
      <c r="AK161" s="153"/>
      <c r="AL161" s="153"/>
      <c r="AM161" s="153"/>
      <c r="AN161" s="153"/>
      <c r="AO161" s="153"/>
      <c r="AP161" s="153"/>
      <c r="AQ161" s="153"/>
      <c r="AR161" s="153"/>
    </row>
    <row r="162" spans="1:44" ht="15.75" customHeight="1">
      <c r="A162" s="153"/>
      <c r="B162" s="153"/>
      <c r="C162" s="152"/>
      <c r="D162" s="152"/>
      <c r="E162" s="153"/>
      <c r="F162" s="153"/>
      <c r="G162" s="153"/>
      <c r="H162" s="153"/>
      <c r="I162" s="153"/>
      <c r="J162" s="153"/>
      <c r="K162" s="153"/>
      <c r="L162" s="153"/>
      <c r="M162" s="153"/>
      <c r="N162" s="153"/>
      <c r="O162" s="153"/>
      <c r="P162" s="153"/>
      <c r="Q162" s="153"/>
      <c r="R162" s="153"/>
      <c r="S162" s="153"/>
      <c r="T162" s="153"/>
      <c r="U162" s="153"/>
      <c r="V162" s="153"/>
      <c r="W162" s="153"/>
      <c r="X162" s="153"/>
      <c r="Y162" s="153"/>
      <c r="Z162" s="153"/>
      <c r="AA162" s="153"/>
      <c r="AB162" s="153"/>
      <c r="AC162" s="153"/>
      <c r="AD162" s="153"/>
      <c r="AE162" s="153"/>
      <c r="AF162" s="153"/>
      <c r="AG162" s="153"/>
      <c r="AH162" s="153"/>
      <c r="AI162" s="153"/>
      <c r="AJ162" s="153"/>
      <c r="AK162" s="153"/>
      <c r="AL162" s="153"/>
      <c r="AM162" s="153"/>
      <c r="AN162" s="153"/>
      <c r="AO162" s="153"/>
      <c r="AP162" s="153"/>
      <c r="AQ162" s="153"/>
      <c r="AR162" s="153"/>
    </row>
    <row r="163" spans="1:44" ht="15.75" customHeight="1">
      <c r="A163" s="153"/>
      <c r="B163" s="153"/>
      <c r="C163" s="152"/>
      <c r="D163" s="152"/>
      <c r="E163" s="153"/>
      <c r="F163" s="153"/>
      <c r="G163" s="153"/>
      <c r="H163" s="153"/>
      <c r="I163" s="153"/>
      <c r="J163" s="153"/>
      <c r="K163" s="153"/>
      <c r="L163" s="153"/>
      <c r="M163" s="153"/>
      <c r="N163" s="153"/>
      <c r="O163" s="153"/>
      <c r="P163" s="153"/>
      <c r="Q163" s="153"/>
      <c r="R163" s="153"/>
      <c r="S163" s="153"/>
      <c r="T163" s="153"/>
      <c r="U163" s="153"/>
      <c r="V163" s="153"/>
      <c r="W163" s="153"/>
      <c r="X163" s="153"/>
      <c r="Y163" s="153"/>
      <c r="Z163" s="153"/>
      <c r="AA163" s="153"/>
      <c r="AB163" s="153"/>
      <c r="AC163" s="153"/>
      <c r="AD163" s="153"/>
      <c r="AE163" s="153"/>
      <c r="AF163" s="153"/>
      <c r="AG163" s="153"/>
      <c r="AH163" s="153"/>
      <c r="AI163" s="153"/>
      <c r="AJ163" s="153"/>
      <c r="AK163" s="153"/>
      <c r="AL163" s="153"/>
      <c r="AM163" s="153"/>
      <c r="AN163" s="153"/>
      <c r="AO163" s="153"/>
      <c r="AP163" s="153"/>
      <c r="AQ163" s="153"/>
      <c r="AR163" s="153"/>
    </row>
    <row r="164" spans="1:44" ht="15.75" customHeight="1">
      <c r="A164" s="153"/>
      <c r="B164" s="153"/>
      <c r="C164" s="152"/>
      <c r="D164" s="152"/>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c r="AA164" s="153"/>
      <c r="AB164" s="153"/>
      <c r="AC164" s="153"/>
      <c r="AD164" s="153"/>
      <c r="AE164" s="153"/>
      <c r="AF164" s="153"/>
      <c r="AG164" s="153"/>
      <c r="AH164" s="153"/>
      <c r="AI164" s="153"/>
      <c r="AJ164" s="153"/>
      <c r="AK164" s="153"/>
      <c r="AL164" s="153"/>
      <c r="AM164" s="153"/>
      <c r="AN164" s="153"/>
      <c r="AO164" s="153"/>
      <c r="AP164" s="153"/>
      <c r="AQ164" s="153"/>
      <c r="AR164" s="153"/>
    </row>
    <row r="165" spans="1:44" ht="15.75" customHeight="1">
      <c r="A165" s="153"/>
      <c r="B165" s="153"/>
      <c r="C165" s="152"/>
      <c r="D165" s="152"/>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c r="AA165" s="153"/>
      <c r="AB165" s="153"/>
      <c r="AC165" s="153"/>
      <c r="AD165" s="153"/>
      <c r="AE165" s="153"/>
      <c r="AF165" s="153"/>
      <c r="AG165" s="153"/>
      <c r="AH165" s="153"/>
      <c r="AI165" s="153"/>
      <c r="AJ165" s="153"/>
      <c r="AK165" s="153"/>
      <c r="AL165" s="153"/>
      <c r="AM165" s="153"/>
      <c r="AN165" s="153"/>
      <c r="AO165" s="153"/>
      <c r="AP165" s="153"/>
      <c r="AQ165" s="153"/>
      <c r="AR165" s="153"/>
    </row>
    <row r="166" spans="1:44" ht="15.75" customHeight="1">
      <c r="A166" s="153"/>
      <c r="B166" s="153"/>
      <c r="C166" s="152"/>
      <c r="D166" s="152"/>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c r="AA166" s="153"/>
      <c r="AB166" s="153"/>
      <c r="AC166" s="153"/>
      <c r="AD166" s="153"/>
      <c r="AE166" s="153"/>
      <c r="AF166" s="153"/>
      <c r="AG166" s="153"/>
      <c r="AH166" s="153"/>
      <c r="AI166" s="153"/>
      <c r="AJ166" s="153"/>
      <c r="AK166" s="153"/>
      <c r="AL166" s="153"/>
      <c r="AM166" s="153"/>
      <c r="AN166" s="153"/>
      <c r="AO166" s="153"/>
      <c r="AP166" s="153"/>
      <c r="AQ166" s="153"/>
      <c r="AR166" s="153"/>
    </row>
    <row r="167" spans="1:44" ht="15.75" customHeight="1">
      <c r="A167" s="153"/>
      <c r="B167" s="153"/>
      <c r="C167" s="152"/>
      <c r="D167" s="152"/>
      <c r="E167" s="153"/>
      <c r="F167" s="153"/>
      <c r="G167" s="153"/>
      <c r="H167" s="153"/>
      <c r="I167" s="153"/>
      <c r="J167" s="153"/>
      <c r="K167" s="153"/>
      <c r="L167" s="153"/>
      <c r="M167" s="153"/>
      <c r="N167" s="153"/>
      <c r="O167" s="153"/>
      <c r="P167" s="153"/>
      <c r="Q167" s="153"/>
      <c r="R167" s="153"/>
      <c r="S167" s="153"/>
      <c r="T167" s="153"/>
      <c r="U167" s="153"/>
      <c r="V167" s="153"/>
      <c r="W167" s="153"/>
      <c r="X167" s="153"/>
      <c r="Y167" s="153"/>
      <c r="Z167" s="153"/>
      <c r="AA167" s="153"/>
      <c r="AB167" s="153"/>
      <c r="AC167" s="153"/>
      <c r="AD167" s="153"/>
      <c r="AE167" s="153"/>
      <c r="AF167" s="153"/>
      <c r="AG167" s="153"/>
      <c r="AH167" s="153"/>
      <c r="AI167" s="153"/>
      <c r="AJ167" s="153"/>
      <c r="AK167" s="153"/>
      <c r="AL167" s="153"/>
      <c r="AM167" s="153"/>
      <c r="AN167" s="153"/>
      <c r="AO167" s="153"/>
      <c r="AP167" s="153"/>
      <c r="AQ167" s="153"/>
      <c r="AR167" s="153"/>
    </row>
    <row r="168" spans="1:44" ht="15.75" customHeight="1">
      <c r="A168" s="153"/>
      <c r="B168" s="153"/>
      <c r="C168" s="152"/>
      <c r="D168" s="152"/>
      <c r="E168" s="153"/>
      <c r="F168" s="153"/>
      <c r="G168" s="153"/>
      <c r="H168" s="153"/>
      <c r="I168" s="153"/>
      <c r="J168" s="153"/>
      <c r="K168" s="153"/>
      <c r="L168" s="153"/>
      <c r="M168" s="153"/>
      <c r="N168" s="153"/>
      <c r="O168" s="153"/>
      <c r="P168" s="153"/>
      <c r="Q168" s="153"/>
      <c r="R168" s="153"/>
      <c r="S168" s="153"/>
      <c r="T168" s="153"/>
      <c r="U168" s="153"/>
      <c r="V168" s="153"/>
      <c r="W168" s="153"/>
      <c r="X168" s="153"/>
      <c r="Y168" s="153"/>
      <c r="Z168" s="153"/>
      <c r="AA168" s="153"/>
      <c r="AB168" s="153"/>
      <c r="AC168" s="153"/>
      <c r="AD168" s="153"/>
      <c r="AE168" s="153"/>
      <c r="AF168" s="153"/>
      <c r="AG168" s="153"/>
      <c r="AH168" s="153"/>
      <c r="AI168" s="153"/>
      <c r="AJ168" s="153"/>
      <c r="AK168" s="153"/>
      <c r="AL168" s="153"/>
      <c r="AM168" s="153"/>
      <c r="AN168" s="153"/>
      <c r="AO168" s="153"/>
      <c r="AP168" s="153"/>
      <c r="AQ168" s="153"/>
      <c r="AR168" s="153"/>
    </row>
    <row r="169" spans="1:44" ht="15.75" customHeight="1">
      <c r="A169" s="153"/>
      <c r="B169" s="153"/>
      <c r="C169" s="152"/>
      <c r="D169" s="152"/>
      <c r="E169" s="153"/>
      <c r="F169" s="153"/>
      <c r="G169" s="153"/>
      <c r="H169" s="153"/>
      <c r="I169" s="153"/>
      <c r="J169" s="153"/>
      <c r="K169" s="153"/>
      <c r="L169" s="153"/>
      <c r="M169" s="153"/>
      <c r="N169" s="153"/>
      <c r="O169" s="153"/>
      <c r="P169" s="153"/>
      <c r="Q169" s="153"/>
      <c r="R169" s="153"/>
      <c r="S169" s="153"/>
      <c r="T169" s="153"/>
      <c r="U169" s="153"/>
      <c r="V169" s="153"/>
      <c r="W169" s="153"/>
      <c r="X169" s="153"/>
      <c r="Y169" s="153"/>
      <c r="Z169" s="153"/>
      <c r="AA169" s="153"/>
      <c r="AB169" s="153"/>
      <c r="AC169" s="153"/>
      <c r="AD169" s="153"/>
      <c r="AE169" s="153"/>
      <c r="AF169" s="153"/>
      <c r="AG169" s="153"/>
      <c r="AH169" s="153"/>
      <c r="AI169" s="153"/>
      <c r="AJ169" s="153"/>
      <c r="AK169" s="153"/>
      <c r="AL169" s="153"/>
      <c r="AM169" s="153"/>
      <c r="AN169" s="153"/>
      <c r="AO169" s="153"/>
      <c r="AP169" s="153"/>
      <c r="AQ169" s="153"/>
      <c r="AR169" s="153"/>
    </row>
    <row r="170" spans="1:44" ht="15.75" customHeight="1">
      <c r="A170" s="153"/>
      <c r="B170" s="153"/>
      <c r="C170" s="152"/>
      <c r="D170" s="152"/>
      <c r="E170" s="153"/>
      <c r="F170" s="153"/>
      <c r="G170" s="153"/>
      <c r="H170" s="153"/>
      <c r="I170" s="153"/>
      <c r="J170" s="153"/>
      <c r="K170" s="153"/>
      <c r="L170" s="153"/>
      <c r="M170" s="153"/>
      <c r="N170" s="153"/>
      <c r="O170" s="153"/>
      <c r="P170" s="153"/>
      <c r="Q170" s="153"/>
      <c r="R170" s="153"/>
      <c r="S170" s="153"/>
      <c r="T170" s="153"/>
      <c r="U170" s="153"/>
      <c r="V170" s="153"/>
      <c r="W170" s="153"/>
      <c r="X170" s="153"/>
      <c r="Y170" s="153"/>
      <c r="Z170" s="153"/>
      <c r="AA170" s="153"/>
      <c r="AB170" s="153"/>
      <c r="AC170" s="153"/>
      <c r="AD170" s="153"/>
      <c r="AE170" s="153"/>
      <c r="AF170" s="153"/>
      <c r="AG170" s="153"/>
      <c r="AH170" s="153"/>
      <c r="AI170" s="153"/>
      <c r="AJ170" s="153"/>
      <c r="AK170" s="153"/>
      <c r="AL170" s="153"/>
      <c r="AM170" s="153"/>
      <c r="AN170" s="153"/>
      <c r="AO170" s="153"/>
      <c r="AP170" s="153"/>
      <c r="AQ170" s="153"/>
      <c r="AR170" s="153"/>
    </row>
    <row r="171" spans="1:44" ht="15.75" customHeight="1">
      <c r="A171" s="153"/>
      <c r="B171" s="153"/>
      <c r="C171" s="152"/>
      <c r="D171" s="152"/>
      <c r="E171" s="153"/>
      <c r="F171" s="153"/>
      <c r="G171" s="153"/>
      <c r="H171" s="153"/>
      <c r="I171" s="153"/>
      <c r="J171" s="153"/>
      <c r="K171" s="153"/>
      <c r="L171" s="153"/>
      <c r="M171" s="153"/>
      <c r="N171" s="153"/>
      <c r="O171" s="153"/>
      <c r="P171" s="153"/>
      <c r="Q171" s="153"/>
      <c r="R171" s="153"/>
      <c r="S171" s="153"/>
      <c r="T171" s="153"/>
      <c r="U171" s="153"/>
      <c r="V171" s="153"/>
      <c r="W171" s="153"/>
      <c r="X171" s="153"/>
      <c r="Y171" s="153"/>
      <c r="Z171" s="153"/>
      <c r="AA171" s="153"/>
      <c r="AB171" s="153"/>
      <c r="AC171" s="153"/>
      <c r="AD171" s="153"/>
      <c r="AE171" s="153"/>
      <c r="AF171" s="153"/>
      <c r="AG171" s="153"/>
      <c r="AH171" s="153"/>
      <c r="AI171" s="153"/>
      <c r="AJ171" s="153"/>
      <c r="AK171" s="153"/>
      <c r="AL171" s="153"/>
      <c r="AM171" s="153"/>
      <c r="AN171" s="153"/>
      <c r="AO171" s="153"/>
      <c r="AP171" s="153"/>
      <c r="AQ171" s="153"/>
      <c r="AR171" s="153"/>
    </row>
    <row r="172" spans="1:44" ht="15.75" customHeight="1">
      <c r="A172" s="153"/>
      <c r="B172" s="153"/>
      <c r="C172" s="152"/>
      <c r="D172" s="152"/>
      <c r="E172" s="153"/>
      <c r="F172" s="153"/>
      <c r="G172" s="153"/>
      <c r="H172" s="153"/>
      <c r="I172" s="153"/>
      <c r="J172" s="153"/>
      <c r="K172" s="153"/>
      <c r="L172" s="153"/>
      <c r="M172" s="153"/>
      <c r="N172" s="153"/>
      <c r="O172" s="153"/>
      <c r="P172" s="153"/>
      <c r="Q172" s="153"/>
      <c r="R172" s="153"/>
      <c r="S172" s="153"/>
      <c r="T172" s="153"/>
      <c r="U172" s="153"/>
      <c r="V172" s="153"/>
      <c r="W172" s="153"/>
      <c r="X172" s="153"/>
      <c r="Y172" s="153"/>
      <c r="Z172" s="153"/>
      <c r="AA172" s="153"/>
      <c r="AB172" s="153"/>
      <c r="AC172" s="153"/>
      <c r="AD172" s="153"/>
      <c r="AE172" s="153"/>
      <c r="AF172" s="153"/>
      <c r="AG172" s="153"/>
      <c r="AH172" s="153"/>
      <c r="AI172" s="153"/>
      <c r="AJ172" s="153"/>
      <c r="AK172" s="153"/>
      <c r="AL172" s="153"/>
      <c r="AM172" s="153"/>
      <c r="AN172" s="153"/>
      <c r="AO172" s="153"/>
      <c r="AP172" s="153"/>
      <c r="AQ172" s="153"/>
      <c r="AR172" s="153"/>
    </row>
    <row r="173" spans="1:44" ht="15.75" customHeight="1">
      <c r="A173" s="153"/>
      <c r="B173" s="153"/>
      <c r="C173" s="152"/>
      <c r="D173" s="152"/>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c r="AA173" s="153"/>
      <c r="AB173" s="153"/>
      <c r="AC173" s="153"/>
      <c r="AD173" s="153"/>
      <c r="AE173" s="153"/>
      <c r="AF173" s="153"/>
      <c r="AG173" s="153"/>
      <c r="AH173" s="153"/>
      <c r="AI173" s="153"/>
      <c r="AJ173" s="153"/>
      <c r="AK173" s="153"/>
      <c r="AL173" s="153"/>
      <c r="AM173" s="153"/>
      <c r="AN173" s="153"/>
      <c r="AO173" s="153"/>
      <c r="AP173" s="153"/>
      <c r="AQ173" s="153"/>
      <c r="AR173" s="153"/>
    </row>
    <row r="174" spans="1:44" ht="15.75" customHeight="1">
      <c r="A174" s="153"/>
      <c r="B174" s="153"/>
      <c r="C174" s="152"/>
      <c r="D174" s="152"/>
      <c r="E174" s="153"/>
      <c r="F174" s="153"/>
      <c r="G174" s="153"/>
      <c r="H174" s="153"/>
      <c r="I174" s="153"/>
      <c r="J174" s="153"/>
      <c r="K174" s="153"/>
      <c r="L174" s="153"/>
      <c r="M174" s="153"/>
      <c r="N174" s="153"/>
      <c r="O174" s="153"/>
      <c r="P174" s="153"/>
      <c r="Q174" s="153"/>
      <c r="R174" s="153"/>
      <c r="S174" s="153"/>
      <c r="T174" s="153"/>
      <c r="U174" s="153"/>
      <c r="V174" s="153"/>
      <c r="W174" s="153"/>
      <c r="X174" s="153"/>
      <c r="Y174" s="153"/>
      <c r="Z174" s="153"/>
      <c r="AA174" s="153"/>
      <c r="AB174" s="153"/>
      <c r="AC174" s="153"/>
      <c r="AD174" s="153"/>
      <c r="AE174" s="153"/>
      <c r="AF174" s="153"/>
      <c r="AG174" s="153"/>
      <c r="AH174" s="153"/>
      <c r="AI174" s="153"/>
      <c r="AJ174" s="153"/>
      <c r="AK174" s="153"/>
      <c r="AL174" s="153"/>
      <c r="AM174" s="153"/>
      <c r="AN174" s="153"/>
      <c r="AO174" s="153"/>
      <c r="AP174" s="153"/>
      <c r="AQ174" s="153"/>
      <c r="AR174" s="153"/>
    </row>
    <row r="175" spans="1:44" ht="15.75" customHeight="1">
      <c r="A175" s="153"/>
      <c r="B175" s="153"/>
      <c r="C175" s="152"/>
      <c r="D175" s="152"/>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c r="AA175" s="153"/>
      <c r="AB175" s="153"/>
      <c r="AC175" s="153"/>
      <c r="AD175" s="153"/>
      <c r="AE175" s="153"/>
      <c r="AF175" s="153"/>
      <c r="AG175" s="153"/>
      <c r="AH175" s="153"/>
      <c r="AI175" s="153"/>
      <c r="AJ175" s="153"/>
      <c r="AK175" s="153"/>
      <c r="AL175" s="153"/>
      <c r="AM175" s="153"/>
      <c r="AN175" s="153"/>
      <c r="AO175" s="153"/>
      <c r="AP175" s="153"/>
      <c r="AQ175" s="153"/>
      <c r="AR175" s="153"/>
    </row>
    <row r="176" spans="1:44" ht="15.75" customHeight="1">
      <c r="A176" s="153"/>
      <c r="B176" s="153"/>
      <c r="C176" s="152"/>
      <c r="D176" s="152"/>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c r="AA176" s="153"/>
      <c r="AB176" s="153"/>
      <c r="AC176" s="153"/>
      <c r="AD176" s="153"/>
      <c r="AE176" s="153"/>
      <c r="AF176" s="153"/>
      <c r="AG176" s="153"/>
      <c r="AH176" s="153"/>
      <c r="AI176" s="153"/>
      <c r="AJ176" s="153"/>
      <c r="AK176" s="153"/>
      <c r="AL176" s="153"/>
      <c r="AM176" s="153"/>
      <c r="AN176" s="153"/>
      <c r="AO176" s="153"/>
      <c r="AP176" s="153"/>
      <c r="AQ176" s="153"/>
      <c r="AR176" s="153"/>
    </row>
    <row r="177" spans="1:44" ht="15.75" customHeight="1">
      <c r="A177" s="153"/>
      <c r="B177" s="153"/>
      <c r="C177" s="152"/>
      <c r="D177" s="152"/>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53"/>
      <c r="AA177" s="153"/>
      <c r="AB177" s="153"/>
      <c r="AC177" s="153"/>
      <c r="AD177" s="153"/>
      <c r="AE177" s="153"/>
      <c r="AF177" s="153"/>
      <c r="AG177" s="153"/>
      <c r="AH177" s="153"/>
      <c r="AI177" s="153"/>
      <c r="AJ177" s="153"/>
      <c r="AK177" s="153"/>
      <c r="AL177" s="153"/>
      <c r="AM177" s="153"/>
      <c r="AN177" s="153"/>
      <c r="AO177" s="153"/>
      <c r="AP177" s="153"/>
      <c r="AQ177" s="153"/>
      <c r="AR177" s="153"/>
    </row>
    <row r="178" spans="1:44" ht="15.75" customHeight="1">
      <c r="A178" s="153"/>
      <c r="B178" s="153"/>
      <c r="C178" s="152"/>
      <c r="D178" s="152"/>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c r="AA178" s="153"/>
      <c r="AB178" s="153"/>
      <c r="AC178" s="153"/>
      <c r="AD178" s="153"/>
      <c r="AE178" s="153"/>
      <c r="AF178" s="153"/>
      <c r="AG178" s="153"/>
      <c r="AH178" s="153"/>
      <c r="AI178" s="153"/>
      <c r="AJ178" s="153"/>
      <c r="AK178" s="153"/>
      <c r="AL178" s="153"/>
      <c r="AM178" s="153"/>
      <c r="AN178" s="153"/>
      <c r="AO178" s="153"/>
      <c r="AP178" s="153"/>
      <c r="AQ178" s="153"/>
      <c r="AR178" s="153"/>
    </row>
    <row r="179" spans="1:44" ht="15.75" customHeight="1">
      <c r="A179" s="153"/>
      <c r="B179" s="153"/>
      <c r="C179" s="152"/>
      <c r="D179" s="152"/>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c r="AA179" s="153"/>
      <c r="AB179" s="153"/>
      <c r="AC179" s="153"/>
      <c r="AD179" s="153"/>
      <c r="AE179" s="153"/>
      <c r="AF179" s="153"/>
      <c r="AG179" s="153"/>
      <c r="AH179" s="153"/>
      <c r="AI179" s="153"/>
      <c r="AJ179" s="153"/>
      <c r="AK179" s="153"/>
      <c r="AL179" s="153"/>
      <c r="AM179" s="153"/>
      <c r="AN179" s="153"/>
      <c r="AO179" s="153"/>
      <c r="AP179" s="153"/>
      <c r="AQ179" s="153"/>
      <c r="AR179" s="153"/>
    </row>
    <row r="180" spans="1:44" ht="15.75" customHeight="1">
      <c r="A180" s="153"/>
      <c r="B180" s="153"/>
      <c r="C180" s="152"/>
      <c r="D180" s="152"/>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c r="AA180" s="153"/>
      <c r="AB180" s="153"/>
      <c r="AC180" s="153"/>
      <c r="AD180" s="153"/>
      <c r="AE180" s="153"/>
      <c r="AF180" s="153"/>
      <c r="AG180" s="153"/>
      <c r="AH180" s="153"/>
      <c r="AI180" s="153"/>
      <c r="AJ180" s="153"/>
      <c r="AK180" s="153"/>
      <c r="AL180" s="153"/>
      <c r="AM180" s="153"/>
      <c r="AN180" s="153"/>
      <c r="AO180" s="153"/>
      <c r="AP180" s="153"/>
      <c r="AQ180" s="153"/>
      <c r="AR180" s="153"/>
    </row>
    <row r="181" spans="1:44" ht="15.75" customHeight="1">
      <c r="A181" s="153"/>
      <c r="B181" s="153"/>
      <c r="C181" s="152"/>
      <c r="D181" s="152"/>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c r="AA181" s="153"/>
      <c r="AB181" s="153"/>
      <c r="AC181" s="153"/>
      <c r="AD181" s="153"/>
      <c r="AE181" s="153"/>
      <c r="AF181" s="153"/>
      <c r="AG181" s="153"/>
      <c r="AH181" s="153"/>
      <c r="AI181" s="153"/>
      <c r="AJ181" s="153"/>
      <c r="AK181" s="153"/>
      <c r="AL181" s="153"/>
      <c r="AM181" s="153"/>
      <c r="AN181" s="153"/>
      <c r="AO181" s="153"/>
      <c r="AP181" s="153"/>
      <c r="AQ181" s="153"/>
      <c r="AR181" s="153"/>
    </row>
    <row r="182" spans="1:44" ht="15.75" customHeight="1">
      <c r="A182" s="153"/>
      <c r="B182" s="153"/>
      <c r="C182" s="152"/>
      <c r="D182" s="152"/>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c r="AA182" s="153"/>
      <c r="AB182" s="153"/>
      <c r="AC182" s="153"/>
      <c r="AD182" s="153"/>
      <c r="AE182" s="153"/>
      <c r="AF182" s="153"/>
      <c r="AG182" s="153"/>
      <c r="AH182" s="153"/>
      <c r="AI182" s="153"/>
      <c r="AJ182" s="153"/>
      <c r="AK182" s="153"/>
      <c r="AL182" s="153"/>
      <c r="AM182" s="153"/>
      <c r="AN182" s="153"/>
      <c r="AO182" s="153"/>
      <c r="AP182" s="153"/>
      <c r="AQ182" s="153"/>
      <c r="AR182" s="153"/>
    </row>
    <row r="183" spans="1:44" ht="15.75" customHeight="1">
      <c r="A183" s="153"/>
      <c r="B183" s="153"/>
      <c r="C183" s="152"/>
      <c r="D183" s="152"/>
      <c r="E183" s="153"/>
      <c r="F183" s="153"/>
      <c r="G183" s="153"/>
      <c r="H183" s="153"/>
      <c r="I183" s="153"/>
      <c r="J183" s="153"/>
      <c r="K183" s="153"/>
      <c r="L183" s="153"/>
      <c r="M183" s="153"/>
      <c r="N183" s="153"/>
      <c r="O183" s="153"/>
      <c r="P183" s="153"/>
      <c r="Q183" s="153"/>
      <c r="R183" s="153"/>
      <c r="S183" s="153"/>
      <c r="T183" s="153"/>
      <c r="U183" s="153"/>
      <c r="V183" s="153"/>
      <c r="W183" s="153"/>
      <c r="X183" s="153"/>
      <c r="Y183" s="153"/>
      <c r="Z183" s="153"/>
      <c r="AA183" s="153"/>
      <c r="AB183" s="153"/>
      <c r="AC183" s="153"/>
      <c r="AD183" s="153"/>
      <c r="AE183" s="153"/>
      <c r="AF183" s="153"/>
      <c r="AG183" s="153"/>
      <c r="AH183" s="153"/>
      <c r="AI183" s="153"/>
      <c r="AJ183" s="153"/>
      <c r="AK183" s="153"/>
      <c r="AL183" s="153"/>
      <c r="AM183" s="153"/>
      <c r="AN183" s="153"/>
      <c r="AO183" s="153"/>
      <c r="AP183" s="153"/>
      <c r="AQ183" s="153"/>
      <c r="AR183" s="153"/>
    </row>
    <row r="184" spans="1:44" ht="15.75" customHeight="1">
      <c r="A184" s="153"/>
      <c r="B184" s="153"/>
      <c r="C184" s="152"/>
      <c r="D184" s="152"/>
      <c r="E184" s="153"/>
      <c r="F184" s="153"/>
      <c r="G184" s="153"/>
      <c r="H184" s="153"/>
      <c r="I184" s="153"/>
      <c r="J184" s="153"/>
      <c r="K184" s="153"/>
      <c r="L184" s="153"/>
      <c r="M184" s="153"/>
      <c r="N184" s="153"/>
      <c r="O184" s="153"/>
      <c r="P184" s="153"/>
      <c r="Q184" s="153"/>
      <c r="R184" s="153"/>
      <c r="S184" s="153"/>
      <c r="T184" s="153"/>
      <c r="U184" s="153"/>
      <c r="V184" s="153"/>
      <c r="W184" s="153"/>
      <c r="X184" s="153"/>
      <c r="Y184" s="153"/>
      <c r="Z184" s="153"/>
      <c r="AA184" s="153"/>
      <c r="AB184" s="153"/>
      <c r="AC184" s="153"/>
      <c r="AD184" s="153"/>
      <c r="AE184" s="153"/>
      <c r="AF184" s="153"/>
      <c r="AG184" s="153"/>
      <c r="AH184" s="153"/>
      <c r="AI184" s="153"/>
      <c r="AJ184" s="153"/>
      <c r="AK184" s="153"/>
      <c r="AL184" s="153"/>
      <c r="AM184" s="153"/>
      <c r="AN184" s="153"/>
      <c r="AO184" s="153"/>
      <c r="AP184" s="153"/>
      <c r="AQ184" s="153"/>
      <c r="AR184" s="153"/>
    </row>
    <row r="185" spans="1:44" ht="15.75" customHeight="1">
      <c r="A185" s="153"/>
      <c r="B185" s="153"/>
      <c r="C185" s="152"/>
      <c r="D185" s="152"/>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53"/>
      <c r="AA185" s="153"/>
      <c r="AB185" s="153"/>
      <c r="AC185" s="153"/>
      <c r="AD185" s="153"/>
      <c r="AE185" s="153"/>
      <c r="AF185" s="153"/>
      <c r="AG185" s="153"/>
      <c r="AH185" s="153"/>
      <c r="AI185" s="153"/>
      <c r="AJ185" s="153"/>
      <c r="AK185" s="153"/>
      <c r="AL185" s="153"/>
      <c r="AM185" s="153"/>
      <c r="AN185" s="153"/>
      <c r="AO185" s="153"/>
      <c r="AP185" s="153"/>
      <c r="AQ185" s="153"/>
      <c r="AR185" s="153"/>
    </row>
    <row r="186" spans="1:44" ht="15.75" customHeight="1">
      <c r="A186" s="153"/>
      <c r="B186" s="153"/>
      <c r="C186" s="152"/>
      <c r="D186" s="152"/>
      <c r="E186" s="153"/>
      <c r="F186" s="153"/>
      <c r="G186" s="153"/>
      <c r="H186" s="153"/>
      <c r="I186" s="153"/>
      <c r="J186" s="153"/>
      <c r="K186" s="153"/>
      <c r="L186" s="153"/>
      <c r="M186" s="153"/>
      <c r="N186" s="153"/>
      <c r="O186" s="153"/>
      <c r="P186" s="153"/>
      <c r="Q186" s="153"/>
      <c r="R186" s="153"/>
      <c r="S186" s="153"/>
      <c r="T186" s="153"/>
      <c r="U186" s="153"/>
      <c r="V186" s="153"/>
      <c r="W186" s="153"/>
      <c r="X186" s="153"/>
      <c r="Y186" s="153"/>
      <c r="Z186" s="153"/>
      <c r="AA186" s="153"/>
      <c r="AB186" s="153"/>
      <c r="AC186" s="153"/>
      <c r="AD186" s="153"/>
      <c r="AE186" s="153"/>
      <c r="AF186" s="153"/>
      <c r="AG186" s="153"/>
      <c r="AH186" s="153"/>
      <c r="AI186" s="153"/>
      <c r="AJ186" s="153"/>
      <c r="AK186" s="153"/>
      <c r="AL186" s="153"/>
      <c r="AM186" s="153"/>
      <c r="AN186" s="153"/>
      <c r="AO186" s="153"/>
      <c r="AP186" s="153"/>
      <c r="AQ186" s="153"/>
      <c r="AR186" s="153"/>
    </row>
    <row r="187" spans="1:44" ht="15.75" customHeight="1">
      <c r="A187" s="153"/>
      <c r="B187" s="153"/>
      <c r="C187" s="152"/>
      <c r="D187" s="152"/>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c r="AA187" s="153"/>
      <c r="AB187" s="153"/>
      <c r="AC187" s="153"/>
      <c r="AD187" s="153"/>
      <c r="AE187" s="153"/>
      <c r="AF187" s="153"/>
      <c r="AG187" s="153"/>
      <c r="AH187" s="153"/>
      <c r="AI187" s="153"/>
      <c r="AJ187" s="153"/>
      <c r="AK187" s="153"/>
      <c r="AL187" s="153"/>
      <c r="AM187" s="153"/>
      <c r="AN187" s="153"/>
      <c r="AO187" s="153"/>
      <c r="AP187" s="153"/>
      <c r="AQ187" s="153"/>
      <c r="AR187" s="153"/>
    </row>
    <row r="188" spans="1:44" ht="15.75" customHeight="1">
      <c r="A188" s="153"/>
      <c r="B188" s="153"/>
      <c r="C188" s="152"/>
      <c r="D188" s="152"/>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c r="AA188" s="153"/>
      <c r="AB188" s="153"/>
      <c r="AC188" s="153"/>
      <c r="AD188" s="153"/>
      <c r="AE188" s="153"/>
      <c r="AF188" s="153"/>
      <c r="AG188" s="153"/>
      <c r="AH188" s="153"/>
      <c r="AI188" s="153"/>
      <c r="AJ188" s="153"/>
      <c r="AK188" s="153"/>
      <c r="AL188" s="153"/>
      <c r="AM188" s="153"/>
      <c r="AN188" s="153"/>
      <c r="AO188" s="153"/>
      <c r="AP188" s="153"/>
      <c r="AQ188" s="153"/>
      <c r="AR188" s="153"/>
    </row>
    <row r="189" spans="1:44" ht="15.75" customHeight="1">
      <c r="A189" s="153"/>
      <c r="B189" s="153"/>
      <c r="C189" s="152"/>
      <c r="D189" s="152"/>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c r="AA189" s="153"/>
      <c r="AB189" s="153"/>
      <c r="AC189" s="153"/>
      <c r="AD189" s="153"/>
      <c r="AE189" s="153"/>
      <c r="AF189" s="153"/>
      <c r="AG189" s="153"/>
      <c r="AH189" s="153"/>
      <c r="AI189" s="153"/>
      <c r="AJ189" s="153"/>
      <c r="AK189" s="153"/>
      <c r="AL189" s="153"/>
      <c r="AM189" s="153"/>
      <c r="AN189" s="153"/>
      <c r="AO189" s="153"/>
      <c r="AP189" s="153"/>
      <c r="AQ189" s="153"/>
      <c r="AR189" s="153"/>
    </row>
    <row r="190" spans="1:44" ht="15.75" customHeight="1">
      <c r="A190" s="153"/>
      <c r="B190" s="153"/>
      <c r="C190" s="152"/>
      <c r="D190" s="152"/>
      <c r="E190" s="153"/>
      <c r="F190" s="153"/>
      <c r="G190" s="153"/>
      <c r="H190" s="153"/>
      <c r="I190" s="153"/>
      <c r="J190" s="153"/>
      <c r="K190" s="153"/>
      <c r="L190" s="153"/>
      <c r="M190" s="153"/>
      <c r="N190" s="153"/>
      <c r="O190" s="153"/>
      <c r="P190" s="153"/>
      <c r="Q190" s="153"/>
      <c r="R190" s="153"/>
      <c r="S190" s="153"/>
      <c r="T190" s="153"/>
      <c r="U190" s="153"/>
      <c r="V190" s="153"/>
      <c r="W190" s="153"/>
      <c r="X190" s="153"/>
      <c r="Y190" s="153"/>
      <c r="Z190" s="153"/>
      <c r="AA190" s="153"/>
      <c r="AB190" s="153"/>
      <c r="AC190" s="153"/>
      <c r="AD190" s="153"/>
      <c r="AE190" s="153"/>
      <c r="AF190" s="153"/>
      <c r="AG190" s="153"/>
      <c r="AH190" s="153"/>
      <c r="AI190" s="153"/>
      <c r="AJ190" s="153"/>
      <c r="AK190" s="153"/>
      <c r="AL190" s="153"/>
      <c r="AM190" s="153"/>
      <c r="AN190" s="153"/>
      <c r="AO190" s="153"/>
      <c r="AP190" s="153"/>
      <c r="AQ190" s="153"/>
      <c r="AR190" s="153"/>
    </row>
    <row r="191" spans="1:44" ht="15.75" customHeight="1">
      <c r="A191" s="153"/>
      <c r="B191" s="153"/>
      <c r="C191" s="152"/>
      <c r="D191" s="152"/>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c r="AA191" s="153"/>
      <c r="AB191" s="153"/>
      <c r="AC191" s="153"/>
      <c r="AD191" s="153"/>
      <c r="AE191" s="153"/>
      <c r="AF191" s="153"/>
      <c r="AG191" s="153"/>
      <c r="AH191" s="153"/>
      <c r="AI191" s="153"/>
      <c r="AJ191" s="153"/>
      <c r="AK191" s="153"/>
      <c r="AL191" s="153"/>
      <c r="AM191" s="153"/>
      <c r="AN191" s="153"/>
      <c r="AO191" s="153"/>
      <c r="AP191" s="153"/>
      <c r="AQ191" s="153"/>
      <c r="AR191" s="153"/>
    </row>
    <row r="192" spans="1:44" ht="15.75" customHeight="1">
      <c r="A192" s="153"/>
      <c r="B192" s="153"/>
      <c r="C192" s="152"/>
      <c r="D192" s="152"/>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c r="AA192" s="153"/>
      <c r="AB192" s="153"/>
      <c r="AC192" s="153"/>
      <c r="AD192" s="153"/>
      <c r="AE192" s="153"/>
      <c r="AF192" s="153"/>
      <c r="AG192" s="153"/>
      <c r="AH192" s="153"/>
      <c r="AI192" s="153"/>
      <c r="AJ192" s="153"/>
      <c r="AK192" s="153"/>
      <c r="AL192" s="153"/>
      <c r="AM192" s="153"/>
      <c r="AN192" s="153"/>
      <c r="AO192" s="153"/>
      <c r="AP192" s="153"/>
      <c r="AQ192" s="153"/>
      <c r="AR192" s="153"/>
    </row>
    <row r="193" spans="1:44" ht="15.75" customHeight="1">
      <c r="A193" s="153"/>
      <c r="B193" s="153"/>
      <c r="C193" s="152"/>
      <c r="D193" s="152"/>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c r="AA193" s="153"/>
      <c r="AB193" s="153"/>
      <c r="AC193" s="153"/>
      <c r="AD193" s="153"/>
      <c r="AE193" s="153"/>
      <c r="AF193" s="153"/>
      <c r="AG193" s="153"/>
      <c r="AH193" s="153"/>
      <c r="AI193" s="153"/>
      <c r="AJ193" s="153"/>
      <c r="AK193" s="153"/>
      <c r="AL193" s="153"/>
      <c r="AM193" s="153"/>
      <c r="AN193" s="153"/>
      <c r="AO193" s="153"/>
      <c r="AP193" s="153"/>
      <c r="AQ193" s="153"/>
      <c r="AR193" s="153"/>
    </row>
    <row r="194" spans="1:44" ht="15.75" customHeight="1">
      <c r="A194" s="153"/>
      <c r="B194" s="153"/>
      <c r="C194" s="152"/>
      <c r="D194" s="152"/>
      <c r="E194" s="153"/>
      <c r="F194" s="153"/>
      <c r="G194" s="153"/>
      <c r="H194" s="153"/>
      <c r="I194" s="153"/>
      <c r="J194" s="153"/>
      <c r="K194" s="153"/>
      <c r="L194" s="153"/>
      <c r="M194" s="153"/>
      <c r="N194" s="153"/>
      <c r="O194" s="153"/>
      <c r="P194" s="153"/>
      <c r="Q194" s="153"/>
      <c r="R194" s="153"/>
      <c r="S194" s="153"/>
      <c r="T194" s="153"/>
      <c r="U194" s="153"/>
      <c r="V194" s="153"/>
      <c r="W194" s="153"/>
      <c r="X194" s="153"/>
      <c r="Y194" s="153"/>
      <c r="Z194" s="153"/>
      <c r="AA194" s="153"/>
      <c r="AB194" s="153"/>
      <c r="AC194" s="153"/>
      <c r="AD194" s="153"/>
      <c r="AE194" s="153"/>
      <c r="AF194" s="153"/>
      <c r="AG194" s="153"/>
      <c r="AH194" s="153"/>
      <c r="AI194" s="153"/>
      <c r="AJ194" s="153"/>
      <c r="AK194" s="153"/>
      <c r="AL194" s="153"/>
      <c r="AM194" s="153"/>
      <c r="AN194" s="153"/>
      <c r="AO194" s="153"/>
      <c r="AP194" s="153"/>
      <c r="AQ194" s="153"/>
      <c r="AR194" s="153"/>
    </row>
    <row r="195" spans="1:44" ht="15.75" customHeight="1">
      <c r="A195" s="153"/>
      <c r="B195" s="153"/>
      <c r="C195" s="152"/>
      <c r="D195" s="152"/>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c r="AA195" s="153"/>
      <c r="AB195" s="153"/>
      <c r="AC195" s="153"/>
      <c r="AD195" s="153"/>
      <c r="AE195" s="153"/>
      <c r="AF195" s="153"/>
      <c r="AG195" s="153"/>
      <c r="AH195" s="153"/>
      <c r="AI195" s="153"/>
      <c r="AJ195" s="153"/>
      <c r="AK195" s="153"/>
      <c r="AL195" s="153"/>
      <c r="AM195" s="153"/>
      <c r="AN195" s="153"/>
      <c r="AO195" s="153"/>
      <c r="AP195" s="153"/>
      <c r="AQ195" s="153"/>
      <c r="AR195" s="153"/>
    </row>
    <row r="196" spans="1:44" ht="15.75" customHeight="1">
      <c r="A196" s="153"/>
      <c r="B196" s="153"/>
      <c r="C196" s="152"/>
      <c r="D196" s="152"/>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c r="AA196" s="153"/>
      <c r="AB196" s="153"/>
      <c r="AC196" s="153"/>
      <c r="AD196" s="153"/>
      <c r="AE196" s="153"/>
      <c r="AF196" s="153"/>
      <c r="AG196" s="153"/>
      <c r="AH196" s="153"/>
      <c r="AI196" s="153"/>
      <c r="AJ196" s="153"/>
      <c r="AK196" s="153"/>
      <c r="AL196" s="153"/>
      <c r="AM196" s="153"/>
      <c r="AN196" s="153"/>
      <c r="AO196" s="153"/>
      <c r="AP196" s="153"/>
      <c r="AQ196" s="153"/>
      <c r="AR196" s="153"/>
    </row>
    <row r="197" spans="1:44" ht="15.75" customHeight="1">
      <c r="A197" s="153"/>
      <c r="B197" s="153"/>
      <c r="C197" s="152"/>
      <c r="D197" s="152"/>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c r="AA197" s="153"/>
      <c r="AB197" s="153"/>
      <c r="AC197" s="153"/>
      <c r="AD197" s="153"/>
      <c r="AE197" s="153"/>
      <c r="AF197" s="153"/>
      <c r="AG197" s="153"/>
      <c r="AH197" s="153"/>
      <c r="AI197" s="153"/>
      <c r="AJ197" s="153"/>
      <c r="AK197" s="153"/>
      <c r="AL197" s="153"/>
      <c r="AM197" s="153"/>
      <c r="AN197" s="153"/>
      <c r="AO197" s="153"/>
      <c r="AP197" s="153"/>
      <c r="AQ197" s="153"/>
      <c r="AR197" s="153"/>
    </row>
    <row r="198" spans="1:44" ht="15.75" customHeight="1">
      <c r="A198" s="153"/>
      <c r="B198" s="153"/>
      <c r="C198" s="152"/>
      <c r="D198" s="152"/>
      <c r="E198" s="153"/>
      <c r="F198" s="153"/>
      <c r="G198" s="153"/>
      <c r="H198" s="153"/>
      <c r="I198" s="153"/>
      <c r="J198" s="153"/>
      <c r="K198" s="153"/>
      <c r="L198" s="153"/>
      <c r="M198" s="153"/>
      <c r="N198" s="153"/>
      <c r="O198" s="153"/>
      <c r="P198" s="153"/>
      <c r="Q198" s="153"/>
      <c r="R198" s="153"/>
      <c r="S198" s="153"/>
      <c r="T198" s="153"/>
      <c r="U198" s="153"/>
      <c r="V198" s="153"/>
      <c r="W198" s="153"/>
      <c r="X198" s="153"/>
      <c r="Y198" s="153"/>
      <c r="Z198" s="153"/>
      <c r="AA198" s="153"/>
      <c r="AB198" s="153"/>
      <c r="AC198" s="153"/>
      <c r="AD198" s="153"/>
      <c r="AE198" s="153"/>
      <c r="AF198" s="153"/>
      <c r="AG198" s="153"/>
      <c r="AH198" s="153"/>
      <c r="AI198" s="153"/>
      <c r="AJ198" s="153"/>
      <c r="AK198" s="153"/>
      <c r="AL198" s="153"/>
      <c r="AM198" s="153"/>
      <c r="AN198" s="153"/>
      <c r="AO198" s="153"/>
      <c r="AP198" s="153"/>
      <c r="AQ198" s="153"/>
      <c r="AR198" s="153"/>
    </row>
    <row r="199" spans="1:44" ht="15.75" customHeight="1">
      <c r="A199" s="153"/>
      <c r="B199" s="153"/>
      <c r="C199" s="152"/>
      <c r="D199" s="152"/>
      <c r="E199" s="153"/>
      <c r="F199" s="153"/>
      <c r="G199" s="153"/>
      <c r="H199" s="153"/>
      <c r="I199" s="153"/>
      <c r="J199" s="153"/>
      <c r="K199" s="153"/>
      <c r="L199" s="153"/>
      <c r="M199" s="153"/>
      <c r="N199" s="153"/>
      <c r="O199" s="153"/>
      <c r="P199" s="153"/>
      <c r="Q199" s="153"/>
      <c r="R199" s="153"/>
      <c r="S199" s="153"/>
      <c r="T199" s="153"/>
      <c r="U199" s="153"/>
      <c r="V199" s="153"/>
      <c r="W199" s="153"/>
      <c r="X199" s="153"/>
      <c r="Y199" s="153"/>
      <c r="Z199" s="153"/>
      <c r="AA199" s="153"/>
      <c r="AB199" s="153"/>
      <c r="AC199" s="153"/>
      <c r="AD199" s="153"/>
      <c r="AE199" s="153"/>
      <c r="AF199" s="153"/>
      <c r="AG199" s="153"/>
      <c r="AH199" s="153"/>
      <c r="AI199" s="153"/>
      <c r="AJ199" s="153"/>
      <c r="AK199" s="153"/>
      <c r="AL199" s="153"/>
      <c r="AM199" s="153"/>
      <c r="AN199" s="153"/>
      <c r="AO199" s="153"/>
      <c r="AP199" s="153"/>
      <c r="AQ199" s="153"/>
      <c r="AR199" s="153"/>
    </row>
    <row r="200" spans="1:44" ht="15.75" customHeight="1">
      <c r="A200" s="153"/>
      <c r="B200" s="153"/>
      <c r="C200" s="152"/>
      <c r="D200" s="152"/>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c r="AA200" s="153"/>
      <c r="AB200" s="153"/>
      <c r="AC200" s="153"/>
      <c r="AD200" s="153"/>
      <c r="AE200" s="153"/>
      <c r="AF200" s="153"/>
      <c r="AG200" s="153"/>
      <c r="AH200" s="153"/>
      <c r="AI200" s="153"/>
      <c r="AJ200" s="153"/>
      <c r="AK200" s="153"/>
      <c r="AL200" s="153"/>
      <c r="AM200" s="153"/>
      <c r="AN200" s="153"/>
      <c r="AO200" s="153"/>
      <c r="AP200" s="153"/>
      <c r="AQ200" s="153"/>
      <c r="AR200" s="153"/>
    </row>
    <row r="201" spans="1:44" ht="15.75" customHeight="1">
      <c r="A201" s="153"/>
      <c r="B201" s="153"/>
      <c r="C201" s="152"/>
      <c r="D201" s="152"/>
      <c r="E201" s="153"/>
      <c r="F201" s="153"/>
      <c r="G201" s="153"/>
      <c r="H201" s="153"/>
      <c r="I201" s="153"/>
      <c r="J201" s="153"/>
      <c r="K201" s="153"/>
      <c r="L201" s="153"/>
      <c r="M201" s="153"/>
      <c r="N201" s="153"/>
      <c r="O201" s="153"/>
      <c r="P201" s="153"/>
      <c r="Q201" s="153"/>
      <c r="R201" s="153"/>
      <c r="S201" s="153"/>
      <c r="T201" s="153"/>
      <c r="U201" s="153"/>
      <c r="V201" s="153"/>
      <c r="W201" s="153"/>
      <c r="X201" s="153"/>
      <c r="Y201" s="153"/>
      <c r="Z201" s="153"/>
      <c r="AA201" s="153"/>
      <c r="AB201" s="153"/>
      <c r="AC201" s="153"/>
      <c r="AD201" s="153"/>
      <c r="AE201" s="153"/>
      <c r="AF201" s="153"/>
      <c r="AG201" s="153"/>
      <c r="AH201" s="153"/>
      <c r="AI201" s="153"/>
      <c r="AJ201" s="153"/>
      <c r="AK201" s="153"/>
      <c r="AL201" s="153"/>
      <c r="AM201" s="153"/>
      <c r="AN201" s="153"/>
      <c r="AO201" s="153"/>
      <c r="AP201" s="153"/>
      <c r="AQ201" s="153"/>
      <c r="AR201" s="153"/>
    </row>
    <row r="202" spans="1:44" ht="15.75" customHeight="1">
      <c r="A202" s="153"/>
      <c r="B202" s="153"/>
      <c r="C202" s="152"/>
      <c r="D202" s="152"/>
      <c r="E202" s="153"/>
      <c r="F202" s="153"/>
      <c r="G202" s="153"/>
      <c r="H202" s="153"/>
      <c r="I202" s="153"/>
      <c r="J202" s="153"/>
      <c r="K202" s="153"/>
      <c r="L202" s="153"/>
      <c r="M202" s="153"/>
      <c r="N202" s="153"/>
      <c r="O202" s="153"/>
      <c r="P202" s="153"/>
      <c r="Q202" s="153"/>
      <c r="R202" s="153"/>
      <c r="S202" s="153"/>
      <c r="T202" s="153"/>
      <c r="U202" s="153"/>
      <c r="V202" s="153"/>
      <c r="W202" s="153"/>
      <c r="X202" s="153"/>
      <c r="Y202" s="153"/>
      <c r="Z202" s="153"/>
      <c r="AA202" s="153"/>
      <c r="AB202" s="153"/>
      <c r="AC202" s="153"/>
      <c r="AD202" s="153"/>
      <c r="AE202" s="153"/>
      <c r="AF202" s="153"/>
      <c r="AG202" s="153"/>
      <c r="AH202" s="153"/>
      <c r="AI202" s="153"/>
      <c r="AJ202" s="153"/>
      <c r="AK202" s="153"/>
      <c r="AL202" s="153"/>
      <c r="AM202" s="153"/>
      <c r="AN202" s="153"/>
      <c r="AO202" s="153"/>
      <c r="AP202" s="153"/>
      <c r="AQ202" s="153"/>
      <c r="AR202" s="153"/>
    </row>
    <row r="203" spans="1:44" ht="15.75" customHeight="1">
      <c r="A203" s="153"/>
      <c r="B203" s="153"/>
      <c r="C203" s="152"/>
      <c r="D203" s="152"/>
      <c r="E203" s="153"/>
      <c r="F203" s="153"/>
      <c r="G203" s="153"/>
      <c r="H203" s="153"/>
      <c r="I203" s="153"/>
      <c r="J203" s="153"/>
      <c r="K203" s="153"/>
      <c r="L203" s="153"/>
      <c r="M203" s="153"/>
      <c r="N203" s="153"/>
      <c r="O203" s="153"/>
      <c r="P203" s="153"/>
      <c r="Q203" s="153"/>
      <c r="R203" s="153"/>
      <c r="S203" s="153"/>
      <c r="T203" s="153"/>
      <c r="U203" s="153"/>
      <c r="V203" s="153"/>
      <c r="W203" s="153"/>
      <c r="X203" s="153"/>
      <c r="Y203" s="153"/>
      <c r="Z203" s="153"/>
      <c r="AA203" s="153"/>
      <c r="AB203" s="153"/>
      <c r="AC203" s="153"/>
      <c r="AD203" s="153"/>
      <c r="AE203" s="153"/>
      <c r="AF203" s="153"/>
      <c r="AG203" s="153"/>
      <c r="AH203" s="153"/>
      <c r="AI203" s="153"/>
      <c r="AJ203" s="153"/>
      <c r="AK203" s="153"/>
      <c r="AL203" s="153"/>
      <c r="AM203" s="153"/>
      <c r="AN203" s="153"/>
      <c r="AO203" s="153"/>
      <c r="AP203" s="153"/>
      <c r="AQ203" s="153"/>
      <c r="AR203" s="153"/>
    </row>
    <row r="204" spans="1:44" ht="15.75" customHeight="1">
      <c r="A204" s="153"/>
      <c r="B204" s="153"/>
      <c r="C204" s="152"/>
      <c r="D204" s="152"/>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c r="AA204" s="153"/>
      <c r="AB204" s="153"/>
      <c r="AC204" s="153"/>
      <c r="AD204" s="153"/>
      <c r="AE204" s="153"/>
      <c r="AF204" s="153"/>
      <c r="AG204" s="153"/>
      <c r="AH204" s="153"/>
      <c r="AI204" s="153"/>
      <c r="AJ204" s="153"/>
      <c r="AK204" s="153"/>
      <c r="AL204" s="153"/>
      <c r="AM204" s="153"/>
      <c r="AN204" s="153"/>
      <c r="AO204" s="153"/>
      <c r="AP204" s="153"/>
      <c r="AQ204" s="153"/>
      <c r="AR204" s="153"/>
    </row>
    <row r="205" spans="1:44" ht="15.75" customHeight="1">
      <c r="A205" s="153"/>
      <c r="B205" s="153"/>
      <c r="C205" s="152"/>
      <c r="D205" s="152"/>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c r="AA205" s="153"/>
      <c r="AB205" s="153"/>
      <c r="AC205" s="153"/>
      <c r="AD205" s="153"/>
      <c r="AE205" s="153"/>
      <c r="AF205" s="153"/>
      <c r="AG205" s="153"/>
      <c r="AH205" s="153"/>
      <c r="AI205" s="153"/>
      <c r="AJ205" s="153"/>
      <c r="AK205" s="153"/>
      <c r="AL205" s="153"/>
      <c r="AM205" s="153"/>
      <c r="AN205" s="153"/>
      <c r="AO205" s="153"/>
      <c r="AP205" s="153"/>
      <c r="AQ205" s="153"/>
      <c r="AR205" s="153"/>
    </row>
    <row r="206" spans="1:44" ht="15.75" customHeight="1">
      <c r="A206" s="153"/>
      <c r="B206" s="153"/>
      <c r="C206" s="152"/>
      <c r="D206" s="152"/>
      <c r="E206" s="153"/>
      <c r="F206" s="153"/>
      <c r="G206" s="153"/>
      <c r="H206" s="153"/>
      <c r="I206" s="153"/>
      <c r="J206" s="153"/>
      <c r="K206" s="153"/>
      <c r="L206" s="153"/>
      <c r="M206" s="153"/>
      <c r="N206" s="153"/>
      <c r="O206" s="153"/>
      <c r="P206" s="153"/>
      <c r="Q206" s="153"/>
      <c r="R206" s="153"/>
      <c r="S206" s="153"/>
      <c r="T206" s="153"/>
      <c r="U206" s="153"/>
      <c r="V206" s="153"/>
      <c r="W206" s="153"/>
      <c r="X206" s="153"/>
      <c r="Y206" s="153"/>
      <c r="Z206" s="153"/>
      <c r="AA206" s="153"/>
      <c r="AB206" s="153"/>
      <c r="AC206" s="153"/>
      <c r="AD206" s="153"/>
      <c r="AE206" s="153"/>
      <c r="AF206" s="153"/>
      <c r="AG206" s="153"/>
      <c r="AH206" s="153"/>
      <c r="AI206" s="153"/>
      <c r="AJ206" s="153"/>
      <c r="AK206" s="153"/>
      <c r="AL206" s="153"/>
      <c r="AM206" s="153"/>
      <c r="AN206" s="153"/>
      <c r="AO206" s="153"/>
      <c r="AP206" s="153"/>
      <c r="AQ206" s="153"/>
      <c r="AR206" s="153"/>
    </row>
    <row r="207" spans="1:44" ht="15.75" customHeight="1">
      <c r="A207" s="153"/>
      <c r="B207" s="153"/>
      <c r="C207" s="152"/>
      <c r="D207" s="152"/>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c r="AA207" s="153"/>
      <c r="AB207" s="153"/>
      <c r="AC207" s="153"/>
      <c r="AD207" s="153"/>
      <c r="AE207" s="153"/>
      <c r="AF207" s="153"/>
      <c r="AG207" s="153"/>
      <c r="AH207" s="153"/>
      <c r="AI207" s="153"/>
      <c r="AJ207" s="153"/>
      <c r="AK207" s="153"/>
      <c r="AL207" s="153"/>
      <c r="AM207" s="153"/>
      <c r="AN207" s="153"/>
      <c r="AO207" s="153"/>
      <c r="AP207" s="153"/>
      <c r="AQ207" s="153"/>
      <c r="AR207" s="153"/>
    </row>
    <row r="208" spans="1:44" ht="15.75" customHeight="1">
      <c r="A208" s="153"/>
      <c r="B208" s="153"/>
      <c r="C208" s="152"/>
      <c r="D208" s="152"/>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c r="AA208" s="153"/>
      <c r="AB208" s="153"/>
      <c r="AC208" s="153"/>
      <c r="AD208" s="153"/>
      <c r="AE208" s="153"/>
      <c r="AF208" s="153"/>
      <c r="AG208" s="153"/>
      <c r="AH208" s="153"/>
      <c r="AI208" s="153"/>
      <c r="AJ208" s="153"/>
      <c r="AK208" s="153"/>
      <c r="AL208" s="153"/>
      <c r="AM208" s="153"/>
      <c r="AN208" s="153"/>
      <c r="AO208" s="153"/>
      <c r="AP208" s="153"/>
      <c r="AQ208" s="153"/>
      <c r="AR208" s="153"/>
    </row>
    <row r="209" spans="1:44" ht="15.75" customHeight="1">
      <c r="A209" s="153"/>
      <c r="B209" s="153"/>
      <c r="C209" s="152"/>
      <c r="D209" s="152"/>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c r="AA209" s="153"/>
      <c r="AB209" s="153"/>
      <c r="AC209" s="153"/>
      <c r="AD209" s="153"/>
      <c r="AE209" s="153"/>
      <c r="AF209" s="153"/>
      <c r="AG209" s="153"/>
      <c r="AH209" s="153"/>
      <c r="AI209" s="153"/>
      <c r="AJ209" s="153"/>
      <c r="AK209" s="153"/>
      <c r="AL209" s="153"/>
      <c r="AM209" s="153"/>
      <c r="AN209" s="153"/>
      <c r="AO209" s="153"/>
      <c r="AP209" s="153"/>
      <c r="AQ209" s="153"/>
      <c r="AR209" s="153"/>
    </row>
    <row r="210" spans="1:44" ht="15.75" customHeight="1">
      <c r="A210" s="153"/>
      <c r="B210" s="153"/>
      <c r="C210" s="152"/>
      <c r="D210" s="152"/>
      <c r="E210" s="153"/>
      <c r="F210" s="153"/>
      <c r="G210" s="153"/>
      <c r="H210" s="153"/>
      <c r="I210" s="153"/>
      <c r="J210" s="153"/>
      <c r="K210" s="153"/>
      <c r="L210" s="153"/>
      <c r="M210" s="153"/>
      <c r="N210" s="153"/>
      <c r="O210" s="153"/>
      <c r="P210" s="153"/>
      <c r="Q210" s="153"/>
      <c r="R210" s="153"/>
      <c r="S210" s="153"/>
      <c r="T210" s="153"/>
      <c r="U210" s="153"/>
      <c r="V210" s="153"/>
      <c r="W210" s="153"/>
      <c r="X210" s="153"/>
      <c r="Y210" s="153"/>
      <c r="Z210" s="153"/>
      <c r="AA210" s="153"/>
      <c r="AB210" s="153"/>
      <c r="AC210" s="153"/>
      <c r="AD210" s="153"/>
      <c r="AE210" s="153"/>
      <c r="AF210" s="153"/>
      <c r="AG210" s="153"/>
      <c r="AH210" s="153"/>
      <c r="AI210" s="153"/>
      <c r="AJ210" s="153"/>
      <c r="AK210" s="153"/>
      <c r="AL210" s="153"/>
      <c r="AM210" s="153"/>
      <c r="AN210" s="153"/>
      <c r="AO210" s="153"/>
      <c r="AP210" s="153"/>
      <c r="AQ210" s="153"/>
      <c r="AR210" s="153"/>
    </row>
    <row r="211" spans="1:44" ht="15.75" customHeight="1">
      <c r="A211" s="153"/>
      <c r="B211" s="153"/>
      <c r="C211" s="152"/>
      <c r="D211" s="152"/>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c r="AA211" s="153"/>
      <c r="AB211" s="153"/>
      <c r="AC211" s="153"/>
      <c r="AD211" s="153"/>
      <c r="AE211" s="153"/>
      <c r="AF211" s="153"/>
      <c r="AG211" s="153"/>
      <c r="AH211" s="153"/>
      <c r="AI211" s="153"/>
      <c r="AJ211" s="153"/>
      <c r="AK211" s="153"/>
      <c r="AL211" s="153"/>
      <c r="AM211" s="153"/>
      <c r="AN211" s="153"/>
      <c r="AO211" s="153"/>
      <c r="AP211" s="153"/>
      <c r="AQ211" s="153"/>
      <c r="AR211" s="153"/>
    </row>
    <row r="212" spans="1:44" ht="15.75" customHeight="1">
      <c r="A212" s="153"/>
      <c r="B212" s="153"/>
      <c r="C212" s="152"/>
      <c r="D212" s="152"/>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c r="AA212" s="153"/>
      <c r="AB212" s="153"/>
      <c r="AC212" s="153"/>
      <c r="AD212" s="153"/>
      <c r="AE212" s="153"/>
      <c r="AF212" s="153"/>
      <c r="AG212" s="153"/>
      <c r="AH212" s="153"/>
      <c r="AI212" s="153"/>
      <c r="AJ212" s="153"/>
      <c r="AK212" s="153"/>
      <c r="AL212" s="153"/>
      <c r="AM212" s="153"/>
      <c r="AN212" s="153"/>
      <c r="AO212" s="153"/>
      <c r="AP212" s="153"/>
      <c r="AQ212" s="153"/>
      <c r="AR212" s="153"/>
    </row>
    <row r="213" spans="1:44" ht="15.75" customHeight="1">
      <c r="A213" s="153"/>
      <c r="B213" s="153"/>
      <c r="C213" s="152"/>
      <c r="D213" s="152"/>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c r="AA213" s="153"/>
      <c r="AB213" s="153"/>
      <c r="AC213" s="153"/>
      <c r="AD213" s="153"/>
      <c r="AE213" s="153"/>
      <c r="AF213" s="153"/>
      <c r="AG213" s="153"/>
      <c r="AH213" s="153"/>
      <c r="AI213" s="153"/>
      <c r="AJ213" s="153"/>
      <c r="AK213" s="153"/>
      <c r="AL213" s="153"/>
      <c r="AM213" s="153"/>
      <c r="AN213" s="153"/>
      <c r="AO213" s="153"/>
      <c r="AP213" s="153"/>
      <c r="AQ213" s="153"/>
      <c r="AR213" s="153"/>
    </row>
    <row r="214" spans="1:44" ht="15.75" customHeight="1">
      <c r="A214" s="153"/>
      <c r="B214" s="153"/>
      <c r="C214" s="152"/>
      <c r="D214" s="152"/>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c r="AA214" s="153"/>
      <c r="AB214" s="153"/>
      <c r="AC214" s="153"/>
      <c r="AD214" s="153"/>
      <c r="AE214" s="153"/>
      <c r="AF214" s="153"/>
      <c r="AG214" s="153"/>
      <c r="AH214" s="153"/>
      <c r="AI214" s="153"/>
      <c r="AJ214" s="153"/>
      <c r="AK214" s="153"/>
      <c r="AL214" s="153"/>
      <c r="AM214" s="153"/>
      <c r="AN214" s="153"/>
      <c r="AO214" s="153"/>
      <c r="AP214" s="153"/>
      <c r="AQ214" s="153"/>
      <c r="AR214" s="153"/>
    </row>
    <row r="215" spans="1:44" ht="15.75" customHeight="1">
      <c r="A215" s="153"/>
      <c r="B215" s="153"/>
      <c r="C215" s="152"/>
      <c r="D215" s="152"/>
      <c r="E215" s="153"/>
      <c r="F215" s="153"/>
      <c r="G215" s="153"/>
      <c r="H215" s="153"/>
      <c r="I215" s="153"/>
      <c r="J215" s="153"/>
      <c r="K215" s="153"/>
      <c r="L215" s="153"/>
      <c r="M215" s="153"/>
      <c r="N215" s="153"/>
      <c r="O215" s="153"/>
      <c r="P215" s="153"/>
      <c r="Q215" s="153"/>
      <c r="R215" s="153"/>
      <c r="S215" s="153"/>
      <c r="T215" s="153"/>
      <c r="U215" s="153"/>
      <c r="V215" s="153"/>
      <c r="W215" s="153"/>
      <c r="X215" s="153"/>
      <c r="Y215" s="153"/>
      <c r="Z215" s="153"/>
      <c r="AA215" s="153"/>
      <c r="AB215" s="153"/>
      <c r="AC215" s="153"/>
      <c r="AD215" s="153"/>
      <c r="AE215" s="153"/>
      <c r="AF215" s="153"/>
      <c r="AG215" s="153"/>
      <c r="AH215" s="153"/>
      <c r="AI215" s="153"/>
      <c r="AJ215" s="153"/>
      <c r="AK215" s="153"/>
      <c r="AL215" s="153"/>
      <c r="AM215" s="153"/>
      <c r="AN215" s="153"/>
      <c r="AO215" s="153"/>
      <c r="AP215" s="153"/>
      <c r="AQ215" s="153"/>
      <c r="AR215" s="153"/>
    </row>
    <row r="216" spans="1:44" ht="15.75" customHeight="1">
      <c r="A216" s="153"/>
      <c r="B216" s="153"/>
      <c r="C216" s="152"/>
      <c r="D216" s="152"/>
      <c r="E216" s="153"/>
      <c r="F216" s="153"/>
      <c r="G216" s="153"/>
      <c r="H216" s="153"/>
      <c r="I216" s="153"/>
      <c r="J216" s="153"/>
      <c r="K216" s="153"/>
      <c r="L216" s="153"/>
      <c r="M216" s="153"/>
      <c r="N216" s="153"/>
      <c r="O216" s="153"/>
      <c r="P216" s="153"/>
      <c r="Q216" s="153"/>
      <c r="R216" s="153"/>
      <c r="S216" s="153"/>
      <c r="T216" s="153"/>
      <c r="U216" s="153"/>
      <c r="V216" s="153"/>
      <c r="W216" s="153"/>
      <c r="X216" s="153"/>
      <c r="Y216" s="153"/>
      <c r="Z216" s="153"/>
      <c r="AA216" s="153"/>
      <c r="AB216" s="153"/>
      <c r="AC216" s="153"/>
      <c r="AD216" s="153"/>
      <c r="AE216" s="153"/>
      <c r="AF216" s="153"/>
      <c r="AG216" s="153"/>
      <c r="AH216" s="153"/>
      <c r="AI216" s="153"/>
      <c r="AJ216" s="153"/>
      <c r="AK216" s="153"/>
      <c r="AL216" s="153"/>
      <c r="AM216" s="153"/>
      <c r="AN216" s="153"/>
      <c r="AO216" s="153"/>
      <c r="AP216" s="153"/>
      <c r="AQ216" s="153"/>
      <c r="AR216" s="153"/>
    </row>
    <row r="217" spans="1:44" ht="15.75" customHeight="1">
      <c r="A217" s="153"/>
      <c r="B217" s="153"/>
      <c r="C217" s="152"/>
      <c r="D217" s="152"/>
      <c r="E217" s="153"/>
      <c r="F217" s="153"/>
      <c r="G217" s="153"/>
      <c r="H217" s="153"/>
      <c r="I217" s="153"/>
      <c r="J217" s="153"/>
      <c r="K217" s="153"/>
      <c r="L217" s="153"/>
      <c r="M217" s="153"/>
      <c r="N217" s="153"/>
      <c r="O217" s="153"/>
      <c r="P217" s="153"/>
      <c r="Q217" s="153"/>
      <c r="R217" s="153"/>
      <c r="S217" s="153"/>
      <c r="T217" s="153"/>
      <c r="U217" s="153"/>
      <c r="V217" s="153"/>
      <c r="W217" s="153"/>
      <c r="X217" s="153"/>
      <c r="Y217" s="153"/>
      <c r="Z217" s="153"/>
      <c r="AA217" s="153"/>
      <c r="AB217" s="153"/>
      <c r="AC217" s="153"/>
      <c r="AD217" s="153"/>
      <c r="AE217" s="153"/>
      <c r="AF217" s="153"/>
      <c r="AG217" s="153"/>
      <c r="AH217" s="153"/>
      <c r="AI217" s="153"/>
      <c r="AJ217" s="153"/>
      <c r="AK217" s="153"/>
      <c r="AL217" s="153"/>
      <c r="AM217" s="153"/>
      <c r="AN217" s="153"/>
      <c r="AO217" s="153"/>
      <c r="AP217" s="153"/>
      <c r="AQ217" s="153"/>
      <c r="AR217" s="153"/>
    </row>
    <row r="218" spans="1:44" ht="15.75" customHeight="1">
      <c r="A218" s="153"/>
      <c r="B218" s="153"/>
      <c r="C218" s="152"/>
      <c r="D218" s="152"/>
      <c r="E218" s="153"/>
      <c r="F218" s="153"/>
      <c r="G218" s="153"/>
      <c r="H218" s="153"/>
      <c r="I218" s="153"/>
      <c r="J218" s="153"/>
      <c r="K218" s="153"/>
      <c r="L218" s="153"/>
      <c r="M218" s="153"/>
      <c r="N218" s="153"/>
      <c r="O218" s="153"/>
      <c r="P218" s="153"/>
      <c r="Q218" s="153"/>
      <c r="R218" s="153"/>
      <c r="S218" s="153"/>
      <c r="T218" s="153"/>
      <c r="U218" s="153"/>
      <c r="V218" s="153"/>
      <c r="W218" s="153"/>
      <c r="X218" s="153"/>
      <c r="Y218" s="153"/>
      <c r="Z218" s="153"/>
      <c r="AA218" s="153"/>
      <c r="AB218" s="153"/>
      <c r="AC218" s="153"/>
      <c r="AD218" s="153"/>
      <c r="AE218" s="153"/>
      <c r="AF218" s="153"/>
      <c r="AG218" s="153"/>
      <c r="AH218" s="153"/>
      <c r="AI218" s="153"/>
      <c r="AJ218" s="153"/>
      <c r="AK218" s="153"/>
      <c r="AL218" s="153"/>
      <c r="AM218" s="153"/>
      <c r="AN218" s="153"/>
      <c r="AO218" s="153"/>
      <c r="AP218" s="153"/>
      <c r="AQ218" s="153"/>
      <c r="AR218" s="153"/>
    </row>
    <row r="219" spans="1:44" ht="15.75" customHeight="1">
      <c r="A219" s="153"/>
      <c r="B219" s="153"/>
      <c r="C219" s="152"/>
      <c r="D219" s="152"/>
      <c r="E219" s="153"/>
      <c r="F219" s="153"/>
      <c r="G219" s="153"/>
      <c r="H219" s="153"/>
      <c r="I219" s="153"/>
      <c r="J219" s="153"/>
      <c r="K219" s="153"/>
      <c r="L219" s="153"/>
      <c r="M219" s="153"/>
      <c r="N219" s="153"/>
      <c r="O219" s="153"/>
      <c r="P219" s="153"/>
      <c r="Q219" s="153"/>
      <c r="R219" s="153"/>
      <c r="S219" s="153"/>
      <c r="T219" s="153"/>
      <c r="U219" s="153"/>
      <c r="V219" s="153"/>
      <c r="W219" s="153"/>
      <c r="X219" s="153"/>
      <c r="Y219" s="153"/>
      <c r="Z219" s="153"/>
      <c r="AA219" s="153"/>
      <c r="AB219" s="153"/>
      <c r="AC219" s="153"/>
      <c r="AD219" s="153"/>
      <c r="AE219" s="153"/>
      <c r="AF219" s="153"/>
      <c r="AG219" s="153"/>
      <c r="AH219" s="153"/>
      <c r="AI219" s="153"/>
      <c r="AJ219" s="153"/>
      <c r="AK219" s="153"/>
      <c r="AL219" s="153"/>
      <c r="AM219" s="153"/>
      <c r="AN219" s="153"/>
      <c r="AO219" s="153"/>
      <c r="AP219" s="153"/>
      <c r="AQ219" s="153"/>
      <c r="AR219" s="153"/>
    </row>
    <row r="220" spans="1:44" ht="15.75" customHeight="1">
      <c r="A220" s="153"/>
      <c r="B220" s="153"/>
      <c r="C220" s="152"/>
      <c r="D220" s="152"/>
      <c r="E220" s="153"/>
      <c r="F220" s="153"/>
      <c r="G220" s="153"/>
      <c r="H220" s="153"/>
      <c r="I220" s="153"/>
      <c r="J220" s="153"/>
      <c r="K220" s="153"/>
      <c r="L220" s="153"/>
      <c r="M220" s="153"/>
      <c r="N220" s="153"/>
      <c r="O220" s="153"/>
      <c r="P220" s="153"/>
      <c r="Q220" s="153"/>
      <c r="R220" s="153"/>
      <c r="S220" s="153"/>
      <c r="T220" s="153"/>
      <c r="U220" s="153"/>
      <c r="V220" s="153"/>
      <c r="W220" s="153"/>
      <c r="X220" s="153"/>
      <c r="Y220" s="153"/>
      <c r="Z220" s="153"/>
      <c r="AA220" s="153"/>
      <c r="AB220" s="153"/>
      <c r="AC220" s="153"/>
      <c r="AD220" s="153"/>
      <c r="AE220" s="153"/>
      <c r="AF220" s="153"/>
      <c r="AG220" s="153"/>
      <c r="AH220" s="153"/>
      <c r="AI220" s="153"/>
      <c r="AJ220" s="153"/>
      <c r="AK220" s="153"/>
      <c r="AL220" s="153"/>
      <c r="AM220" s="153"/>
      <c r="AN220" s="153"/>
      <c r="AO220" s="153"/>
      <c r="AP220" s="153"/>
      <c r="AQ220" s="153"/>
      <c r="AR220" s="153"/>
    </row>
    <row r="221" spans="1:44" ht="15.75" customHeight="1">
      <c r="A221" s="153"/>
      <c r="B221" s="153"/>
      <c r="C221" s="152"/>
      <c r="D221" s="152"/>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c r="AA221" s="153"/>
      <c r="AB221" s="153"/>
      <c r="AC221" s="153"/>
      <c r="AD221" s="153"/>
      <c r="AE221" s="153"/>
      <c r="AF221" s="153"/>
      <c r="AG221" s="153"/>
      <c r="AH221" s="153"/>
      <c r="AI221" s="153"/>
      <c r="AJ221" s="153"/>
      <c r="AK221" s="153"/>
      <c r="AL221" s="153"/>
      <c r="AM221" s="153"/>
      <c r="AN221" s="153"/>
      <c r="AO221" s="153"/>
      <c r="AP221" s="153"/>
      <c r="AQ221" s="153"/>
      <c r="AR221" s="153"/>
    </row>
    <row r="222" spans="1:44" ht="15.75" customHeight="1">
      <c r="A222" s="153"/>
      <c r="B222" s="153"/>
      <c r="C222" s="152"/>
      <c r="D222" s="152"/>
      <c r="E222" s="153"/>
      <c r="F222" s="153"/>
      <c r="G222" s="153"/>
      <c r="H222" s="153"/>
      <c r="I222" s="153"/>
      <c r="J222" s="153"/>
      <c r="K222" s="153"/>
      <c r="L222" s="153"/>
      <c r="M222" s="153"/>
      <c r="N222" s="153"/>
      <c r="O222" s="153"/>
      <c r="P222" s="153"/>
      <c r="Q222" s="153"/>
      <c r="R222" s="153"/>
      <c r="S222" s="153"/>
      <c r="T222" s="153"/>
      <c r="U222" s="153"/>
      <c r="V222" s="153"/>
      <c r="W222" s="153"/>
      <c r="X222" s="153"/>
      <c r="Y222" s="153"/>
      <c r="Z222" s="153"/>
      <c r="AA222" s="153"/>
      <c r="AB222" s="153"/>
      <c r="AC222" s="153"/>
      <c r="AD222" s="153"/>
      <c r="AE222" s="153"/>
      <c r="AF222" s="153"/>
      <c r="AG222" s="153"/>
      <c r="AH222" s="153"/>
      <c r="AI222" s="153"/>
      <c r="AJ222" s="153"/>
      <c r="AK222" s="153"/>
      <c r="AL222" s="153"/>
      <c r="AM222" s="153"/>
      <c r="AN222" s="153"/>
      <c r="AO222" s="153"/>
      <c r="AP222" s="153"/>
      <c r="AQ222" s="153"/>
      <c r="AR222" s="153"/>
    </row>
    <row r="223" spans="1:44" ht="15.75" customHeight="1">
      <c r="A223" s="153"/>
      <c r="B223" s="153"/>
      <c r="C223" s="152"/>
      <c r="D223" s="152"/>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c r="AA223" s="153"/>
      <c r="AB223" s="153"/>
      <c r="AC223" s="153"/>
      <c r="AD223" s="153"/>
      <c r="AE223" s="153"/>
      <c r="AF223" s="153"/>
      <c r="AG223" s="153"/>
      <c r="AH223" s="153"/>
      <c r="AI223" s="153"/>
      <c r="AJ223" s="153"/>
      <c r="AK223" s="153"/>
      <c r="AL223" s="153"/>
      <c r="AM223" s="153"/>
      <c r="AN223" s="153"/>
      <c r="AO223" s="153"/>
      <c r="AP223" s="153"/>
      <c r="AQ223" s="153"/>
      <c r="AR223" s="153"/>
    </row>
    <row r="224" spans="1:44" ht="15.75" customHeight="1">
      <c r="A224" s="153"/>
      <c r="B224" s="153"/>
      <c r="C224" s="152"/>
      <c r="D224" s="152"/>
      <c r="E224" s="153"/>
      <c r="F224" s="153"/>
      <c r="G224" s="153"/>
      <c r="H224" s="153"/>
      <c r="I224" s="153"/>
      <c r="J224" s="153"/>
      <c r="K224" s="153"/>
      <c r="L224" s="153"/>
      <c r="M224" s="153"/>
      <c r="N224" s="153"/>
      <c r="O224" s="153"/>
      <c r="P224" s="153"/>
      <c r="Q224" s="153"/>
      <c r="R224" s="153"/>
      <c r="S224" s="153"/>
      <c r="T224" s="153"/>
      <c r="U224" s="153"/>
      <c r="V224" s="153"/>
      <c r="W224" s="153"/>
      <c r="X224" s="153"/>
      <c r="Y224" s="153"/>
      <c r="Z224" s="153"/>
      <c r="AA224" s="153"/>
      <c r="AB224" s="153"/>
      <c r="AC224" s="153"/>
      <c r="AD224" s="153"/>
      <c r="AE224" s="153"/>
      <c r="AF224" s="153"/>
      <c r="AG224" s="153"/>
      <c r="AH224" s="153"/>
      <c r="AI224" s="153"/>
      <c r="AJ224" s="153"/>
      <c r="AK224" s="153"/>
      <c r="AL224" s="153"/>
      <c r="AM224" s="153"/>
      <c r="AN224" s="153"/>
      <c r="AO224" s="153"/>
      <c r="AP224" s="153"/>
      <c r="AQ224" s="153"/>
      <c r="AR224" s="153"/>
    </row>
    <row r="225" spans="1:44" ht="15.75" customHeight="1">
      <c r="A225" s="153"/>
      <c r="B225" s="153"/>
      <c r="C225" s="152"/>
      <c r="D225" s="152"/>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c r="AA225" s="153"/>
      <c r="AB225" s="153"/>
      <c r="AC225" s="153"/>
      <c r="AD225" s="153"/>
      <c r="AE225" s="153"/>
      <c r="AF225" s="153"/>
      <c r="AG225" s="153"/>
      <c r="AH225" s="153"/>
      <c r="AI225" s="153"/>
      <c r="AJ225" s="153"/>
      <c r="AK225" s="153"/>
      <c r="AL225" s="153"/>
      <c r="AM225" s="153"/>
      <c r="AN225" s="153"/>
      <c r="AO225" s="153"/>
      <c r="AP225" s="153"/>
      <c r="AQ225" s="153"/>
      <c r="AR225" s="153"/>
    </row>
    <row r="226" spans="1:44" ht="15.75" customHeight="1">
      <c r="A226" s="153"/>
      <c r="B226" s="153"/>
      <c r="C226" s="152"/>
      <c r="D226" s="152"/>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c r="AA226" s="153"/>
      <c r="AB226" s="153"/>
      <c r="AC226" s="153"/>
      <c r="AD226" s="153"/>
      <c r="AE226" s="153"/>
      <c r="AF226" s="153"/>
      <c r="AG226" s="153"/>
      <c r="AH226" s="153"/>
      <c r="AI226" s="153"/>
      <c r="AJ226" s="153"/>
      <c r="AK226" s="153"/>
      <c r="AL226" s="153"/>
      <c r="AM226" s="153"/>
      <c r="AN226" s="153"/>
      <c r="AO226" s="153"/>
      <c r="AP226" s="153"/>
      <c r="AQ226" s="153"/>
      <c r="AR226" s="153"/>
    </row>
    <row r="227" spans="1:44" ht="15.75" customHeight="1">
      <c r="A227" s="153"/>
      <c r="B227" s="153"/>
      <c r="C227" s="152"/>
      <c r="D227" s="152"/>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c r="AA227" s="153"/>
      <c r="AB227" s="153"/>
      <c r="AC227" s="153"/>
      <c r="AD227" s="153"/>
      <c r="AE227" s="153"/>
      <c r="AF227" s="153"/>
      <c r="AG227" s="153"/>
      <c r="AH227" s="153"/>
      <c r="AI227" s="153"/>
      <c r="AJ227" s="153"/>
      <c r="AK227" s="153"/>
      <c r="AL227" s="153"/>
      <c r="AM227" s="153"/>
      <c r="AN227" s="153"/>
      <c r="AO227" s="153"/>
      <c r="AP227" s="153"/>
      <c r="AQ227" s="153"/>
      <c r="AR227" s="153"/>
    </row>
    <row r="228" spans="1:44" ht="15.75" customHeight="1">
      <c r="A228" s="153"/>
      <c r="B228" s="153"/>
      <c r="C228" s="152"/>
      <c r="D228" s="152"/>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c r="AA228" s="153"/>
      <c r="AB228" s="153"/>
      <c r="AC228" s="153"/>
      <c r="AD228" s="153"/>
      <c r="AE228" s="153"/>
      <c r="AF228" s="153"/>
      <c r="AG228" s="153"/>
      <c r="AH228" s="153"/>
      <c r="AI228" s="153"/>
      <c r="AJ228" s="153"/>
      <c r="AK228" s="153"/>
      <c r="AL228" s="153"/>
      <c r="AM228" s="153"/>
      <c r="AN228" s="153"/>
      <c r="AO228" s="153"/>
      <c r="AP228" s="153"/>
      <c r="AQ228" s="153"/>
      <c r="AR228" s="153"/>
    </row>
    <row r="229" spans="1:44" ht="15.75" customHeight="1">
      <c r="A229" s="153"/>
      <c r="B229" s="153"/>
      <c r="C229" s="152"/>
      <c r="D229" s="152"/>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c r="AA229" s="153"/>
      <c r="AB229" s="153"/>
      <c r="AC229" s="153"/>
      <c r="AD229" s="153"/>
      <c r="AE229" s="153"/>
      <c r="AF229" s="153"/>
      <c r="AG229" s="153"/>
      <c r="AH229" s="153"/>
      <c r="AI229" s="153"/>
      <c r="AJ229" s="153"/>
      <c r="AK229" s="153"/>
      <c r="AL229" s="153"/>
      <c r="AM229" s="153"/>
      <c r="AN229" s="153"/>
      <c r="AO229" s="153"/>
      <c r="AP229" s="153"/>
      <c r="AQ229" s="153"/>
      <c r="AR229" s="153"/>
    </row>
    <row r="230" spans="1:44" ht="15.75" customHeight="1">
      <c r="A230" s="153"/>
      <c r="B230" s="153"/>
      <c r="C230" s="152"/>
      <c r="D230" s="152"/>
      <c r="E230" s="153"/>
      <c r="F230" s="153"/>
      <c r="G230" s="153"/>
      <c r="H230" s="153"/>
      <c r="I230" s="153"/>
      <c r="J230" s="153"/>
      <c r="K230" s="153"/>
      <c r="L230" s="153"/>
      <c r="M230" s="153"/>
      <c r="N230" s="153"/>
      <c r="O230" s="153"/>
      <c r="P230" s="153"/>
      <c r="Q230" s="153"/>
      <c r="R230" s="153"/>
      <c r="S230" s="153"/>
      <c r="T230" s="153"/>
      <c r="U230" s="153"/>
      <c r="V230" s="153"/>
      <c r="W230" s="153"/>
      <c r="X230" s="153"/>
      <c r="Y230" s="153"/>
      <c r="Z230" s="153"/>
      <c r="AA230" s="153"/>
      <c r="AB230" s="153"/>
      <c r="AC230" s="153"/>
      <c r="AD230" s="153"/>
      <c r="AE230" s="153"/>
      <c r="AF230" s="153"/>
      <c r="AG230" s="153"/>
      <c r="AH230" s="153"/>
      <c r="AI230" s="153"/>
      <c r="AJ230" s="153"/>
      <c r="AK230" s="153"/>
      <c r="AL230" s="153"/>
      <c r="AM230" s="153"/>
      <c r="AN230" s="153"/>
      <c r="AO230" s="153"/>
      <c r="AP230" s="153"/>
      <c r="AQ230" s="153"/>
      <c r="AR230" s="153"/>
    </row>
    <row r="231" spans="1:44" ht="15.75" customHeight="1">
      <c r="A231" s="153"/>
      <c r="B231" s="153"/>
      <c r="C231" s="152"/>
      <c r="D231" s="152"/>
      <c r="E231" s="153"/>
      <c r="F231" s="153"/>
      <c r="G231" s="153"/>
      <c r="H231" s="153"/>
      <c r="I231" s="153"/>
      <c r="J231" s="153"/>
      <c r="K231" s="153"/>
      <c r="L231" s="153"/>
      <c r="M231" s="153"/>
      <c r="N231" s="153"/>
      <c r="O231" s="153"/>
      <c r="P231" s="153"/>
      <c r="Q231" s="153"/>
      <c r="R231" s="153"/>
      <c r="S231" s="153"/>
      <c r="T231" s="153"/>
      <c r="U231" s="153"/>
      <c r="V231" s="153"/>
      <c r="W231" s="153"/>
      <c r="X231" s="153"/>
      <c r="Y231" s="153"/>
      <c r="Z231" s="153"/>
      <c r="AA231" s="153"/>
      <c r="AB231" s="153"/>
      <c r="AC231" s="153"/>
      <c r="AD231" s="153"/>
      <c r="AE231" s="153"/>
      <c r="AF231" s="153"/>
      <c r="AG231" s="153"/>
      <c r="AH231" s="153"/>
      <c r="AI231" s="153"/>
      <c r="AJ231" s="153"/>
      <c r="AK231" s="153"/>
      <c r="AL231" s="153"/>
      <c r="AM231" s="153"/>
      <c r="AN231" s="153"/>
      <c r="AO231" s="153"/>
      <c r="AP231" s="153"/>
      <c r="AQ231" s="153"/>
      <c r="AR231" s="153"/>
    </row>
    <row r="232" spans="1:44" ht="15.75" customHeight="1">
      <c r="A232" s="153"/>
      <c r="B232" s="153"/>
      <c r="C232" s="152"/>
      <c r="D232" s="152"/>
      <c r="E232" s="153"/>
      <c r="F232" s="153"/>
      <c r="G232" s="153"/>
      <c r="H232" s="153"/>
      <c r="I232" s="153"/>
      <c r="J232" s="153"/>
      <c r="K232" s="153"/>
      <c r="L232" s="153"/>
      <c r="M232" s="153"/>
      <c r="N232" s="153"/>
      <c r="O232" s="153"/>
      <c r="P232" s="153"/>
      <c r="Q232" s="153"/>
      <c r="R232" s="153"/>
      <c r="S232" s="153"/>
      <c r="T232" s="153"/>
      <c r="U232" s="153"/>
      <c r="V232" s="153"/>
      <c r="W232" s="153"/>
      <c r="X232" s="153"/>
      <c r="Y232" s="153"/>
      <c r="Z232" s="153"/>
      <c r="AA232" s="153"/>
      <c r="AB232" s="153"/>
      <c r="AC232" s="153"/>
      <c r="AD232" s="153"/>
      <c r="AE232" s="153"/>
      <c r="AF232" s="153"/>
      <c r="AG232" s="153"/>
      <c r="AH232" s="153"/>
      <c r="AI232" s="153"/>
      <c r="AJ232" s="153"/>
      <c r="AK232" s="153"/>
      <c r="AL232" s="153"/>
      <c r="AM232" s="153"/>
      <c r="AN232" s="153"/>
      <c r="AO232" s="153"/>
      <c r="AP232" s="153"/>
      <c r="AQ232" s="153"/>
      <c r="AR232" s="153"/>
    </row>
    <row r="233" spans="1:44" ht="15.75" customHeight="1">
      <c r="A233" s="153"/>
      <c r="B233" s="153"/>
      <c r="C233" s="152"/>
      <c r="D233" s="152"/>
      <c r="E233" s="153"/>
      <c r="F233" s="153"/>
      <c r="G233" s="153"/>
      <c r="H233" s="153"/>
      <c r="I233" s="153"/>
      <c r="J233" s="153"/>
      <c r="K233" s="153"/>
      <c r="L233" s="153"/>
      <c r="M233" s="153"/>
      <c r="N233" s="153"/>
      <c r="O233" s="153"/>
      <c r="P233" s="153"/>
      <c r="Q233" s="153"/>
      <c r="R233" s="153"/>
      <c r="S233" s="153"/>
      <c r="T233" s="153"/>
      <c r="U233" s="153"/>
      <c r="V233" s="153"/>
      <c r="W233" s="153"/>
      <c r="X233" s="153"/>
      <c r="Y233" s="153"/>
      <c r="Z233" s="153"/>
      <c r="AA233" s="153"/>
      <c r="AB233" s="153"/>
      <c r="AC233" s="153"/>
      <c r="AD233" s="153"/>
      <c r="AE233" s="153"/>
      <c r="AF233" s="153"/>
      <c r="AG233" s="153"/>
      <c r="AH233" s="153"/>
      <c r="AI233" s="153"/>
      <c r="AJ233" s="153"/>
      <c r="AK233" s="153"/>
      <c r="AL233" s="153"/>
      <c r="AM233" s="153"/>
      <c r="AN233" s="153"/>
      <c r="AO233" s="153"/>
      <c r="AP233" s="153"/>
      <c r="AQ233" s="153"/>
      <c r="AR233" s="153"/>
    </row>
    <row r="234" spans="1:44" ht="15.75" customHeight="1">
      <c r="A234" s="153"/>
      <c r="B234" s="153"/>
      <c r="C234" s="152"/>
      <c r="D234" s="152"/>
      <c r="E234" s="153"/>
      <c r="F234" s="153"/>
      <c r="G234" s="153"/>
      <c r="H234" s="153"/>
      <c r="I234" s="153"/>
      <c r="J234" s="153"/>
      <c r="K234" s="153"/>
      <c r="L234" s="153"/>
      <c r="M234" s="153"/>
      <c r="N234" s="153"/>
      <c r="O234" s="153"/>
      <c r="P234" s="153"/>
      <c r="Q234" s="153"/>
      <c r="R234" s="153"/>
      <c r="S234" s="153"/>
      <c r="T234" s="153"/>
      <c r="U234" s="153"/>
      <c r="V234" s="153"/>
      <c r="W234" s="153"/>
      <c r="X234" s="153"/>
      <c r="Y234" s="153"/>
      <c r="Z234" s="153"/>
      <c r="AA234" s="153"/>
      <c r="AB234" s="153"/>
      <c r="AC234" s="153"/>
      <c r="AD234" s="153"/>
      <c r="AE234" s="153"/>
      <c r="AF234" s="153"/>
      <c r="AG234" s="153"/>
      <c r="AH234" s="153"/>
      <c r="AI234" s="153"/>
      <c r="AJ234" s="153"/>
      <c r="AK234" s="153"/>
      <c r="AL234" s="153"/>
      <c r="AM234" s="153"/>
      <c r="AN234" s="153"/>
      <c r="AO234" s="153"/>
      <c r="AP234" s="153"/>
      <c r="AQ234" s="153"/>
      <c r="AR234" s="153"/>
    </row>
    <row r="235" spans="1:44" ht="15.75" customHeight="1">
      <c r="A235" s="153"/>
      <c r="B235" s="153"/>
      <c r="C235" s="152"/>
      <c r="D235" s="152"/>
      <c r="E235" s="153"/>
      <c r="F235" s="153"/>
      <c r="G235" s="153"/>
      <c r="H235" s="153"/>
      <c r="I235" s="153"/>
      <c r="J235" s="153"/>
      <c r="K235" s="153"/>
      <c r="L235" s="153"/>
      <c r="M235" s="153"/>
      <c r="N235" s="153"/>
      <c r="O235" s="153"/>
      <c r="P235" s="153"/>
      <c r="Q235" s="153"/>
      <c r="R235" s="153"/>
      <c r="S235" s="153"/>
      <c r="T235" s="153"/>
      <c r="U235" s="153"/>
      <c r="V235" s="153"/>
      <c r="W235" s="153"/>
      <c r="X235" s="153"/>
      <c r="Y235" s="153"/>
      <c r="Z235" s="153"/>
      <c r="AA235" s="153"/>
      <c r="AB235" s="153"/>
      <c r="AC235" s="153"/>
      <c r="AD235" s="153"/>
      <c r="AE235" s="153"/>
      <c r="AF235" s="153"/>
      <c r="AG235" s="153"/>
      <c r="AH235" s="153"/>
      <c r="AI235" s="153"/>
      <c r="AJ235" s="153"/>
      <c r="AK235" s="153"/>
      <c r="AL235" s="153"/>
      <c r="AM235" s="153"/>
      <c r="AN235" s="153"/>
      <c r="AO235" s="153"/>
      <c r="AP235" s="153"/>
      <c r="AQ235" s="153"/>
      <c r="AR235" s="153"/>
    </row>
    <row r="236" spans="1:44" ht="15.75" customHeight="1"/>
    <row r="237" spans="1:44" ht="15.75" customHeight="1"/>
    <row r="238" spans="1:44" ht="15.75" customHeight="1"/>
    <row r="239" spans="1:44" ht="15.75" customHeight="1"/>
    <row r="240" spans="1:4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C34:D34"/>
    <mergeCell ref="C35:D35"/>
    <mergeCell ref="C22:D22"/>
    <mergeCell ref="C23:D23"/>
    <mergeCell ref="C24:D24"/>
    <mergeCell ref="C25:D25"/>
    <mergeCell ref="C26:D26"/>
    <mergeCell ref="C27:D27"/>
    <mergeCell ref="C29:D29"/>
    <mergeCell ref="C21:D21"/>
    <mergeCell ref="C30:D30"/>
    <mergeCell ref="C31:D31"/>
    <mergeCell ref="C32:D32"/>
    <mergeCell ref="C33:D33"/>
    <mergeCell ref="C16:D16"/>
    <mergeCell ref="C17:D17"/>
    <mergeCell ref="C18:D18"/>
    <mergeCell ref="C19:D19"/>
    <mergeCell ref="C20:D20"/>
    <mergeCell ref="C11:D11"/>
    <mergeCell ref="C12:D12"/>
    <mergeCell ref="C13:D13"/>
    <mergeCell ref="C14:D14"/>
    <mergeCell ref="C15:D15"/>
    <mergeCell ref="N6:O6"/>
    <mergeCell ref="P6:Q6"/>
    <mergeCell ref="C8:D8"/>
    <mergeCell ref="C9:D9"/>
    <mergeCell ref="C10:D10"/>
    <mergeCell ref="C4:G4"/>
    <mergeCell ref="E6:F6"/>
    <mergeCell ref="G6:H6"/>
    <mergeCell ref="I6:J6"/>
    <mergeCell ref="K6:M6"/>
    <mergeCell ref="AH6:AI6"/>
    <mergeCell ref="AJ6:AK6"/>
    <mergeCell ref="AL6:AN6"/>
    <mergeCell ref="AO6:AQ6"/>
    <mergeCell ref="R6:S6"/>
    <mergeCell ref="T6:V6"/>
    <mergeCell ref="W6:X6"/>
    <mergeCell ref="Y6:Z6"/>
    <mergeCell ref="AA6:AB6"/>
    <mergeCell ref="AC6:AE6"/>
    <mergeCell ref="AF6:AG6"/>
  </mergeCells>
  <conditionalFormatting sqref="M9:M26 V9:V26 AE9:AE26 AN9:AN26 AQ9:AQ26">
    <cfRule type="cellIs" dxfId="4" priority="1" operator="lessThan">
      <formula>0</formula>
    </cfRule>
  </conditionalFormatting>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1000"/>
  <sheetViews>
    <sheetView showGridLines="0" workbookViewId="0"/>
  </sheetViews>
  <sheetFormatPr defaultColWidth="12.625" defaultRowHeight="15" customHeight="1"/>
  <cols>
    <col min="1" max="2" width="3.125" customWidth="1"/>
    <col min="3" max="3" width="26.125" customWidth="1"/>
    <col min="4" max="4" width="14.625" customWidth="1"/>
    <col min="5" max="43" width="11" customWidth="1"/>
    <col min="44" max="44" width="3.125" customWidth="1"/>
  </cols>
  <sheetData>
    <row r="1" spans="1:44">
      <c r="A1" s="92"/>
      <c r="B1" s="92"/>
      <c r="C1" s="9"/>
      <c r="D1" s="152"/>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c r="AH1" s="153"/>
      <c r="AI1" s="153"/>
      <c r="AJ1" s="153"/>
      <c r="AK1" s="153"/>
      <c r="AL1" s="153"/>
      <c r="AM1" s="153"/>
      <c r="AN1" s="153"/>
      <c r="AO1" s="153"/>
      <c r="AP1" s="153"/>
      <c r="AQ1" s="153"/>
      <c r="AR1" s="153"/>
    </row>
    <row r="2" spans="1:44">
      <c r="A2" s="92"/>
      <c r="B2" s="93"/>
      <c r="C2" s="94"/>
      <c r="D2" s="154"/>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155"/>
      <c r="AM2" s="155"/>
      <c r="AN2" s="155"/>
      <c r="AO2" s="155"/>
      <c r="AP2" s="155"/>
      <c r="AQ2" s="155"/>
      <c r="AR2" s="156"/>
    </row>
    <row r="3" spans="1:44" ht="46.5" customHeight="1">
      <c r="A3" s="92"/>
      <c r="B3" s="97"/>
      <c r="C3" s="98"/>
      <c r="I3" s="212"/>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c r="AP3" s="157"/>
      <c r="AQ3" s="157"/>
      <c r="AR3" s="158"/>
    </row>
    <row r="4" spans="1:44" ht="31.5" customHeight="1">
      <c r="A4" s="153"/>
      <c r="B4" s="159"/>
      <c r="C4" s="276" t="s">
        <v>109</v>
      </c>
      <c r="D4" s="267"/>
      <c r="E4" s="267"/>
      <c r="F4" s="267"/>
      <c r="G4" s="267"/>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3"/>
      <c r="AQ4" s="153"/>
      <c r="AR4" s="158"/>
    </row>
    <row r="5" spans="1:44" ht="31.5" customHeight="1">
      <c r="A5" s="153"/>
      <c r="B5" s="159"/>
      <c r="C5" s="160"/>
      <c r="D5" s="160"/>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53"/>
      <c r="AK5" s="153"/>
      <c r="AL5" s="153"/>
      <c r="AM5" s="153"/>
      <c r="AN5" s="153"/>
      <c r="AO5" s="153"/>
      <c r="AP5" s="153"/>
      <c r="AQ5" s="153"/>
      <c r="AR5" s="158"/>
    </row>
    <row r="6" spans="1:44">
      <c r="A6" s="153"/>
      <c r="B6" s="159"/>
      <c r="C6" s="103"/>
      <c r="D6" s="103"/>
      <c r="E6" s="283" t="s">
        <v>15</v>
      </c>
      <c r="F6" s="280"/>
      <c r="G6" s="283" t="s">
        <v>16</v>
      </c>
      <c r="H6" s="280"/>
      <c r="I6" s="283" t="s">
        <v>17</v>
      </c>
      <c r="J6" s="280"/>
      <c r="K6" s="284" t="s">
        <v>18</v>
      </c>
      <c r="L6" s="282"/>
      <c r="M6" s="280"/>
      <c r="N6" s="283" t="s">
        <v>19</v>
      </c>
      <c r="O6" s="280"/>
      <c r="P6" s="283" t="s">
        <v>20</v>
      </c>
      <c r="Q6" s="280"/>
      <c r="R6" s="283" t="s">
        <v>21</v>
      </c>
      <c r="S6" s="280"/>
      <c r="T6" s="284" t="s">
        <v>22</v>
      </c>
      <c r="U6" s="282"/>
      <c r="V6" s="280"/>
      <c r="W6" s="283" t="s">
        <v>23</v>
      </c>
      <c r="X6" s="280"/>
      <c r="Y6" s="283" t="s">
        <v>24</v>
      </c>
      <c r="Z6" s="280"/>
      <c r="AA6" s="283" t="s">
        <v>25</v>
      </c>
      <c r="AB6" s="280"/>
      <c r="AC6" s="284" t="s">
        <v>26</v>
      </c>
      <c r="AD6" s="282"/>
      <c r="AE6" s="280"/>
      <c r="AF6" s="283" t="s">
        <v>27</v>
      </c>
      <c r="AG6" s="280"/>
      <c r="AH6" s="283" t="s">
        <v>28</v>
      </c>
      <c r="AI6" s="280"/>
      <c r="AJ6" s="283" t="s">
        <v>29</v>
      </c>
      <c r="AK6" s="280"/>
      <c r="AL6" s="284" t="s">
        <v>30</v>
      </c>
      <c r="AM6" s="282"/>
      <c r="AN6" s="280"/>
      <c r="AO6" s="284" t="s">
        <v>48</v>
      </c>
      <c r="AP6" s="282"/>
      <c r="AQ6" s="282"/>
      <c r="AR6" s="158"/>
    </row>
    <row r="7" spans="1:44" ht="25.5">
      <c r="A7" s="213"/>
      <c r="B7" s="214"/>
      <c r="C7" s="44"/>
      <c r="D7" s="44"/>
      <c r="E7" s="45" t="s">
        <v>32</v>
      </c>
      <c r="F7" s="48" t="s">
        <v>33</v>
      </c>
      <c r="G7" s="45" t="s">
        <v>32</v>
      </c>
      <c r="H7" s="48" t="s">
        <v>33</v>
      </c>
      <c r="I7" s="45" t="s">
        <v>32</v>
      </c>
      <c r="J7" s="48" t="s">
        <v>33</v>
      </c>
      <c r="K7" s="49" t="s">
        <v>32</v>
      </c>
      <c r="L7" s="50" t="s">
        <v>33</v>
      </c>
      <c r="M7" s="51" t="s">
        <v>34</v>
      </c>
      <c r="N7" s="45" t="s">
        <v>32</v>
      </c>
      <c r="O7" s="48" t="s">
        <v>33</v>
      </c>
      <c r="P7" s="45" t="s">
        <v>32</v>
      </c>
      <c r="Q7" s="48" t="s">
        <v>33</v>
      </c>
      <c r="R7" s="45" t="s">
        <v>32</v>
      </c>
      <c r="S7" s="48" t="s">
        <v>33</v>
      </c>
      <c r="T7" s="49" t="s">
        <v>32</v>
      </c>
      <c r="U7" s="50" t="s">
        <v>33</v>
      </c>
      <c r="V7" s="51" t="s">
        <v>34</v>
      </c>
      <c r="W7" s="45" t="s">
        <v>32</v>
      </c>
      <c r="X7" s="48" t="s">
        <v>33</v>
      </c>
      <c r="Y7" s="45" t="s">
        <v>32</v>
      </c>
      <c r="Z7" s="48" t="s">
        <v>33</v>
      </c>
      <c r="AA7" s="45" t="s">
        <v>32</v>
      </c>
      <c r="AB7" s="48" t="s">
        <v>33</v>
      </c>
      <c r="AC7" s="49" t="s">
        <v>32</v>
      </c>
      <c r="AD7" s="50" t="s">
        <v>33</v>
      </c>
      <c r="AE7" s="51" t="s">
        <v>34</v>
      </c>
      <c r="AF7" s="45" t="s">
        <v>32</v>
      </c>
      <c r="AG7" s="48" t="s">
        <v>33</v>
      </c>
      <c r="AH7" s="45" t="s">
        <v>32</v>
      </c>
      <c r="AI7" s="48" t="s">
        <v>33</v>
      </c>
      <c r="AJ7" s="45" t="s">
        <v>32</v>
      </c>
      <c r="AK7" s="48" t="s">
        <v>33</v>
      </c>
      <c r="AL7" s="49" t="s">
        <v>32</v>
      </c>
      <c r="AM7" s="50" t="s">
        <v>33</v>
      </c>
      <c r="AN7" s="51" t="s">
        <v>34</v>
      </c>
      <c r="AO7" s="49" t="s">
        <v>32</v>
      </c>
      <c r="AP7" s="50" t="s">
        <v>33</v>
      </c>
      <c r="AQ7" s="52" t="s">
        <v>34</v>
      </c>
      <c r="AR7" s="215"/>
    </row>
    <row r="8" spans="1:44">
      <c r="A8" s="153"/>
      <c r="B8" s="159"/>
      <c r="C8" s="309" t="s">
        <v>110</v>
      </c>
      <c r="D8" s="316"/>
      <c r="E8" s="216"/>
      <c r="F8" s="217"/>
      <c r="G8" s="216"/>
      <c r="H8" s="217"/>
      <c r="I8" s="216"/>
      <c r="J8" s="217"/>
      <c r="K8" s="197"/>
      <c r="L8" s="198"/>
      <c r="M8" s="199"/>
      <c r="N8" s="216"/>
      <c r="O8" s="217"/>
      <c r="P8" s="216"/>
      <c r="Q8" s="217"/>
      <c r="R8" s="216"/>
      <c r="S8" s="217"/>
      <c r="T8" s="195"/>
      <c r="U8" s="200"/>
      <c r="V8" s="196"/>
      <c r="W8" s="216"/>
      <c r="X8" s="217"/>
      <c r="Y8" s="216"/>
      <c r="Z8" s="217"/>
      <c r="AA8" s="216"/>
      <c r="AB8" s="200"/>
      <c r="AC8" s="195"/>
      <c r="AD8" s="200"/>
      <c r="AE8" s="196"/>
      <c r="AF8" s="216"/>
      <c r="AG8" s="217"/>
      <c r="AH8" s="216"/>
      <c r="AI8" s="217"/>
      <c r="AJ8" s="216"/>
      <c r="AK8" s="200"/>
      <c r="AL8" s="195"/>
      <c r="AM8" s="200"/>
      <c r="AN8" s="196"/>
      <c r="AO8" s="200"/>
      <c r="AP8" s="200"/>
      <c r="AQ8" s="200"/>
      <c r="AR8" s="158"/>
    </row>
    <row r="9" spans="1:44">
      <c r="A9" s="153"/>
      <c r="B9" s="159"/>
      <c r="C9" s="300" t="s">
        <v>111</v>
      </c>
      <c r="D9" s="317"/>
      <c r="E9" s="218">
        <v>100</v>
      </c>
      <c r="F9" s="219">
        <v>100</v>
      </c>
      <c r="G9" s="218">
        <v>100</v>
      </c>
      <c r="H9" s="219">
        <v>100</v>
      </c>
      <c r="I9" s="218">
        <v>100</v>
      </c>
      <c r="J9" s="219">
        <v>100</v>
      </c>
      <c r="K9" s="76">
        <f t="shared" ref="K9:L9" si="0">SUM(E9+G9+I9)</f>
        <v>300</v>
      </c>
      <c r="L9" s="77">
        <f t="shared" si="0"/>
        <v>300</v>
      </c>
      <c r="M9" s="78">
        <f t="shared" ref="M9:M11" si="1">K9-L9</f>
        <v>0</v>
      </c>
      <c r="N9" s="218"/>
      <c r="O9" s="219"/>
      <c r="P9" s="218"/>
      <c r="Q9" s="219"/>
      <c r="R9" s="218"/>
      <c r="S9" s="219"/>
      <c r="T9" s="76">
        <f t="shared" ref="T9:U9" si="2">SUM(N9+P9+R9)</f>
        <v>0</v>
      </c>
      <c r="U9" s="77">
        <f t="shared" si="2"/>
        <v>0</v>
      </c>
      <c r="V9" s="78">
        <f t="shared" ref="V9:V11" si="3">T9-U9</f>
        <v>0</v>
      </c>
      <c r="W9" s="218"/>
      <c r="X9" s="219"/>
      <c r="Y9" s="218"/>
      <c r="Z9" s="219"/>
      <c r="AA9" s="218"/>
      <c r="AB9" s="77"/>
      <c r="AC9" s="76">
        <f t="shared" ref="AC9:AD9" si="4">SUM(W9+Y9+AA9)</f>
        <v>0</v>
      </c>
      <c r="AD9" s="77">
        <f t="shared" si="4"/>
        <v>0</v>
      </c>
      <c r="AE9" s="78">
        <f t="shared" ref="AE9:AE11" si="5">AC9-AD9</f>
        <v>0</v>
      </c>
      <c r="AF9" s="218"/>
      <c r="AG9" s="219"/>
      <c r="AH9" s="218"/>
      <c r="AI9" s="219"/>
      <c r="AJ9" s="218"/>
      <c r="AK9" s="77"/>
      <c r="AL9" s="76">
        <f t="shared" ref="AL9:AM9" si="6">SUM(AF9+AH9+AJ9)</f>
        <v>0</v>
      </c>
      <c r="AM9" s="77">
        <f t="shared" si="6"/>
        <v>0</v>
      </c>
      <c r="AN9" s="78">
        <f t="shared" ref="AN9:AN11" si="7">AL9-AM9</f>
        <v>0</v>
      </c>
      <c r="AO9" s="77">
        <f t="shared" ref="AO9:AP9" si="8">SUM(K9+T9+AC9+AL9)</f>
        <v>300</v>
      </c>
      <c r="AP9" s="77">
        <f t="shared" si="8"/>
        <v>300</v>
      </c>
      <c r="AQ9" s="77">
        <f t="shared" ref="AQ9:AQ11" si="9">AO9-AP9</f>
        <v>0</v>
      </c>
      <c r="AR9" s="158"/>
    </row>
    <row r="10" spans="1:44">
      <c r="A10" s="153"/>
      <c r="B10" s="159"/>
      <c r="C10" s="300" t="s">
        <v>112</v>
      </c>
      <c r="D10" s="317"/>
      <c r="E10" s="218">
        <v>100</v>
      </c>
      <c r="F10" s="219">
        <v>100</v>
      </c>
      <c r="G10" s="218">
        <v>100</v>
      </c>
      <c r="H10" s="219">
        <v>100</v>
      </c>
      <c r="I10" s="218">
        <v>100</v>
      </c>
      <c r="J10" s="219">
        <v>100</v>
      </c>
      <c r="K10" s="76">
        <f t="shared" ref="K10:L10" si="10">SUM(E10+G10+I10)</f>
        <v>300</v>
      </c>
      <c r="L10" s="77">
        <f t="shared" si="10"/>
        <v>300</v>
      </c>
      <c r="M10" s="78">
        <f t="shared" si="1"/>
        <v>0</v>
      </c>
      <c r="N10" s="218"/>
      <c r="O10" s="219"/>
      <c r="P10" s="218"/>
      <c r="Q10" s="219"/>
      <c r="R10" s="218"/>
      <c r="S10" s="219"/>
      <c r="T10" s="76">
        <f t="shared" ref="T10:U10" si="11">SUM(N10+P10+R10)</f>
        <v>0</v>
      </c>
      <c r="U10" s="77">
        <f t="shared" si="11"/>
        <v>0</v>
      </c>
      <c r="V10" s="78">
        <f t="shared" si="3"/>
        <v>0</v>
      </c>
      <c r="W10" s="218"/>
      <c r="X10" s="219"/>
      <c r="Y10" s="218"/>
      <c r="Z10" s="219"/>
      <c r="AA10" s="218"/>
      <c r="AB10" s="77"/>
      <c r="AC10" s="76">
        <f t="shared" ref="AC10:AD10" si="12">SUM(W10+Y10+AA10)</f>
        <v>0</v>
      </c>
      <c r="AD10" s="77">
        <f t="shared" si="12"/>
        <v>0</v>
      </c>
      <c r="AE10" s="78">
        <f t="shared" si="5"/>
        <v>0</v>
      </c>
      <c r="AF10" s="218"/>
      <c r="AG10" s="219"/>
      <c r="AH10" s="218"/>
      <c r="AI10" s="219"/>
      <c r="AJ10" s="218"/>
      <c r="AK10" s="77"/>
      <c r="AL10" s="76">
        <f t="shared" ref="AL10:AM10" si="13">SUM(AF10+AH10+AJ10)</f>
        <v>0</v>
      </c>
      <c r="AM10" s="77">
        <f t="shared" si="13"/>
        <v>0</v>
      </c>
      <c r="AN10" s="78">
        <f t="shared" si="7"/>
        <v>0</v>
      </c>
      <c r="AO10" s="77">
        <f t="shared" ref="AO10:AP10" si="14">SUM(K10+T10+AC10+AL10)</f>
        <v>300</v>
      </c>
      <c r="AP10" s="77">
        <f t="shared" si="14"/>
        <v>300</v>
      </c>
      <c r="AQ10" s="77">
        <f t="shared" si="9"/>
        <v>0</v>
      </c>
      <c r="AR10" s="158"/>
    </row>
    <row r="11" spans="1:44">
      <c r="A11" s="153"/>
      <c r="B11" s="159"/>
      <c r="C11" s="300" t="s">
        <v>113</v>
      </c>
      <c r="D11" s="317"/>
      <c r="E11" s="218">
        <v>100</v>
      </c>
      <c r="F11" s="219">
        <v>100</v>
      </c>
      <c r="G11" s="218">
        <v>100</v>
      </c>
      <c r="H11" s="219">
        <v>100</v>
      </c>
      <c r="I11" s="218">
        <v>100</v>
      </c>
      <c r="J11" s="219">
        <v>100</v>
      </c>
      <c r="K11" s="76">
        <f t="shared" ref="K11:L11" si="15">SUM(E11+G11+I11)</f>
        <v>300</v>
      </c>
      <c r="L11" s="77">
        <f t="shared" si="15"/>
        <v>300</v>
      </c>
      <c r="M11" s="78">
        <f t="shared" si="1"/>
        <v>0</v>
      </c>
      <c r="N11" s="218"/>
      <c r="O11" s="219"/>
      <c r="P11" s="218"/>
      <c r="Q11" s="219"/>
      <c r="R11" s="218"/>
      <c r="S11" s="219"/>
      <c r="T11" s="76">
        <f t="shared" ref="T11:U11" si="16">SUM(N11+P11+R11)</f>
        <v>0</v>
      </c>
      <c r="U11" s="77">
        <f t="shared" si="16"/>
        <v>0</v>
      </c>
      <c r="V11" s="78">
        <f t="shared" si="3"/>
        <v>0</v>
      </c>
      <c r="W11" s="218"/>
      <c r="X11" s="219"/>
      <c r="Y11" s="218"/>
      <c r="Z11" s="219"/>
      <c r="AA11" s="218"/>
      <c r="AB11" s="77"/>
      <c r="AC11" s="76">
        <f t="shared" ref="AC11:AD11" si="17">SUM(W11+Y11+AA11)</f>
        <v>0</v>
      </c>
      <c r="AD11" s="77">
        <f t="shared" si="17"/>
        <v>0</v>
      </c>
      <c r="AE11" s="78">
        <f t="shared" si="5"/>
        <v>0</v>
      </c>
      <c r="AF11" s="218"/>
      <c r="AG11" s="219"/>
      <c r="AH11" s="218"/>
      <c r="AI11" s="219"/>
      <c r="AJ11" s="218"/>
      <c r="AK11" s="77"/>
      <c r="AL11" s="76">
        <f t="shared" ref="AL11:AM11" si="18">SUM(AF11+AH11+AJ11)</f>
        <v>0</v>
      </c>
      <c r="AM11" s="77">
        <f t="shared" si="18"/>
        <v>0</v>
      </c>
      <c r="AN11" s="78">
        <f t="shared" si="7"/>
        <v>0</v>
      </c>
      <c r="AO11" s="77">
        <f t="shared" ref="AO11:AP11" si="19">SUM(K11+T11+AC11+AL11)</f>
        <v>300</v>
      </c>
      <c r="AP11" s="77">
        <f t="shared" si="19"/>
        <v>300</v>
      </c>
      <c r="AQ11" s="77">
        <f t="shared" si="9"/>
        <v>0</v>
      </c>
      <c r="AR11" s="158"/>
    </row>
    <row r="12" spans="1:44">
      <c r="A12" s="153"/>
      <c r="B12" s="159"/>
      <c r="C12" s="301" t="s">
        <v>114</v>
      </c>
      <c r="D12" s="318"/>
      <c r="E12" s="220"/>
      <c r="F12" s="221"/>
      <c r="G12" s="220"/>
      <c r="H12" s="221"/>
      <c r="I12" s="220"/>
      <c r="J12" s="221"/>
      <c r="K12" s="180"/>
      <c r="L12" s="182"/>
      <c r="M12" s="181"/>
      <c r="N12" s="220"/>
      <c r="O12" s="221"/>
      <c r="P12" s="220"/>
      <c r="Q12" s="221"/>
      <c r="R12" s="220"/>
      <c r="S12" s="221"/>
      <c r="T12" s="180"/>
      <c r="U12" s="182"/>
      <c r="V12" s="181"/>
      <c r="W12" s="220"/>
      <c r="X12" s="221"/>
      <c r="Y12" s="220"/>
      <c r="Z12" s="221"/>
      <c r="AA12" s="220"/>
      <c r="AB12" s="182"/>
      <c r="AC12" s="180"/>
      <c r="AD12" s="182"/>
      <c r="AE12" s="181"/>
      <c r="AF12" s="220"/>
      <c r="AG12" s="221"/>
      <c r="AH12" s="220"/>
      <c r="AI12" s="221"/>
      <c r="AJ12" s="220"/>
      <c r="AK12" s="182"/>
      <c r="AL12" s="180"/>
      <c r="AM12" s="182"/>
      <c r="AN12" s="181"/>
      <c r="AO12" s="182"/>
      <c r="AP12" s="182"/>
      <c r="AQ12" s="182"/>
      <c r="AR12" s="158"/>
    </row>
    <row r="13" spans="1:44">
      <c r="A13" s="153"/>
      <c r="B13" s="159"/>
      <c r="C13" s="300" t="s">
        <v>115</v>
      </c>
      <c r="D13" s="317"/>
      <c r="E13" s="218">
        <v>100</v>
      </c>
      <c r="F13" s="219">
        <v>100</v>
      </c>
      <c r="G13" s="218">
        <v>100</v>
      </c>
      <c r="H13" s="219">
        <v>100</v>
      </c>
      <c r="I13" s="218">
        <v>100</v>
      </c>
      <c r="J13" s="219">
        <v>100</v>
      </c>
      <c r="K13" s="76">
        <f t="shared" ref="K13:L13" si="20">SUM(E13+G13+I13)</f>
        <v>300</v>
      </c>
      <c r="L13" s="77">
        <f t="shared" si="20"/>
        <v>300</v>
      </c>
      <c r="M13" s="78">
        <f t="shared" ref="M13:M16" si="21">K13-L13</f>
        <v>0</v>
      </c>
      <c r="N13" s="218"/>
      <c r="O13" s="219"/>
      <c r="P13" s="218"/>
      <c r="Q13" s="219"/>
      <c r="R13" s="218"/>
      <c r="S13" s="219"/>
      <c r="T13" s="76">
        <f t="shared" ref="T13:U13" si="22">SUM(N13+P13+R13)</f>
        <v>0</v>
      </c>
      <c r="U13" s="77">
        <f t="shared" si="22"/>
        <v>0</v>
      </c>
      <c r="V13" s="78">
        <f t="shared" ref="V13:V16" si="23">T13-U13</f>
        <v>0</v>
      </c>
      <c r="W13" s="218"/>
      <c r="X13" s="219"/>
      <c r="Y13" s="218"/>
      <c r="Z13" s="219"/>
      <c r="AA13" s="218"/>
      <c r="AB13" s="77"/>
      <c r="AC13" s="76">
        <f t="shared" ref="AC13:AD13" si="24">SUM(W13+Y13+AA13)</f>
        <v>0</v>
      </c>
      <c r="AD13" s="77">
        <f t="shared" si="24"/>
        <v>0</v>
      </c>
      <c r="AE13" s="78">
        <f t="shared" ref="AE13:AE16" si="25">AC13-AD13</f>
        <v>0</v>
      </c>
      <c r="AF13" s="218"/>
      <c r="AG13" s="219"/>
      <c r="AH13" s="218"/>
      <c r="AI13" s="219"/>
      <c r="AJ13" s="218"/>
      <c r="AK13" s="77"/>
      <c r="AL13" s="76">
        <f t="shared" ref="AL13:AM13" si="26">SUM(AF13+AH13+AJ13)</f>
        <v>0</v>
      </c>
      <c r="AM13" s="77">
        <f t="shared" si="26"/>
        <v>0</v>
      </c>
      <c r="AN13" s="78">
        <f t="shared" ref="AN13:AN16" si="27">AL13-AM13</f>
        <v>0</v>
      </c>
      <c r="AO13" s="77">
        <f t="shared" ref="AO13:AP13" si="28">SUM(K13+T13+AC13+AL13)</f>
        <v>300</v>
      </c>
      <c r="AP13" s="77">
        <f t="shared" si="28"/>
        <v>300</v>
      </c>
      <c r="AQ13" s="77">
        <f t="shared" ref="AQ13:AQ16" si="29">AO13-AP13</f>
        <v>0</v>
      </c>
      <c r="AR13" s="158"/>
    </row>
    <row r="14" spans="1:44">
      <c r="A14" s="153"/>
      <c r="B14" s="159"/>
      <c r="C14" s="300" t="s">
        <v>116</v>
      </c>
      <c r="D14" s="317"/>
      <c r="E14" s="218">
        <v>100</v>
      </c>
      <c r="F14" s="219">
        <v>100</v>
      </c>
      <c r="G14" s="218">
        <v>100</v>
      </c>
      <c r="H14" s="219">
        <v>100</v>
      </c>
      <c r="I14" s="218">
        <v>100</v>
      </c>
      <c r="J14" s="219">
        <v>100</v>
      </c>
      <c r="K14" s="76">
        <f t="shared" ref="K14:L14" si="30">SUM(E14+G14+I14)</f>
        <v>300</v>
      </c>
      <c r="L14" s="77">
        <f t="shared" si="30"/>
        <v>300</v>
      </c>
      <c r="M14" s="78">
        <f t="shared" si="21"/>
        <v>0</v>
      </c>
      <c r="N14" s="218"/>
      <c r="O14" s="219"/>
      <c r="P14" s="218"/>
      <c r="Q14" s="219"/>
      <c r="R14" s="218"/>
      <c r="S14" s="219"/>
      <c r="T14" s="76">
        <f t="shared" ref="T14:U14" si="31">SUM(N14+P14+R14)</f>
        <v>0</v>
      </c>
      <c r="U14" s="77">
        <f t="shared" si="31"/>
        <v>0</v>
      </c>
      <c r="V14" s="78">
        <f t="shared" si="23"/>
        <v>0</v>
      </c>
      <c r="W14" s="218"/>
      <c r="X14" s="219"/>
      <c r="Y14" s="218"/>
      <c r="Z14" s="219"/>
      <c r="AA14" s="218"/>
      <c r="AB14" s="77"/>
      <c r="AC14" s="76">
        <f t="shared" ref="AC14:AD14" si="32">SUM(W14+Y14+AA14)</f>
        <v>0</v>
      </c>
      <c r="AD14" s="77">
        <f t="shared" si="32"/>
        <v>0</v>
      </c>
      <c r="AE14" s="78">
        <f t="shared" si="25"/>
        <v>0</v>
      </c>
      <c r="AF14" s="218"/>
      <c r="AG14" s="219"/>
      <c r="AH14" s="218"/>
      <c r="AI14" s="219"/>
      <c r="AJ14" s="218"/>
      <c r="AK14" s="77"/>
      <c r="AL14" s="76">
        <f t="shared" ref="AL14:AM14" si="33">SUM(AF14+AH14+AJ14)</f>
        <v>0</v>
      </c>
      <c r="AM14" s="77">
        <f t="shared" si="33"/>
        <v>0</v>
      </c>
      <c r="AN14" s="78">
        <f t="shared" si="27"/>
        <v>0</v>
      </c>
      <c r="AO14" s="77">
        <f t="shared" ref="AO14:AP14" si="34">SUM(K14+T14+AC14+AL14)</f>
        <v>300</v>
      </c>
      <c r="AP14" s="77">
        <f t="shared" si="34"/>
        <v>300</v>
      </c>
      <c r="AQ14" s="77">
        <f t="shared" si="29"/>
        <v>0</v>
      </c>
      <c r="AR14" s="158"/>
    </row>
    <row r="15" spans="1:44">
      <c r="A15" s="153"/>
      <c r="B15" s="159"/>
      <c r="C15" s="300" t="s">
        <v>117</v>
      </c>
      <c r="D15" s="317"/>
      <c r="E15" s="218">
        <v>100</v>
      </c>
      <c r="F15" s="219">
        <v>100</v>
      </c>
      <c r="G15" s="218">
        <v>100</v>
      </c>
      <c r="H15" s="219">
        <v>100</v>
      </c>
      <c r="I15" s="218">
        <v>100</v>
      </c>
      <c r="J15" s="219">
        <v>100</v>
      </c>
      <c r="K15" s="76">
        <f t="shared" ref="K15:L15" si="35">SUM(E15+G15+I15)</f>
        <v>300</v>
      </c>
      <c r="L15" s="77">
        <f t="shared" si="35"/>
        <v>300</v>
      </c>
      <c r="M15" s="78">
        <f t="shared" si="21"/>
        <v>0</v>
      </c>
      <c r="N15" s="218"/>
      <c r="O15" s="219"/>
      <c r="P15" s="218"/>
      <c r="Q15" s="219"/>
      <c r="R15" s="218"/>
      <c r="S15" s="219"/>
      <c r="T15" s="76">
        <f t="shared" ref="T15:U15" si="36">SUM(N15+P15+R15)</f>
        <v>0</v>
      </c>
      <c r="U15" s="77">
        <f t="shared" si="36"/>
        <v>0</v>
      </c>
      <c r="V15" s="78">
        <f t="shared" si="23"/>
        <v>0</v>
      </c>
      <c r="W15" s="218"/>
      <c r="X15" s="219"/>
      <c r="Y15" s="218"/>
      <c r="Z15" s="219"/>
      <c r="AA15" s="218"/>
      <c r="AB15" s="77"/>
      <c r="AC15" s="76">
        <f t="shared" ref="AC15:AD15" si="37">SUM(W15+Y15+AA15)</f>
        <v>0</v>
      </c>
      <c r="AD15" s="77">
        <f t="shared" si="37"/>
        <v>0</v>
      </c>
      <c r="AE15" s="78">
        <f t="shared" si="25"/>
        <v>0</v>
      </c>
      <c r="AF15" s="218"/>
      <c r="AG15" s="219"/>
      <c r="AH15" s="218"/>
      <c r="AI15" s="219"/>
      <c r="AJ15" s="218"/>
      <c r="AK15" s="77"/>
      <c r="AL15" s="76">
        <f t="shared" ref="AL15:AM15" si="38">SUM(AF15+AH15+AJ15)</f>
        <v>0</v>
      </c>
      <c r="AM15" s="77">
        <f t="shared" si="38"/>
        <v>0</v>
      </c>
      <c r="AN15" s="78">
        <f t="shared" si="27"/>
        <v>0</v>
      </c>
      <c r="AO15" s="77">
        <f t="shared" ref="AO15:AP15" si="39">SUM(K15+T15+AC15+AL15)</f>
        <v>300</v>
      </c>
      <c r="AP15" s="77">
        <f t="shared" si="39"/>
        <v>300</v>
      </c>
      <c r="AQ15" s="77">
        <f t="shared" si="29"/>
        <v>0</v>
      </c>
      <c r="AR15" s="158"/>
    </row>
    <row r="16" spans="1:44">
      <c r="A16" s="153"/>
      <c r="B16" s="159"/>
      <c r="C16" s="300" t="s">
        <v>118</v>
      </c>
      <c r="D16" s="317"/>
      <c r="E16" s="218">
        <v>100</v>
      </c>
      <c r="F16" s="219">
        <v>100</v>
      </c>
      <c r="G16" s="218">
        <v>100</v>
      </c>
      <c r="H16" s="219">
        <v>100</v>
      </c>
      <c r="I16" s="218">
        <v>100</v>
      </c>
      <c r="J16" s="219">
        <v>100</v>
      </c>
      <c r="K16" s="76">
        <f t="shared" ref="K16:L16" si="40">SUM(E16+G16+I16)</f>
        <v>300</v>
      </c>
      <c r="L16" s="77">
        <f t="shared" si="40"/>
        <v>300</v>
      </c>
      <c r="M16" s="78">
        <f t="shared" si="21"/>
        <v>0</v>
      </c>
      <c r="N16" s="218"/>
      <c r="O16" s="219"/>
      <c r="P16" s="218"/>
      <c r="Q16" s="219"/>
      <c r="R16" s="218"/>
      <c r="S16" s="219"/>
      <c r="T16" s="76">
        <f t="shared" ref="T16:U16" si="41">SUM(N16+P16+R16)</f>
        <v>0</v>
      </c>
      <c r="U16" s="77">
        <f t="shared" si="41"/>
        <v>0</v>
      </c>
      <c r="V16" s="78">
        <f t="shared" si="23"/>
        <v>0</v>
      </c>
      <c r="W16" s="218"/>
      <c r="X16" s="219"/>
      <c r="Y16" s="218"/>
      <c r="Z16" s="219"/>
      <c r="AA16" s="218"/>
      <c r="AB16" s="77"/>
      <c r="AC16" s="76">
        <f t="shared" ref="AC16:AD16" si="42">SUM(W16+Y16+AA16)</f>
        <v>0</v>
      </c>
      <c r="AD16" s="77">
        <f t="shared" si="42"/>
        <v>0</v>
      </c>
      <c r="AE16" s="78">
        <f t="shared" si="25"/>
        <v>0</v>
      </c>
      <c r="AF16" s="218"/>
      <c r="AG16" s="219"/>
      <c r="AH16" s="218"/>
      <c r="AI16" s="219"/>
      <c r="AJ16" s="218"/>
      <c r="AK16" s="77"/>
      <c r="AL16" s="76">
        <f t="shared" ref="AL16:AM16" si="43">SUM(AF16+AH16+AJ16)</f>
        <v>0</v>
      </c>
      <c r="AM16" s="77">
        <f t="shared" si="43"/>
        <v>0</v>
      </c>
      <c r="AN16" s="78">
        <f t="shared" si="27"/>
        <v>0</v>
      </c>
      <c r="AO16" s="77">
        <f t="shared" ref="AO16:AP16" si="44">SUM(K16+T16+AC16+AL16)</f>
        <v>300</v>
      </c>
      <c r="AP16" s="77">
        <f t="shared" si="44"/>
        <v>300</v>
      </c>
      <c r="AQ16" s="77">
        <f t="shared" si="29"/>
        <v>0</v>
      </c>
      <c r="AR16" s="158"/>
    </row>
    <row r="17" spans="1:44">
      <c r="A17" s="153"/>
      <c r="B17" s="159"/>
      <c r="C17" s="310" t="s">
        <v>119</v>
      </c>
      <c r="D17" s="318"/>
      <c r="E17" s="222"/>
      <c r="F17" s="223"/>
      <c r="G17" s="222"/>
      <c r="H17" s="223"/>
      <c r="I17" s="222"/>
      <c r="J17" s="223"/>
      <c r="K17" s="201"/>
      <c r="L17" s="203"/>
      <c r="M17" s="202"/>
      <c r="N17" s="222"/>
      <c r="O17" s="223"/>
      <c r="P17" s="222"/>
      <c r="Q17" s="223"/>
      <c r="R17" s="222"/>
      <c r="S17" s="223"/>
      <c r="T17" s="201"/>
      <c r="U17" s="203"/>
      <c r="V17" s="202"/>
      <c r="W17" s="222"/>
      <c r="X17" s="223"/>
      <c r="Y17" s="222"/>
      <c r="Z17" s="223"/>
      <c r="AA17" s="222"/>
      <c r="AB17" s="203"/>
      <c r="AC17" s="201"/>
      <c r="AD17" s="203"/>
      <c r="AE17" s="202"/>
      <c r="AF17" s="222"/>
      <c r="AG17" s="223"/>
      <c r="AH17" s="222"/>
      <c r="AI17" s="223"/>
      <c r="AJ17" s="222"/>
      <c r="AK17" s="203"/>
      <c r="AL17" s="201"/>
      <c r="AM17" s="203"/>
      <c r="AN17" s="202"/>
      <c r="AO17" s="203"/>
      <c r="AP17" s="203"/>
      <c r="AQ17" s="203"/>
      <c r="AR17" s="158"/>
    </row>
    <row r="18" spans="1:44">
      <c r="A18" s="153"/>
      <c r="B18" s="159"/>
      <c r="C18" s="300" t="s">
        <v>120</v>
      </c>
      <c r="D18" s="317"/>
      <c r="E18" s="218">
        <v>100</v>
      </c>
      <c r="F18" s="219">
        <v>100</v>
      </c>
      <c r="G18" s="218">
        <v>100</v>
      </c>
      <c r="H18" s="219">
        <v>100</v>
      </c>
      <c r="I18" s="218">
        <v>100</v>
      </c>
      <c r="J18" s="219">
        <v>100</v>
      </c>
      <c r="K18" s="76">
        <f t="shared" ref="K18:L18" si="45">SUM(E18+G18+I18)</f>
        <v>300</v>
      </c>
      <c r="L18" s="77">
        <f t="shared" si="45"/>
        <v>300</v>
      </c>
      <c r="M18" s="78">
        <f t="shared" ref="M18:M21" si="46">K18-L18</f>
        <v>0</v>
      </c>
      <c r="N18" s="218"/>
      <c r="O18" s="219"/>
      <c r="P18" s="218"/>
      <c r="Q18" s="219"/>
      <c r="R18" s="218"/>
      <c r="S18" s="219"/>
      <c r="T18" s="76">
        <f t="shared" ref="T18:U18" si="47">SUM(N18+P18+R18)</f>
        <v>0</v>
      </c>
      <c r="U18" s="77">
        <f t="shared" si="47"/>
        <v>0</v>
      </c>
      <c r="V18" s="78">
        <f t="shared" ref="V18:V21" si="48">T18-U18</f>
        <v>0</v>
      </c>
      <c r="W18" s="218"/>
      <c r="X18" s="219"/>
      <c r="Y18" s="218"/>
      <c r="Z18" s="219"/>
      <c r="AA18" s="218"/>
      <c r="AB18" s="77"/>
      <c r="AC18" s="76">
        <f t="shared" ref="AC18:AD18" si="49">SUM(W18+Y18+AA18)</f>
        <v>0</v>
      </c>
      <c r="AD18" s="77">
        <f t="shared" si="49"/>
        <v>0</v>
      </c>
      <c r="AE18" s="78">
        <f t="shared" ref="AE18:AE21" si="50">AC18-AD18</f>
        <v>0</v>
      </c>
      <c r="AF18" s="218"/>
      <c r="AG18" s="219"/>
      <c r="AH18" s="218"/>
      <c r="AI18" s="219"/>
      <c r="AJ18" s="218"/>
      <c r="AK18" s="77"/>
      <c r="AL18" s="76">
        <f t="shared" ref="AL18:AM18" si="51">SUM(AF18+AH18+AJ18)</f>
        <v>0</v>
      </c>
      <c r="AM18" s="77">
        <f t="shared" si="51"/>
        <v>0</v>
      </c>
      <c r="AN18" s="78">
        <f t="shared" ref="AN18:AN21" si="52">AL18-AM18</f>
        <v>0</v>
      </c>
      <c r="AO18" s="77">
        <f t="shared" ref="AO18:AP18" si="53">SUM(K18+T18+AC18+AL18)</f>
        <v>300</v>
      </c>
      <c r="AP18" s="77">
        <f t="shared" si="53"/>
        <v>300</v>
      </c>
      <c r="AQ18" s="77">
        <f t="shared" ref="AQ18:AQ21" si="54">AO18-AP18</f>
        <v>0</v>
      </c>
      <c r="AR18" s="158"/>
    </row>
    <row r="19" spans="1:44">
      <c r="A19" s="153"/>
      <c r="B19" s="159"/>
      <c r="C19" s="300" t="s">
        <v>121</v>
      </c>
      <c r="D19" s="317"/>
      <c r="E19" s="218">
        <v>100</v>
      </c>
      <c r="F19" s="219">
        <v>100</v>
      </c>
      <c r="G19" s="218">
        <v>100</v>
      </c>
      <c r="H19" s="219">
        <v>100</v>
      </c>
      <c r="I19" s="218">
        <v>100</v>
      </c>
      <c r="J19" s="219">
        <v>100</v>
      </c>
      <c r="K19" s="76">
        <f t="shared" ref="K19:L19" si="55">SUM(E19+G19+I19)</f>
        <v>300</v>
      </c>
      <c r="L19" s="77">
        <f t="shared" si="55"/>
        <v>300</v>
      </c>
      <c r="M19" s="78">
        <f t="shared" si="46"/>
        <v>0</v>
      </c>
      <c r="N19" s="218"/>
      <c r="O19" s="219"/>
      <c r="P19" s="218"/>
      <c r="Q19" s="219"/>
      <c r="R19" s="218"/>
      <c r="S19" s="219"/>
      <c r="T19" s="76">
        <f t="shared" ref="T19:U19" si="56">SUM(N19+P19+R19)</f>
        <v>0</v>
      </c>
      <c r="U19" s="77">
        <f t="shared" si="56"/>
        <v>0</v>
      </c>
      <c r="V19" s="78">
        <f t="shared" si="48"/>
        <v>0</v>
      </c>
      <c r="W19" s="218"/>
      <c r="X19" s="219"/>
      <c r="Y19" s="218"/>
      <c r="Z19" s="219"/>
      <c r="AA19" s="218"/>
      <c r="AB19" s="77"/>
      <c r="AC19" s="76">
        <f t="shared" ref="AC19:AD19" si="57">SUM(W19+Y19+AA19)</f>
        <v>0</v>
      </c>
      <c r="AD19" s="77">
        <f t="shared" si="57"/>
        <v>0</v>
      </c>
      <c r="AE19" s="78">
        <f t="shared" si="50"/>
        <v>0</v>
      </c>
      <c r="AF19" s="218"/>
      <c r="AG19" s="219"/>
      <c r="AH19" s="218"/>
      <c r="AI19" s="219"/>
      <c r="AJ19" s="218"/>
      <c r="AK19" s="77"/>
      <c r="AL19" s="76">
        <f t="shared" ref="AL19:AM19" si="58">SUM(AF19+AH19+AJ19)</f>
        <v>0</v>
      </c>
      <c r="AM19" s="77">
        <f t="shared" si="58"/>
        <v>0</v>
      </c>
      <c r="AN19" s="78">
        <f t="shared" si="52"/>
        <v>0</v>
      </c>
      <c r="AO19" s="77">
        <f t="shared" ref="AO19:AP19" si="59">SUM(K19+T19+AC19+AL19)</f>
        <v>300</v>
      </c>
      <c r="AP19" s="77">
        <f t="shared" si="59"/>
        <v>300</v>
      </c>
      <c r="AQ19" s="77">
        <f t="shared" si="54"/>
        <v>0</v>
      </c>
      <c r="AR19" s="158"/>
    </row>
    <row r="20" spans="1:44">
      <c r="A20" s="153"/>
      <c r="B20" s="159"/>
      <c r="C20" s="300" t="s">
        <v>122</v>
      </c>
      <c r="D20" s="317"/>
      <c r="E20" s="218">
        <v>100</v>
      </c>
      <c r="F20" s="219">
        <v>100</v>
      </c>
      <c r="G20" s="218">
        <v>100</v>
      </c>
      <c r="H20" s="219">
        <v>100</v>
      </c>
      <c r="I20" s="218">
        <v>100</v>
      </c>
      <c r="J20" s="219">
        <v>100</v>
      </c>
      <c r="K20" s="76">
        <f t="shared" ref="K20:L20" si="60">SUM(E20+G20+I20)</f>
        <v>300</v>
      </c>
      <c r="L20" s="77">
        <f t="shared" si="60"/>
        <v>300</v>
      </c>
      <c r="M20" s="78">
        <f t="shared" si="46"/>
        <v>0</v>
      </c>
      <c r="N20" s="218"/>
      <c r="O20" s="219"/>
      <c r="P20" s="218"/>
      <c r="Q20" s="219"/>
      <c r="R20" s="218"/>
      <c r="S20" s="219"/>
      <c r="T20" s="76">
        <f t="shared" ref="T20:U20" si="61">SUM(N20+P20+R20)</f>
        <v>0</v>
      </c>
      <c r="U20" s="77">
        <f t="shared" si="61"/>
        <v>0</v>
      </c>
      <c r="V20" s="78">
        <f t="shared" si="48"/>
        <v>0</v>
      </c>
      <c r="W20" s="218"/>
      <c r="X20" s="219"/>
      <c r="Y20" s="218"/>
      <c r="Z20" s="219"/>
      <c r="AA20" s="218"/>
      <c r="AB20" s="77"/>
      <c r="AC20" s="76">
        <f t="shared" ref="AC20:AD20" si="62">SUM(W20+Y20+AA20)</f>
        <v>0</v>
      </c>
      <c r="AD20" s="77">
        <f t="shared" si="62"/>
        <v>0</v>
      </c>
      <c r="AE20" s="78">
        <f t="shared" si="50"/>
        <v>0</v>
      </c>
      <c r="AF20" s="218"/>
      <c r="AG20" s="219"/>
      <c r="AH20" s="218"/>
      <c r="AI20" s="219"/>
      <c r="AJ20" s="218"/>
      <c r="AK20" s="77"/>
      <c r="AL20" s="76">
        <f t="shared" ref="AL20:AM20" si="63">SUM(AF20+AH20+AJ20)</f>
        <v>0</v>
      </c>
      <c r="AM20" s="77">
        <f t="shared" si="63"/>
        <v>0</v>
      </c>
      <c r="AN20" s="78">
        <f t="shared" si="52"/>
        <v>0</v>
      </c>
      <c r="AO20" s="77">
        <f t="shared" ref="AO20:AP20" si="64">SUM(K20+T20+AC20+AL20)</f>
        <v>300</v>
      </c>
      <c r="AP20" s="77">
        <f t="shared" si="64"/>
        <v>300</v>
      </c>
      <c r="AQ20" s="77">
        <f t="shared" si="54"/>
        <v>0</v>
      </c>
      <c r="AR20" s="158"/>
    </row>
    <row r="21" spans="1:44" ht="15.75" customHeight="1">
      <c r="A21" s="153"/>
      <c r="B21" s="159"/>
      <c r="C21" s="300" t="s">
        <v>123</v>
      </c>
      <c r="D21" s="317"/>
      <c r="E21" s="218">
        <v>100</v>
      </c>
      <c r="F21" s="219">
        <v>100</v>
      </c>
      <c r="G21" s="218">
        <v>100</v>
      </c>
      <c r="H21" s="219">
        <v>100</v>
      </c>
      <c r="I21" s="218">
        <v>100</v>
      </c>
      <c r="J21" s="219">
        <v>100</v>
      </c>
      <c r="K21" s="76">
        <f t="shared" ref="K21:L21" si="65">SUM(E21+G21+I21)</f>
        <v>300</v>
      </c>
      <c r="L21" s="77">
        <f t="shared" si="65"/>
        <v>300</v>
      </c>
      <c r="M21" s="78">
        <f t="shared" si="46"/>
        <v>0</v>
      </c>
      <c r="N21" s="218"/>
      <c r="O21" s="219"/>
      <c r="P21" s="218"/>
      <c r="Q21" s="219"/>
      <c r="R21" s="218"/>
      <c r="S21" s="219"/>
      <c r="T21" s="76">
        <f t="shared" ref="T21:U21" si="66">SUM(N21+P21+R21)</f>
        <v>0</v>
      </c>
      <c r="U21" s="77">
        <f t="shared" si="66"/>
        <v>0</v>
      </c>
      <c r="V21" s="78">
        <f t="shared" si="48"/>
        <v>0</v>
      </c>
      <c r="W21" s="218"/>
      <c r="X21" s="219"/>
      <c r="Y21" s="218"/>
      <c r="Z21" s="219"/>
      <c r="AA21" s="218"/>
      <c r="AB21" s="77"/>
      <c r="AC21" s="76">
        <f t="shared" ref="AC21:AD21" si="67">SUM(W21+Y21+AA21)</f>
        <v>0</v>
      </c>
      <c r="AD21" s="77">
        <f t="shared" si="67"/>
        <v>0</v>
      </c>
      <c r="AE21" s="78">
        <f t="shared" si="50"/>
        <v>0</v>
      </c>
      <c r="AF21" s="218"/>
      <c r="AG21" s="219"/>
      <c r="AH21" s="218"/>
      <c r="AI21" s="219"/>
      <c r="AJ21" s="218"/>
      <c r="AK21" s="77"/>
      <c r="AL21" s="76">
        <f t="shared" ref="AL21:AM21" si="68">SUM(AF21+AH21+AJ21)</f>
        <v>0</v>
      </c>
      <c r="AM21" s="77">
        <f t="shared" si="68"/>
        <v>0</v>
      </c>
      <c r="AN21" s="78">
        <f t="shared" si="52"/>
        <v>0</v>
      </c>
      <c r="AO21" s="77">
        <f t="shared" ref="AO21:AP21" si="69">SUM(K21+T21+AC21+AL21)</f>
        <v>300</v>
      </c>
      <c r="AP21" s="77">
        <f t="shared" si="69"/>
        <v>300</v>
      </c>
      <c r="AQ21" s="77">
        <f t="shared" si="54"/>
        <v>0</v>
      </c>
      <c r="AR21" s="158"/>
    </row>
    <row r="22" spans="1:44" ht="15.75" customHeight="1">
      <c r="A22" s="153"/>
      <c r="B22" s="159"/>
      <c r="C22" s="311" t="s">
        <v>124</v>
      </c>
      <c r="D22" s="318"/>
      <c r="E22" s="224"/>
      <c r="F22" s="225"/>
      <c r="G22" s="224"/>
      <c r="H22" s="225"/>
      <c r="I22" s="224"/>
      <c r="J22" s="225"/>
      <c r="K22" s="204"/>
      <c r="L22" s="206"/>
      <c r="M22" s="205"/>
      <c r="N22" s="224"/>
      <c r="O22" s="225"/>
      <c r="P22" s="224"/>
      <c r="Q22" s="225"/>
      <c r="R22" s="224"/>
      <c r="S22" s="225"/>
      <c r="T22" s="204"/>
      <c r="U22" s="206"/>
      <c r="V22" s="205"/>
      <c r="W22" s="224"/>
      <c r="X22" s="225"/>
      <c r="Y22" s="224"/>
      <c r="Z22" s="225"/>
      <c r="AA22" s="224"/>
      <c r="AB22" s="206"/>
      <c r="AC22" s="204"/>
      <c r="AD22" s="206"/>
      <c r="AE22" s="205"/>
      <c r="AF22" s="224"/>
      <c r="AG22" s="225"/>
      <c r="AH22" s="224"/>
      <c r="AI22" s="225"/>
      <c r="AJ22" s="224"/>
      <c r="AK22" s="206"/>
      <c r="AL22" s="204"/>
      <c r="AM22" s="206"/>
      <c r="AN22" s="205"/>
      <c r="AO22" s="206"/>
      <c r="AP22" s="206"/>
      <c r="AQ22" s="206"/>
      <c r="AR22" s="158"/>
    </row>
    <row r="23" spans="1:44" ht="15.75" customHeight="1">
      <c r="A23" s="153"/>
      <c r="B23" s="159"/>
      <c r="C23" s="300" t="s">
        <v>125</v>
      </c>
      <c r="D23" s="317"/>
      <c r="E23" s="218">
        <v>100</v>
      </c>
      <c r="F23" s="219">
        <v>100</v>
      </c>
      <c r="G23" s="218">
        <v>100</v>
      </c>
      <c r="H23" s="219">
        <v>100</v>
      </c>
      <c r="I23" s="218">
        <v>100</v>
      </c>
      <c r="J23" s="219">
        <v>100</v>
      </c>
      <c r="K23" s="76">
        <f t="shared" ref="K23:L23" si="70">SUM(E23+G23+I23)</f>
        <v>300</v>
      </c>
      <c r="L23" s="77">
        <f t="shared" si="70"/>
        <v>300</v>
      </c>
      <c r="M23" s="78">
        <f t="shared" ref="M23:M25" si="71">K23-L23</f>
        <v>0</v>
      </c>
      <c r="N23" s="218"/>
      <c r="O23" s="219"/>
      <c r="P23" s="218"/>
      <c r="Q23" s="219"/>
      <c r="R23" s="218"/>
      <c r="S23" s="219"/>
      <c r="T23" s="76">
        <f t="shared" ref="T23:U23" si="72">SUM(N23+P23+R23)</f>
        <v>0</v>
      </c>
      <c r="U23" s="77">
        <f t="shared" si="72"/>
        <v>0</v>
      </c>
      <c r="V23" s="78">
        <f t="shared" ref="V23:V25" si="73">T23-U23</f>
        <v>0</v>
      </c>
      <c r="W23" s="218"/>
      <c r="X23" s="219"/>
      <c r="Y23" s="218"/>
      <c r="Z23" s="219"/>
      <c r="AA23" s="218"/>
      <c r="AB23" s="77"/>
      <c r="AC23" s="76">
        <f t="shared" ref="AC23:AD23" si="74">SUM(W23+Y23+AA23)</f>
        <v>0</v>
      </c>
      <c r="AD23" s="77">
        <f t="shared" si="74"/>
        <v>0</v>
      </c>
      <c r="AE23" s="78">
        <f t="shared" ref="AE23:AE25" si="75">AC23-AD23</f>
        <v>0</v>
      </c>
      <c r="AF23" s="218"/>
      <c r="AG23" s="219"/>
      <c r="AH23" s="218"/>
      <c r="AI23" s="219"/>
      <c r="AJ23" s="218"/>
      <c r="AK23" s="77"/>
      <c r="AL23" s="76">
        <f t="shared" ref="AL23:AM23" si="76">SUM(AF23+AH23+AJ23)</f>
        <v>0</v>
      </c>
      <c r="AM23" s="77">
        <f t="shared" si="76"/>
        <v>0</v>
      </c>
      <c r="AN23" s="78">
        <f t="shared" ref="AN23:AN25" si="77">AL23-AM23</f>
        <v>0</v>
      </c>
      <c r="AO23" s="77">
        <f t="shared" ref="AO23:AP23" si="78">SUM(K23+T23+AC23+AL23)</f>
        <v>300</v>
      </c>
      <c r="AP23" s="77">
        <f t="shared" si="78"/>
        <v>300</v>
      </c>
      <c r="AQ23" s="77">
        <f t="shared" ref="AQ23:AQ25" si="79">AO23-AP23</f>
        <v>0</v>
      </c>
      <c r="AR23" s="158"/>
    </row>
    <row r="24" spans="1:44" ht="15.75" customHeight="1">
      <c r="A24" s="153"/>
      <c r="B24" s="159"/>
      <c r="C24" s="300" t="s">
        <v>126</v>
      </c>
      <c r="D24" s="317"/>
      <c r="E24" s="218">
        <v>100</v>
      </c>
      <c r="F24" s="219">
        <v>100</v>
      </c>
      <c r="G24" s="218">
        <v>100</v>
      </c>
      <c r="H24" s="219">
        <v>100</v>
      </c>
      <c r="I24" s="218">
        <v>100</v>
      </c>
      <c r="J24" s="219">
        <v>100</v>
      </c>
      <c r="K24" s="76">
        <f t="shared" ref="K24:L24" si="80">SUM(E24+G24+I24)</f>
        <v>300</v>
      </c>
      <c r="L24" s="77">
        <f t="shared" si="80"/>
        <v>300</v>
      </c>
      <c r="M24" s="78">
        <f t="shared" si="71"/>
        <v>0</v>
      </c>
      <c r="N24" s="218"/>
      <c r="O24" s="219"/>
      <c r="P24" s="218"/>
      <c r="Q24" s="219"/>
      <c r="R24" s="218"/>
      <c r="S24" s="219"/>
      <c r="T24" s="76">
        <f t="shared" ref="T24:U24" si="81">SUM(N24+P24+R24)</f>
        <v>0</v>
      </c>
      <c r="U24" s="77">
        <f t="shared" si="81"/>
        <v>0</v>
      </c>
      <c r="V24" s="78">
        <f t="shared" si="73"/>
        <v>0</v>
      </c>
      <c r="W24" s="218"/>
      <c r="X24" s="219"/>
      <c r="Y24" s="218"/>
      <c r="Z24" s="219"/>
      <c r="AA24" s="218"/>
      <c r="AB24" s="77"/>
      <c r="AC24" s="76">
        <f t="shared" ref="AC24:AD24" si="82">SUM(W24+Y24+AA24)</f>
        <v>0</v>
      </c>
      <c r="AD24" s="77">
        <f t="shared" si="82"/>
        <v>0</v>
      </c>
      <c r="AE24" s="78">
        <f t="shared" si="75"/>
        <v>0</v>
      </c>
      <c r="AF24" s="218"/>
      <c r="AG24" s="219"/>
      <c r="AH24" s="218"/>
      <c r="AI24" s="219"/>
      <c r="AJ24" s="218"/>
      <c r="AK24" s="77"/>
      <c r="AL24" s="76">
        <f t="shared" ref="AL24:AM24" si="83">SUM(AF24+AH24+AJ24)</f>
        <v>0</v>
      </c>
      <c r="AM24" s="77">
        <f t="shared" si="83"/>
        <v>0</v>
      </c>
      <c r="AN24" s="78">
        <f t="shared" si="77"/>
        <v>0</v>
      </c>
      <c r="AO24" s="77">
        <f t="shared" ref="AO24:AP24" si="84">SUM(K24+T24+AC24+AL24)</f>
        <v>300</v>
      </c>
      <c r="AP24" s="77">
        <f t="shared" si="84"/>
        <v>300</v>
      </c>
      <c r="AQ24" s="77">
        <f t="shared" si="79"/>
        <v>0</v>
      </c>
      <c r="AR24" s="158"/>
    </row>
    <row r="25" spans="1:44" ht="15.75" customHeight="1">
      <c r="A25" s="153"/>
      <c r="B25" s="159"/>
      <c r="C25" s="300" t="s">
        <v>127</v>
      </c>
      <c r="D25" s="317"/>
      <c r="E25" s="218">
        <v>100</v>
      </c>
      <c r="F25" s="219">
        <v>100</v>
      </c>
      <c r="G25" s="218">
        <v>100</v>
      </c>
      <c r="H25" s="219">
        <v>100</v>
      </c>
      <c r="I25" s="218">
        <v>100</v>
      </c>
      <c r="J25" s="219">
        <v>100</v>
      </c>
      <c r="K25" s="76">
        <f t="shared" ref="K25:L25" si="85">SUM(E25+G25+I25)</f>
        <v>300</v>
      </c>
      <c r="L25" s="77">
        <f t="shared" si="85"/>
        <v>300</v>
      </c>
      <c r="M25" s="78">
        <f t="shared" si="71"/>
        <v>0</v>
      </c>
      <c r="N25" s="218"/>
      <c r="O25" s="219"/>
      <c r="P25" s="218"/>
      <c r="Q25" s="219"/>
      <c r="R25" s="218"/>
      <c r="S25" s="219"/>
      <c r="T25" s="76">
        <f t="shared" ref="T25:U25" si="86">SUM(N25+P25+R25)</f>
        <v>0</v>
      </c>
      <c r="U25" s="77">
        <f t="shared" si="86"/>
        <v>0</v>
      </c>
      <c r="V25" s="78">
        <f t="shared" si="73"/>
        <v>0</v>
      </c>
      <c r="W25" s="218"/>
      <c r="X25" s="219"/>
      <c r="Y25" s="218"/>
      <c r="Z25" s="219"/>
      <c r="AA25" s="218"/>
      <c r="AB25" s="78"/>
      <c r="AC25" s="76">
        <f t="shared" ref="AC25:AD25" si="87">SUM(W25+Y25+AA25)</f>
        <v>0</v>
      </c>
      <c r="AD25" s="77">
        <f t="shared" si="87"/>
        <v>0</v>
      </c>
      <c r="AE25" s="78">
        <f t="shared" si="75"/>
        <v>0</v>
      </c>
      <c r="AF25" s="218"/>
      <c r="AG25" s="219"/>
      <c r="AH25" s="218"/>
      <c r="AI25" s="219"/>
      <c r="AJ25" s="218"/>
      <c r="AK25" s="77"/>
      <c r="AL25" s="76">
        <f t="shared" ref="AL25:AM25" si="88">SUM(AF25+AH25+AJ25)</f>
        <v>0</v>
      </c>
      <c r="AM25" s="77">
        <f t="shared" si="88"/>
        <v>0</v>
      </c>
      <c r="AN25" s="78">
        <f t="shared" si="77"/>
        <v>0</v>
      </c>
      <c r="AO25" s="76">
        <f t="shared" ref="AO25:AP25" si="89">SUM(K25+T25+AC25+AL25)</f>
        <v>300</v>
      </c>
      <c r="AP25" s="77">
        <f t="shared" si="89"/>
        <v>300</v>
      </c>
      <c r="AQ25" s="77">
        <f t="shared" si="79"/>
        <v>0</v>
      </c>
      <c r="AR25" s="158"/>
    </row>
    <row r="26" spans="1:44" ht="15.75" customHeight="1">
      <c r="A26" s="153"/>
      <c r="B26" s="159"/>
      <c r="C26" s="315" t="s">
        <v>128</v>
      </c>
      <c r="D26" s="318"/>
      <c r="E26" s="226"/>
      <c r="F26" s="209"/>
      <c r="G26" s="226"/>
      <c r="H26" s="209"/>
      <c r="I26" s="226"/>
      <c r="J26" s="209"/>
      <c r="K26" s="207"/>
      <c r="L26" s="209"/>
      <c r="M26" s="208"/>
      <c r="N26" s="209"/>
      <c r="O26" s="209"/>
      <c r="P26" s="226"/>
      <c r="Q26" s="209"/>
      <c r="R26" s="226"/>
      <c r="S26" s="209"/>
      <c r="T26" s="207"/>
      <c r="U26" s="209"/>
      <c r="V26" s="208"/>
      <c r="W26" s="209"/>
      <c r="X26" s="209"/>
      <c r="Y26" s="226"/>
      <c r="Z26" s="209"/>
      <c r="AA26" s="226"/>
      <c r="AB26" s="208"/>
      <c r="AC26" s="209"/>
      <c r="AD26" s="209"/>
      <c r="AE26" s="208"/>
      <c r="AF26" s="209"/>
      <c r="AG26" s="209"/>
      <c r="AH26" s="226"/>
      <c r="AI26" s="209"/>
      <c r="AJ26" s="226"/>
      <c r="AK26" s="208"/>
      <c r="AL26" s="209"/>
      <c r="AM26" s="209"/>
      <c r="AN26" s="208"/>
      <c r="AO26" s="209"/>
      <c r="AP26" s="209"/>
      <c r="AQ26" s="209"/>
      <c r="AR26" s="158"/>
    </row>
    <row r="27" spans="1:44" ht="15.75" customHeight="1">
      <c r="A27" s="153"/>
      <c r="B27" s="159"/>
      <c r="C27" s="300" t="s">
        <v>129</v>
      </c>
      <c r="D27" s="317"/>
      <c r="E27" s="218">
        <v>100</v>
      </c>
      <c r="F27" s="77">
        <v>100</v>
      </c>
      <c r="G27" s="218">
        <v>100</v>
      </c>
      <c r="H27" s="77">
        <v>100</v>
      </c>
      <c r="I27" s="218">
        <v>100</v>
      </c>
      <c r="J27" s="77">
        <v>100</v>
      </c>
      <c r="K27" s="76">
        <f t="shared" ref="K27:L27" si="90">SUM(E27+G27+I27)</f>
        <v>300</v>
      </c>
      <c r="L27" s="77">
        <f t="shared" si="90"/>
        <v>300</v>
      </c>
      <c r="M27" s="78">
        <f t="shared" ref="M27:M29" si="91">K27-L27</f>
        <v>0</v>
      </c>
      <c r="N27" s="77"/>
      <c r="O27" s="77"/>
      <c r="P27" s="218"/>
      <c r="Q27" s="77"/>
      <c r="R27" s="218"/>
      <c r="S27" s="77"/>
      <c r="T27" s="76">
        <f t="shared" ref="T27:U27" si="92">SUM(N27+P27+R27)</f>
        <v>0</v>
      </c>
      <c r="U27" s="77">
        <f t="shared" si="92"/>
        <v>0</v>
      </c>
      <c r="V27" s="78">
        <f t="shared" ref="V27:V29" si="93">T27-U27</f>
        <v>0</v>
      </c>
      <c r="W27" s="77"/>
      <c r="X27" s="77"/>
      <c r="Y27" s="218"/>
      <c r="Z27" s="77"/>
      <c r="AA27" s="218"/>
      <c r="AB27" s="78"/>
      <c r="AC27" s="76">
        <f t="shared" ref="AC27:AD27" si="94">SUM(W27+Y27+AA27)</f>
        <v>0</v>
      </c>
      <c r="AD27" s="77">
        <f t="shared" si="94"/>
        <v>0</v>
      </c>
      <c r="AE27" s="78">
        <f t="shared" ref="AE27:AE29" si="95">AC27-AD27</f>
        <v>0</v>
      </c>
      <c r="AF27" s="77"/>
      <c r="AG27" s="77"/>
      <c r="AH27" s="218"/>
      <c r="AI27" s="77"/>
      <c r="AJ27" s="218"/>
      <c r="AK27" s="78"/>
      <c r="AL27" s="76">
        <f t="shared" ref="AL27:AM27" si="96">SUM(AF27+AH27+AJ27)</f>
        <v>0</v>
      </c>
      <c r="AM27" s="77">
        <f t="shared" si="96"/>
        <v>0</v>
      </c>
      <c r="AN27" s="78">
        <f t="shared" ref="AN27:AN29" si="97">AL27-AM27</f>
        <v>0</v>
      </c>
      <c r="AO27" s="76">
        <f t="shared" ref="AO27:AP27" si="98">SUM(K27+T27+AC27+AL27)</f>
        <v>300</v>
      </c>
      <c r="AP27" s="77">
        <f t="shared" si="98"/>
        <v>300</v>
      </c>
      <c r="AQ27" s="77">
        <f t="shared" ref="AQ27:AQ29" si="99">AO27-AP27</f>
        <v>0</v>
      </c>
      <c r="AR27" s="158"/>
    </row>
    <row r="28" spans="1:44" ht="15.75" customHeight="1">
      <c r="A28" s="153"/>
      <c r="B28" s="159"/>
      <c r="C28" s="300" t="s">
        <v>130</v>
      </c>
      <c r="D28" s="317"/>
      <c r="E28" s="218">
        <v>100</v>
      </c>
      <c r="F28" s="77">
        <v>100</v>
      </c>
      <c r="G28" s="218">
        <v>100</v>
      </c>
      <c r="H28" s="77">
        <v>100</v>
      </c>
      <c r="I28" s="218">
        <v>100</v>
      </c>
      <c r="J28" s="77">
        <v>100</v>
      </c>
      <c r="K28" s="76">
        <f t="shared" ref="K28:L28" si="100">SUM(E28+G28+I28)</f>
        <v>300</v>
      </c>
      <c r="L28" s="77">
        <f t="shared" si="100"/>
        <v>300</v>
      </c>
      <c r="M28" s="78">
        <f t="shared" si="91"/>
        <v>0</v>
      </c>
      <c r="N28" s="77"/>
      <c r="O28" s="77"/>
      <c r="P28" s="218"/>
      <c r="Q28" s="77"/>
      <c r="R28" s="218"/>
      <c r="S28" s="77"/>
      <c r="T28" s="76">
        <f t="shared" ref="T28:U28" si="101">SUM(N28+P28+R28)</f>
        <v>0</v>
      </c>
      <c r="U28" s="77">
        <f t="shared" si="101"/>
        <v>0</v>
      </c>
      <c r="V28" s="78">
        <f t="shared" si="93"/>
        <v>0</v>
      </c>
      <c r="W28" s="77"/>
      <c r="X28" s="77"/>
      <c r="Y28" s="218"/>
      <c r="Z28" s="77"/>
      <c r="AA28" s="218"/>
      <c r="AB28" s="78"/>
      <c r="AC28" s="76">
        <f t="shared" ref="AC28:AD28" si="102">SUM(W28+Y28+AA28)</f>
        <v>0</v>
      </c>
      <c r="AD28" s="77">
        <f t="shared" si="102"/>
        <v>0</v>
      </c>
      <c r="AE28" s="78">
        <f t="shared" si="95"/>
        <v>0</v>
      </c>
      <c r="AF28" s="77"/>
      <c r="AG28" s="77"/>
      <c r="AH28" s="218"/>
      <c r="AI28" s="77"/>
      <c r="AJ28" s="218"/>
      <c r="AK28" s="78"/>
      <c r="AL28" s="76">
        <f t="shared" ref="AL28:AM28" si="103">SUM(AF28+AH28+AJ28)</f>
        <v>0</v>
      </c>
      <c r="AM28" s="77">
        <f t="shared" si="103"/>
        <v>0</v>
      </c>
      <c r="AN28" s="78">
        <f t="shared" si="97"/>
        <v>0</v>
      </c>
      <c r="AO28" s="76">
        <f t="shared" ref="AO28:AP28" si="104">SUM(K28+T28+AC28+AL28)</f>
        <v>300</v>
      </c>
      <c r="AP28" s="77">
        <f t="shared" si="104"/>
        <v>300</v>
      </c>
      <c r="AQ28" s="77">
        <f t="shared" si="99"/>
        <v>0</v>
      </c>
      <c r="AR28" s="158"/>
    </row>
    <row r="29" spans="1:44" ht="15.75" customHeight="1">
      <c r="A29" s="153"/>
      <c r="B29" s="159"/>
      <c r="C29" s="306" t="s">
        <v>131</v>
      </c>
      <c r="D29" s="320"/>
      <c r="E29" s="227">
        <v>100</v>
      </c>
      <c r="F29" s="77">
        <v>100</v>
      </c>
      <c r="G29" s="218">
        <v>100</v>
      </c>
      <c r="H29" s="77">
        <v>100</v>
      </c>
      <c r="I29" s="218">
        <v>100</v>
      </c>
      <c r="J29" s="77">
        <v>100</v>
      </c>
      <c r="K29" s="76">
        <f t="shared" ref="K29:L29" si="105">SUM(E29+G29+I29)</f>
        <v>300</v>
      </c>
      <c r="L29" s="77">
        <f t="shared" si="105"/>
        <v>300</v>
      </c>
      <c r="M29" s="78">
        <f t="shared" si="91"/>
        <v>0</v>
      </c>
      <c r="N29" s="77"/>
      <c r="O29" s="77"/>
      <c r="P29" s="218"/>
      <c r="Q29" s="77"/>
      <c r="R29" s="218"/>
      <c r="S29" s="77"/>
      <c r="T29" s="76">
        <f t="shared" ref="T29:U29" si="106">SUM(N29+P29+R29)</f>
        <v>0</v>
      </c>
      <c r="U29" s="77">
        <f t="shared" si="106"/>
        <v>0</v>
      </c>
      <c r="V29" s="78">
        <f t="shared" si="93"/>
        <v>0</v>
      </c>
      <c r="W29" s="77"/>
      <c r="X29" s="77"/>
      <c r="Y29" s="218"/>
      <c r="Z29" s="77"/>
      <c r="AA29" s="218"/>
      <c r="AB29" s="78"/>
      <c r="AC29" s="76">
        <f t="shared" ref="AC29:AD29" si="107">SUM(W29+Y29+AA29)</f>
        <v>0</v>
      </c>
      <c r="AD29" s="77">
        <f t="shared" si="107"/>
        <v>0</v>
      </c>
      <c r="AE29" s="78">
        <f t="shared" si="95"/>
        <v>0</v>
      </c>
      <c r="AF29" s="77"/>
      <c r="AG29" s="77"/>
      <c r="AH29" s="218"/>
      <c r="AI29" s="77"/>
      <c r="AJ29" s="218"/>
      <c r="AK29" s="78"/>
      <c r="AL29" s="76">
        <f t="shared" ref="AL29:AM29" si="108">SUM(AF29+AH29+AJ29)</f>
        <v>0</v>
      </c>
      <c r="AM29" s="77">
        <f t="shared" si="108"/>
        <v>0</v>
      </c>
      <c r="AN29" s="78">
        <f t="shared" si="97"/>
        <v>0</v>
      </c>
      <c r="AO29" s="76">
        <f t="shared" ref="AO29:AP29" si="109">SUM(K29+T29+AC29+AL29)</f>
        <v>300</v>
      </c>
      <c r="AP29" s="77">
        <f t="shared" si="109"/>
        <v>300</v>
      </c>
      <c r="AQ29" s="77">
        <f t="shared" si="99"/>
        <v>0</v>
      </c>
      <c r="AR29" s="158"/>
    </row>
    <row r="30" spans="1:44" ht="15.75" customHeight="1">
      <c r="A30" s="153"/>
      <c r="B30" s="159"/>
      <c r="C30" s="292"/>
      <c r="D30" s="296"/>
      <c r="E30" s="84">
        <f t="shared" ref="E30:AQ30" si="110">SUM(E9:E11,E13:E16,E18:E21,E23:E25,E27:E29)</f>
        <v>1700</v>
      </c>
      <c r="F30" s="85">
        <f t="shared" si="110"/>
        <v>1700</v>
      </c>
      <c r="G30" s="189">
        <f t="shared" si="110"/>
        <v>1700</v>
      </c>
      <c r="H30" s="85">
        <f t="shared" si="110"/>
        <v>1700</v>
      </c>
      <c r="I30" s="189">
        <f t="shared" si="110"/>
        <v>1700</v>
      </c>
      <c r="J30" s="85">
        <f t="shared" si="110"/>
        <v>1700</v>
      </c>
      <c r="K30" s="135">
        <f t="shared" si="110"/>
        <v>5100</v>
      </c>
      <c r="L30" s="136">
        <f t="shared" si="110"/>
        <v>5100</v>
      </c>
      <c r="M30" s="137">
        <f t="shared" si="110"/>
        <v>0</v>
      </c>
      <c r="N30" s="85">
        <f t="shared" si="110"/>
        <v>0</v>
      </c>
      <c r="O30" s="85">
        <f t="shared" si="110"/>
        <v>0</v>
      </c>
      <c r="P30" s="189">
        <f t="shared" si="110"/>
        <v>0</v>
      </c>
      <c r="Q30" s="85">
        <f t="shared" si="110"/>
        <v>0</v>
      </c>
      <c r="R30" s="189">
        <f t="shared" si="110"/>
        <v>0</v>
      </c>
      <c r="S30" s="85">
        <f t="shared" si="110"/>
        <v>0</v>
      </c>
      <c r="T30" s="135">
        <f t="shared" si="110"/>
        <v>0</v>
      </c>
      <c r="U30" s="136">
        <f t="shared" si="110"/>
        <v>0</v>
      </c>
      <c r="V30" s="137">
        <f t="shared" si="110"/>
        <v>0</v>
      </c>
      <c r="W30" s="85">
        <f t="shared" si="110"/>
        <v>0</v>
      </c>
      <c r="X30" s="85">
        <f t="shared" si="110"/>
        <v>0</v>
      </c>
      <c r="Y30" s="189">
        <f t="shared" si="110"/>
        <v>0</v>
      </c>
      <c r="Z30" s="85">
        <f t="shared" si="110"/>
        <v>0</v>
      </c>
      <c r="AA30" s="189">
        <f t="shared" si="110"/>
        <v>0</v>
      </c>
      <c r="AB30" s="86">
        <f t="shared" si="110"/>
        <v>0</v>
      </c>
      <c r="AC30" s="135">
        <f t="shared" si="110"/>
        <v>0</v>
      </c>
      <c r="AD30" s="136">
        <f t="shared" si="110"/>
        <v>0</v>
      </c>
      <c r="AE30" s="137">
        <f t="shared" si="110"/>
        <v>0</v>
      </c>
      <c r="AF30" s="85">
        <f t="shared" si="110"/>
        <v>0</v>
      </c>
      <c r="AG30" s="85">
        <f t="shared" si="110"/>
        <v>0</v>
      </c>
      <c r="AH30" s="189">
        <f t="shared" si="110"/>
        <v>0</v>
      </c>
      <c r="AI30" s="85">
        <f t="shared" si="110"/>
        <v>0</v>
      </c>
      <c r="AJ30" s="189">
        <f t="shared" si="110"/>
        <v>0</v>
      </c>
      <c r="AK30" s="86">
        <f t="shared" si="110"/>
        <v>0</v>
      </c>
      <c r="AL30" s="135">
        <f t="shared" si="110"/>
        <v>0</v>
      </c>
      <c r="AM30" s="136">
        <f t="shared" si="110"/>
        <v>0</v>
      </c>
      <c r="AN30" s="137">
        <f t="shared" si="110"/>
        <v>0</v>
      </c>
      <c r="AO30" s="135">
        <f t="shared" si="110"/>
        <v>5100</v>
      </c>
      <c r="AP30" s="136">
        <f t="shared" si="110"/>
        <v>5100</v>
      </c>
      <c r="AQ30" s="136">
        <f t="shared" si="110"/>
        <v>0</v>
      </c>
      <c r="AR30" s="158"/>
    </row>
    <row r="31" spans="1:44" ht="31.5" customHeight="1">
      <c r="A31" s="153"/>
      <c r="B31" s="159"/>
      <c r="C31" s="152"/>
      <c r="D31" s="152"/>
      <c r="E31" s="153"/>
      <c r="F31" s="153"/>
      <c r="G31" s="153"/>
      <c r="H31" s="153"/>
      <c r="I31" s="153"/>
      <c r="J31" s="153"/>
      <c r="K31" s="153"/>
      <c r="L31" s="153"/>
      <c r="M31" s="153"/>
      <c r="N31" s="153"/>
      <c r="O31" s="153"/>
      <c r="P31" s="153"/>
      <c r="Q31" s="153"/>
      <c r="R31" s="153"/>
      <c r="S31" s="153"/>
      <c r="T31" s="153"/>
      <c r="U31" s="153"/>
      <c r="V31" s="153"/>
      <c r="W31" s="153"/>
      <c r="X31" s="153"/>
      <c r="Y31" s="153"/>
      <c r="Z31" s="153"/>
      <c r="AA31" s="153"/>
      <c r="AB31" s="153"/>
      <c r="AC31" s="153"/>
      <c r="AD31" s="153"/>
      <c r="AE31" s="153"/>
      <c r="AF31" s="153"/>
      <c r="AG31" s="153"/>
      <c r="AH31" s="153"/>
      <c r="AI31" s="153"/>
      <c r="AJ31" s="153"/>
      <c r="AK31" s="153"/>
      <c r="AL31" s="153"/>
      <c r="AM31" s="153"/>
      <c r="AN31" s="153"/>
      <c r="AO31" s="153"/>
      <c r="AP31" s="153"/>
      <c r="AQ31" s="153"/>
      <c r="AR31" s="158"/>
    </row>
    <row r="32" spans="1:44" ht="37.5" customHeight="1">
      <c r="A32" s="153"/>
      <c r="B32" s="159"/>
      <c r="C32" s="297" t="s">
        <v>65</v>
      </c>
      <c r="D32" s="293"/>
      <c r="E32" s="228" t="s">
        <v>32</v>
      </c>
      <c r="F32" s="229" t="s">
        <v>33</v>
      </c>
      <c r="G32" s="230" t="s">
        <v>34</v>
      </c>
      <c r="H32" s="153"/>
      <c r="I32" s="153"/>
      <c r="J32" s="153"/>
      <c r="K32" s="153"/>
      <c r="L32" s="153"/>
      <c r="M32" s="153"/>
      <c r="N32" s="153"/>
      <c r="O32" s="153"/>
      <c r="P32" s="153"/>
      <c r="Q32" s="153"/>
      <c r="R32" s="153"/>
      <c r="S32" s="153"/>
      <c r="T32" s="153"/>
      <c r="U32" s="153"/>
      <c r="V32" s="153"/>
      <c r="W32" s="153"/>
      <c r="X32" s="153"/>
      <c r="Y32" s="153"/>
      <c r="Z32" s="153"/>
      <c r="AA32" s="153"/>
      <c r="AB32" s="153"/>
      <c r="AC32" s="153"/>
      <c r="AD32" s="153"/>
      <c r="AE32" s="153"/>
      <c r="AF32" s="153"/>
      <c r="AG32" s="153"/>
      <c r="AH32" s="153"/>
      <c r="AI32" s="153"/>
      <c r="AJ32" s="153"/>
      <c r="AK32" s="153"/>
      <c r="AL32" s="153"/>
      <c r="AM32" s="153"/>
      <c r="AN32" s="153"/>
      <c r="AO32" s="153"/>
      <c r="AP32" s="153"/>
      <c r="AQ32" s="153"/>
      <c r="AR32" s="158"/>
    </row>
    <row r="33" spans="1:44" ht="15.75" customHeight="1">
      <c r="A33" s="153"/>
      <c r="B33" s="159"/>
      <c r="C33" s="312" t="s">
        <v>110</v>
      </c>
      <c r="D33" s="280"/>
      <c r="E33" s="210">
        <f t="shared" ref="E33:F33" si="111">SUM(AO9:AO11)</f>
        <v>900</v>
      </c>
      <c r="F33" s="211">
        <f t="shared" si="111"/>
        <v>900</v>
      </c>
      <c r="G33" s="211">
        <f t="shared" ref="G33:G38" si="112">E33-F33</f>
        <v>0</v>
      </c>
      <c r="H33" s="153"/>
      <c r="I33" s="153"/>
      <c r="J33" s="153"/>
      <c r="K33" s="153"/>
      <c r="L33" s="153"/>
      <c r="M33" s="153"/>
      <c r="N33" s="153"/>
      <c r="O33" s="153"/>
      <c r="P33" s="153"/>
      <c r="Q33" s="153"/>
      <c r="R33" s="153"/>
      <c r="S33" s="153"/>
      <c r="T33" s="153"/>
      <c r="U33" s="153"/>
      <c r="V33" s="153"/>
      <c r="W33" s="153"/>
      <c r="X33" s="153"/>
      <c r="Y33" s="153"/>
      <c r="Z33" s="153"/>
      <c r="AA33" s="153"/>
      <c r="AB33" s="153"/>
      <c r="AC33" s="153"/>
      <c r="AD33" s="153"/>
      <c r="AE33" s="153"/>
      <c r="AF33" s="153"/>
      <c r="AG33" s="153"/>
      <c r="AH33" s="153"/>
      <c r="AI33" s="153"/>
      <c r="AJ33" s="153"/>
      <c r="AK33" s="153"/>
      <c r="AL33" s="153"/>
      <c r="AM33" s="153"/>
      <c r="AN33" s="153"/>
      <c r="AO33" s="153"/>
      <c r="AP33" s="153"/>
      <c r="AQ33" s="153"/>
      <c r="AR33" s="158"/>
    </row>
    <row r="34" spans="1:44" ht="15.75" customHeight="1">
      <c r="A34" s="153"/>
      <c r="B34" s="159"/>
      <c r="C34" s="301" t="s">
        <v>132</v>
      </c>
      <c r="D34" s="321"/>
      <c r="E34" s="76">
        <f t="shared" ref="E34:F34" si="113">SUM(AO13:AO16)</f>
        <v>1200</v>
      </c>
      <c r="F34" s="77">
        <f t="shared" si="113"/>
        <v>1200</v>
      </c>
      <c r="G34" s="77">
        <f t="shared" si="112"/>
        <v>0</v>
      </c>
      <c r="H34" s="153"/>
      <c r="I34" s="153"/>
      <c r="J34" s="153"/>
      <c r="K34" s="153"/>
      <c r="L34" s="153"/>
      <c r="M34" s="153"/>
      <c r="N34" s="153"/>
      <c r="O34" s="153"/>
      <c r="P34" s="153"/>
      <c r="Q34" s="153"/>
      <c r="R34" s="153"/>
      <c r="S34" s="153"/>
      <c r="T34" s="153"/>
      <c r="U34" s="153"/>
      <c r="V34" s="153"/>
      <c r="W34" s="153"/>
      <c r="X34" s="153"/>
      <c r="Y34" s="153"/>
      <c r="Z34" s="153"/>
      <c r="AA34" s="153"/>
      <c r="AB34" s="153"/>
      <c r="AC34" s="153"/>
      <c r="AD34" s="153"/>
      <c r="AE34" s="153"/>
      <c r="AF34" s="153"/>
      <c r="AG34" s="153"/>
      <c r="AH34" s="153"/>
      <c r="AI34" s="153"/>
      <c r="AJ34" s="153"/>
      <c r="AK34" s="153"/>
      <c r="AL34" s="153"/>
      <c r="AM34" s="153"/>
      <c r="AN34" s="153"/>
      <c r="AO34" s="153"/>
      <c r="AP34" s="153"/>
      <c r="AQ34" s="153"/>
      <c r="AR34" s="158"/>
    </row>
    <row r="35" spans="1:44" ht="15.75" customHeight="1">
      <c r="A35" s="153"/>
      <c r="B35" s="159"/>
      <c r="C35" s="310" t="s">
        <v>133</v>
      </c>
      <c r="D35" s="321"/>
      <c r="E35" s="76">
        <f t="shared" ref="E35:F35" si="114">SUM(AO18:AO21)</f>
        <v>1200</v>
      </c>
      <c r="F35" s="77">
        <f t="shared" si="114"/>
        <v>1200</v>
      </c>
      <c r="G35" s="77">
        <f t="shared" si="112"/>
        <v>0</v>
      </c>
      <c r="H35" s="153"/>
      <c r="I35" s="153"/>
      <c r="J35" s="153"/>
      <c r="K35" s="153"/>
      <c r="L35" s="153"/>
      <c r="M35" s="153"/>
      <c r="N35" s="153"/>
      <c r="O35" s="153"/>
      <c r="P35" s="153"/>
      <c r="Q35" s="153"/>
      <c r="R35" s="153"/>
      <c r="S35" s="153"/>
      <c r="T35" s="153"/>
      <c r="U35" s="153"/>
      <c r="V35" s="153"/>
      <c r="W35" s="153"/>
      <c r="X35" s="153"/>
      <c r="Y35" s="153"/>
      <c r="Z35" s="153"/>
      <c r="AA35" s="153"/>
      <c r="AB35" s="153"/>
      <c r="AC35" s="153"/>
      <c r="AD35" s="153"/>
      <c r="AE35" s="153"/>
      <c r="AF35" s="153"/>
      <c r="AG35" s="153"/>
      <c r="AH35" s="153"/>
      <c r="AI35" s="153"/>
      <c r="AJ35" s="153"/>
      <c r="AK35" s="153"/>
      <c r="AL35" s="153"/>
      <c r="AM35" s="153"/>
      <c r="AN35" s="153"/>
      <c r="AO35" s="153"/>
      <c r="AP35" s="153"/>
      <c r="AQ35" s="153"/>
      <c r="AR35" s="158"/>
    </row>
    <row r="36" spans="1:44" ht="15.75" customHeight="1">
      <c r="A36" s="153"/>
      <c r="B36" s="159"/>
      <c r="C36" s="311" t="s">
        <v>134</v>
      </c>
      <c r="D36" s="321"/>
      <c r="E36" s="76">
        <f t="shared" ref="E36:F36" si="115">SUM(AO23:AO25)</f>
        <v>900</v>
      </c>
      <c r="F36" s="77">
        <f t="shared" si="115"/>
        <v>900</v>
      </c>
      <c r="G36" s="77">
        <f t="shared" si="112"/>
        <v>0</v>
      </c>
      <c r="H36" s="153"/>
      <c r="I36" s="153"/>
      <c r="J36" s="153"/>
      <c r="K36" s="153"/>
      <c r="L36" s="153"/>
      <c r="M36" s="153"/>
      <c r="N36" s="153"/>
      <c r="O36" s="153"/>
      <c r="P36" s="153"/>
      <c r="Q36" s="153"/>
      <c r="R36" s="153"/>
      <c r="S36" s="153"/>
      <c r="T36" s="153"/>
      <c r="U36" s="153"/>
      <c r="V36" s="153"/>
      <c r="W36" s="153"/>
      <c r="X36" s="153"/>
      <c r="Y36" s="153"/>
      <c r="Z36" s="153"/>
      <c r="AA36" s="153"/>
      <c r="AB36" s="153"/>
      <c r="AC36" s="153"/>
      <c r="AD36" s="153"/>
      <c r="AE36" s="153"/>
      <c r="AF36" s="153"/>
      <c r="AG36" s="153"/>
      <c r="AH36" s="153"/>
      <c r="AI36" s="153"/>
      <c r="AJ36" s="153"/>
      <c r="AK36" s="153"/>
      <c r="AL36" s="153"/>
      <c r="AM36" s="153"/>
      <c r="AN36" s="153"/>
      <c r="AO36" s="153"/>
      <c r="AP36" s="153"/>
      <c r="AQ36" s="153"/>
      <c r="AR36" s="158"/>
    </row>
    <row r="37" spans="1:44" ht="15.75" customHeight="1">
      <c r="A37" s="153"/>
      <c r="B37" s="159"/>
      <c r="C37" s="319" t="s">
        <v>128</v>
      </c>
      <c r="D37" s="304"/>
      <c r="E37" s="80">
        <f t="shared" ref="E37:F37" si="116">SUM(AO27:AO29)</f>
        <v>900</v>
      </c>
      <c r="F37" s="81">
        <f t="shared" si="116"/>
        <v>900</v>
      </c>
      <c r="G37" s="81">
        <f t="shared" si="112"/>
        <v>0</v>
      </c>
      <c r="H37" s="153"/>
      <c r="I37" s="153"/>
      <c r="J37" s="153"/>
      <c r="K37" s="153"/>
      <c r="L37" s="153"/>
      <c r="M37" s="153"/>
      <c r="N37" s="153"/>
      <c r="O37" s="153"/>
      <c r="P37" s="153"/>
      <c r="Q37" s="153"/>
      <c r="R37" s="153"/>
      <c r="S37" s="153"/>
      <c r="T37" s="153"/>
      <c r="U37" s="153"/>
      <c r="V37" s="153"/>
      <c r="W37" s="153"/>
      <c r="X37" s="153"/>
      <c r="Y37" s="153"/>
      <c r="Z37" s="153"/>
      <c r="AA37" s="153"/>
      <c r="AB37" s="153"/>
      <c r="AC37" s="153"/>
      <c r="AD37" s="153"/>
      <c r="AE37" s="153"/>
      <c r="AF37" s="153"/>
      <c r="AG37" s="153"/>
      <c r="AH37" s="153"/>
      <c r="AI37" s="153"/>
      <c r="AJ37" s="153"/>
      <c r="AK37" s="153"/>
      <c r="AL37" s="153"/>
      <c r="AM37" s="153"/>
      <c r="AN37" s="153"/>
      <c r="AO37" s="153"/>
      <c r="AP37" s="153"/>
      <c r="AQ37" s="153"/>
      <c r="AR37" s="158"/>
    </row>
    <row r="38" spans="1:44" ht="15.75" customHeight="1">
      <c r="A38" s="153"/>
      <c r="B38" s="159"/>
      <c r="C38" s="292" t="s">
        <v>42</v>
      </c>
      <c r="D38" s="293"/>
      <c r="E38" s="84">
        <f t="shared" ref="E38:F38" si="117">SUM(E33:E37)</f>
        <v>5100</v>
      </c>
      <c r="F38" s="85">
        <f t="shared" si="117"/>
        <v>5100</v>
      </c>
      <c r="G38" s="85">
        <f t="shared" si="112"/>
        <v>0</v>
      </c>
      <c r="H38" s="153"/>
      <c r="I38" s="153"/>
      <c r="J38" s="153"/>
      <c r="K38" s="153"/>
      <c r="L38" s="153"/>
      <c r="M38" s="153"/>
      <c r="N38" s="153"/>
      <c r="O38" s="153"/>
      <c r="P38" s="153"/>
      <c r="Q38" s="153"/>
      <c r="R38" s="153"/>
      <c r="S38" s="153"/>
      <c r="T38" s="153"/>
      <c r="U38" s="153"/>
      <c r="V38" s="153"/>
      <c r="W38" s="153"/>
      <c r="X38" s="153"/>
      <c r="Y38" s="153"/>
      <c r="Z38" s="153"/>
      <c r="AA38" s="153"/>
      <c r="AB38" s="153"/>
      <c r="AC38" s="153"/>
      <c r="AD38" s="153"/>
      <c r="AE38" s="153"/>
      <c r="AF38" s="153"/>
      <c r="AG38" s="153"/>
      <c r="AH38" s="153"/>
      <c r="AI38" s="153"/>
      <c r="AJ38" s="153"/>
      <c r="AK38" s="153"/>
      <c r="AL38" s="153"/>
      <c r="AM38" s="153"/>
      <c r="AN38" s="153"/>
      <c r="AO38" s="153"/>
      <c r="AP38" s="153"/>
      <c r="AQ38" s="153"/>
      <c r="AR38" s="158"/>
    </row>
    <row r="39" spans="1:44" ht="15.75" customHeight="1">
      <c r="A39" s="153"/>
      <c r="B39" s="159"/>
      <c r="C39" s="152"/>
      <c r="D39" s="152"/>
      <c r="E39" s="153"/>
      <c r="F39" s="153"/>
      <c r="G39" s="153"/>
      <c r="H39" s="153"/>
      <c r="I39" s="153"/>
      <c r="J39" s="153"/>
      <c r="K39" s="153"/>
      <c r="L39" s="153"/>
      <c r="M39" s="153"/>
      <c r="N39" s="153"/>
      <c r="O39" s="153"/>
      <c r="P39" s="153"/>
      <c r="Q39" s="153"/>
      <c r="R39" s="153"/>
      <c r="S39" s="153"/>
      <c r="T39" s="153"/>
      <c r="U39" s="153"/>
      <c r="V39" s="153"/>
      <c r="W39" s="153"/>
      <c r="X39" s="153"/>
      <c r="Y39" s="153"/>
      <c r="Z39" s="153"/>
      <c r="AA39" s="153"/>
      <c r="AB39" s="153"/>
      <c r="AC39" s="153"/>
      <c r="AD39" s="153"/>
      <c r="AE39" s="153"/>
      <c r="AF39" s="153"/>
      <c r="AG39" s="153"/>
      <c r="AH39" s="153"/>
      <c r="AI39" s="153"/>
      <c r="AJ39" s="153"/>
      <c r="AK39" s="153"/>
      <c r="AL39" s="153"/>
      <c r="AM39" s="153"/>
      <c r="AN39" s="153"/>
      <c r="AO39" s="153"/>
      <c r="AP39" s="153"/>
      <c r="AQ39" s="153"/>
      <c r="AR39" s="158"/>
    </row>
    <row r="40" spans="1:44" ht="15.75" customHeight="1">
      <c r="A40" s="153"/>
      <c r="B40" s="159"/>
      <c r="C40" s="152"/>
      <c r="D40" s="152"/>
      <c r="E40" s="153"/>
      <c r="F40" s="153"/>
      <c r="G40" s="153"/>
      <c r="H40" s="153"/>
      <c r="I40" s="153"/>
      <c r="J40" s="153"/>
      <c r="K40" s="153"/>
      <c r="L40" s="153"/>
      <c r="M40" s="153"/>
      <c r="N40" s="153"/>
      <c r="O40" s="153"/>
      <c r="P40" s="153"/>
      <c r="Q40" s="153"/>
      <c r="R40" s="153"/>
      <c r="S40" s="153"/>
      <c r="T40" s="153"/>
      <c r="U40" s="153"/>
      <c r="V40" s="153"/>
      <c r="W40" s="153"/>
      <c r="X40" s="153"/>
      <c r="Y40" s="153"/>
      <c r="Z40" s="153"/>
      <c r="AA40" s="153"/>
      <c r="AB40" s="153"/>
      <c r="AC40" s="153"/>
      <c r="AD40" s="153"/>
      <c r="AE40" s="153"/>
      <c r="AF40" s="153"/>
      <c r="AG40" s="153"/>
      <c r="AH40" s="153"/>
      <c r="AI40" s="153"/>
      <c r="AJ40" s="153"/>
      <c r="AK40" s="153"/>
      <c r="AL40" s="153"/>
      <c r="AM40" s="153"/>
      <c r="AN40" s="153"/>
      <c r="AO40" s="153"/>
      <c r="AP40" s="153"/>
      <c r="AQ40" s="153"/>
      <c r="AR40" s="158"/>
    </row>
    <row r="41" spans="1:44" ht="15.75" customHeight="1">
      <c r="A41" s="153"/>
      <c r="B41" s="159"/>
      <c r="C41" s="152"/>
      <c r="D41" s="152"/>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8"/>
    </row>
    <row r="42" spans="1:44" ht="15.75" customHeight="1">
      <c r="A42" s="153"/>
      <c r="B42" s="159"/>
      <c r="C42" s="152"/>
      <c r="D42" s="152"/>
      <c r="E42" s="153"/>
      <c r="F42" s="153"/>
      <c r="G42" s="153"/>
      <c r="H42" s="153"/>
      <c r="I42" s="153"/>
      <c r="J42" s="153"/>
      <c r="K42" s="153"/>
      <c r="L42" s="153"/>
      <c r="M42" s="153"/>
      <c r="N42" s="153"/>
      <c r="O42" s="153"/>
      <c r="P42" s="153"/>
      <c r="Q42" s="153"/>
      <c r="R42" s="153"/>
      <c r="S42" s="153"/>
      <c r="T42" s="153"/>
      <c r="U42" s="153"/>
      <c r="V42" s="153"/>
      <c r="W42" s="153"/>
      <c r="X42" s="153"/>
      <c r="Y42" s="153"/>
      <c r="Z42" s="153"/>
      <c r="AA42" s="153"/>
      <c r="AB42" s="153"/>
      <c r="AC42" s="153"/>
      <c r="AD42" s="153"/>
      <c r="AE42" s="153"/>
      <c r="AF42" s="153"/>
      <c r="AG42" s="153"/>
      <c r="AH42" s="153"/>
      <c r="AI42" s="153"/>
      <c r="AJ42" s="153"/>
      <c r="AK42" s="153"/>
      <c r="AL42" s="153"/>
      <c r="AM42" s="153"/>
      <c r="AN42" s="153"/>
      <c r="AO42" s="153"/>
      <c r="AP42" s="153"/>
      <c r="AQ42" s="153"/>
      <c r="AR42" s="158"/>
    </row>
    <row r="43" spans="1:44" ht="15.75" customHeight="1">
      <c r="A43" s="153"/>
      <c r="B43" s="159"/>
      <c r="C43" s="152"/>
      <c r="D43" s="152"/>
      <c r="E43" s="153"/>
      <c r="F43" s="153"/>
      <c r="G43" s="153"/>
      <c r="H43" s="153"/>
      <c r="I43" s="153"/>
      <c r="J43" s="153"/>
      <c r="K43" s="153"/>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8"/>
    </row>
    <row r="44" spans="1:44" ht="15.75" customHeight="1">
      <c r="A44" s="153"/>
      <c r="B44" s="159"/>
      <c r="C44" s="152"/>
      <c r="D44" s="152"/>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8"/>
    </row>
    <row r="45" spans="1:44" ht="15.75" customHeight="1">
      <c r="A45" s="153"/>
      <c r="B45" s="159"/>
      <c r="C45" s="152"/>
      <c r="D45" s="152"/>
      <c r="E45" s="153"/>
      <c r="F45" s="153"/>
      <c r="G45" s="153"/>
      <c r="H45" s="153"/>
      <c r="I45" s="153"/>
      <c r="J45" s="153"/>
      <c r="K45" s="153"/>
      <c r="L45" s="153"/>
      <c r="M45" s="153"/>
      <c r="N45" s="153"/>
      <c r="O45" s="153"/>
      <c r="P45" s="153"/>
      <c r="Q45" s="153"/>
      <c r="R45" s="153"/>
      <c r="S45" s="153"/>
      <c r="T45" s="153"/>
      <c r="U45" s="153"/>
      <c r="V45" s="153"/>
      <c r="W45" s="153"/>
      <c r="X45" s="153"/>
      <c r="Y45" s="153"/>
      <c r="Z45" s="153"/>
      <c r="AA45" s="153"/>
      <c r="AB45" s="153"/>
      <c r="AC45" s="153"/>
      <c r="AD45" s="153"/>
      <c r="AE45" s="153"/>
      <c r="AF45" s="153"/>
      <c r="AG45" s="153"/>
      <c r="AH45" s="153"/>
      <c r="AI45" s="153"/>
      <c r="AJ45" s="153"/>
      <c r="AK45" s="153"/>
      <c r="AL45" s="153"/>
      <c r="AM45" s="153"/>
      <c r="AN45" s="153"/>
      <c r="AO45" s="153"/>
      <c r="AP45" s="153"/>
      <c r="AQ45" s="153"/>
      <c r="AR45" s="158"/>
    </row>
    <row r="46" spans="1:44" ht="15.75" customHeight="1">
      <c r="A46" s="153"/>
      <c r="B46" s="159"/>
      <c r="C46" s="152"/>
      <c r="D46" s="152"/>
      <c r="E46" s="153"/>
      <c r="F46" s="153"/>
      <c r="G46" s="153"/>
      <c r="H46" s="153"/>
      <c r="I46" s="153"/>
      <c r="J46" s="153"/>
      <c r="K46" s="153"/>
      <c r="L46" s="153"/>
      <c r="M46" s="153"/>
      <c r="N46" s="153"/>
      <c r="O46" s="153"/>
      <c r="P46" s="153"/>
      <c r="Q46" s="153"/>
      <c r="R46" s="153"/>
      <c r="S46" s="153"/>
      <c r="T46" s="153"/>
      <c r="U46" s="153"/>
      <c r="V46" s="153"/>
      <c r="W46" s="153"/>
      <c r="X46" s="153"/>
      <c r="Y46" s="153"/>
      <c r="Z46" s="153"/>
      <c r="AA46" s="153"/>
      <c r="AB46" s="153"/>
      <c r="AC46" s="153"/>
      <c r="AD46" s="153"/>
      <c r="AE46" s="153"/>
      <c r="AF46" s="153"/>
      <c r="AG46" s="153"/>
      <c r="AH46" s="153"/>
      <c r="AI46" s="153"/>
      <c r="AJ46" s="153"/>
      <c r="AK46" s="153"/>
      <c r="AL46" s="153"/>
      <c r="AM46" s="153"/>
      <c r="AN46" s="153"/>
      <c r="AO46" s="153"/>
      <c r="AP46" s="153"/>
      <c r="AQ46" s="153"/>
      <c r="AR46" s="158"/>
    </row>
    <row r="47" spans="1:44" ht="15.75" customHeight="1">
      <c r="A47" s="153"/>
      <c r="B47" s="159"/>
      <c r="C47" s="152"/>
      <c r="D47" s="152"/>
      <c r="E47" s="153"/>
      <c r="F47" s="153"/>
      <c r="G47" s="153"/>
      <c r="H47" s="153"/>
      <c r="I47" s="153"/>
      <c r="J47" s="153"/>
      <c r="K47" s="153"/>
      <c r="L47" s="153"/>
      <c r="M47" s="153"/>
      <c r="N47" s="153"/>
      <c r="O47" s="153"/>
      <c r="P47" s="153"/>
      <c r="Q47" s="153"/>
      <c r="R47" s="153"/>
      <c r="S47" s="153"/>
      <c r="T47" s="153"/>
      <c r="U47" s="153"/>
      <c r="V47" s="153"/>
      <c r="W47" s="153"/>
      <c r="X47" s="153"/>
      <c r="Y47" s="153"/>
      <c r="Z47" s="153"/>
      <c r="AA47" s="153"/>
      <c r="AB47" s="153"/>
      <c r="AC47" s="153"/>
      <c r="AD47" s="153"/>
      <c r="AE47" s="153"/>
      <c r="AF47" s="153"/>
      <c r="AG47" s="153"/>
      <c r="AH47" s="153"/>
      <c r="AI47" s="153"/>
      <c r="AJ47" s="153"/>
      <c r="AK47" s="153"/>
      <c r="AL47" s="153"/>
      <c r="AM47" s="153"/>
      <c r="AN47" s="153"/>
      <c r="AO47" s="153"/>
      <c r="AP47" s="153"/>
      <c r="AQ47" s="153"/>
      <c r="AR47" s="158"/>
    </row>
    <row r="48" spans="1:44" ht="15.75" customHeight="1">
      <c r="A48" s="153"/>
      <c r="B48" s="159"/>
      <c r="C48" s="152"/>
      <c r="D48" s="152"/>
      <c r="E48" s="153"/>
      <c r="F48" s="153"/>
      <c r="G48" s="153"/>
      <c r="H48" s="153"/>
      <c r="I48" s="153"/>
      <c r="J48" s="153"/>
      <c r="K48" s="153"/>
      <c r="L48" s="153"/>
      <c r="M48" s="153"/>
      <c r="N48" s="153"/>
      <c r="O48" s="153"/>
      <c r="P48" s="153"/>
      <c r="Q48" s="153"/>
      <c r="R48" s="153"/>
      <c r="S48" s="153"/>
      <c r="T48" s="153"/>
      <c r="U48" s="153"/>
      <c r="V48" s="153"/>
      <c r="W48" s="153"/>
      <c r="X48" s="153"/>
      <c r="Y48" s="153"/>
      <c r="Z48" s="153"/>
      <c r="AA48" s="153"/>
      <c r="AB48" s="153"/>
      <c r="AC48" s="153"/>
      <c r="AD48" s="153"/>
      <c r="AE48" s="153"/>
      <c r="AF48" s="153"/>
      <c r="AG48" s="153"/>
      <c r="AH48" s="153"/>
      <c r="AI48" s="153"/>
      <c r="AJ48" s="153"/>
      <c r="AK48" s="153"/>
      <c r="AL48" s="153"/>
      <c r="AM48" s="153"/>
      <c r="AN48" s="153"/>
      <c r="AO48" s="153"/>
      <c r="AP48" s="153"/>
      <c r="AQ48" s="153"/>
      <c r="AR48" s="158"/>
    </row>
    <row r="49" spans="1:44" ht="15.75" customHeight="1">
      <c r="A49" s="153"/>
      <c r="B49" s="159"/>
      <c r="C49" s="152"/>
      <c r="D49" s="152"/>
      <c r="E49" s="153"/>
      <c r="F49" s="153"/>
      <c r="G49" s="153"/>
      <c r="H49" s="153"/>
      <c r="I49" s="153"/>
      <c r="J49" s="153"/>
      <c r="K49" s="153"/>
      <c r="L49" s="153"/>
      <c r="M49" s="153"/>
      <c r="N49" s="153"/>
      <c r="O49" s="153"/>
      <c r="P49" s="153"/>
      <c r="Q49" s="153"/>
      <c r="R49" s="153"/>
      <c r="S49" s="153"/>
      <c r="T49" s="153"/>
      <c r="U49" s="153"/>
      <c r="V49" s="153"/>
      <c r="W49" s="153"/>
      <c r="X49" s="153"/>
      <c r="Y49" s="153"/>
      <c r="Z49" s="153"/>
      <c r="AA49" s="153"/>
      <c r="AB49" s="153"/>
      <c r="AC49" s="153"/>
      <c r="AD49" s="153"/>
      <c r="AE49" s="153"/>
      <c r="AF49" s="153"/>
      <c r="AG49" s="153"/>
      <c r="AH49" s="153"/>
      <c r="AI49" s="153"/>
      <c r="AJ49" s="153"/>
      <c r="AK49" s="153"/>
      <c r="AL49" s="153"/>
      <c r="AM49" s="153"/>
      <c r="AN49" s="153"/>
      <c r="AO49" s="153"/>
      <c r="AP49" s="153"/>
      <c r="AQ49" s="153"/>
      <c r="AR49" s="158"/>
    </row>
    <row r="50" spans="1:44" ht="15.75" customHeight="1">
      <c r="A50" s="153"/>
      <c r="B50" s="159"/>
      <c r="C50" s="152"/>
      <c r="D50" s="152"/>
      <c r="E50" s="153"/>
      <c r="F50" s="153"/>
      <c r="G50" s="153"/>
      <c r="H50" s="153"/>
      <c r="I50" s="153"/>
      <c r="J50" s="153"/>
      <c r="K50" s="153"/>
      <c r="L50" s="153"/>
      <c r="M50" s="153"/>
      <c r="N50" s="153"/>
      <c r="O50" s="153"/>
      <c r="P50" s="153"/>
      <c r="Q50" s="153"/>
      <c r="R50" s="153"/>
      <c r="S50" s="153"/>
      <c r="T50" s="153"/>
      <c r="U50" s="153"/>
      <c r="V50" s="153"/>
      <c r="W50" s="153"/>
      <c r="X50" s="153"/>
      <c r="Y50" s="153"/>
      <c r="Z50" s="153"/>
      <c r="AA50" s="153"/>
      <c r="AB50" s="153"/>
      <c r="AC50" s="153"/>
      <c r="AD50" s="153"/>
      <c r="AE50" s="153"/>
      <c r="AF50" s="153"/>
      <c r="AG50" s="153"/>
      <c r="AH50" s="153"/>
      <c r="AI50" s="153"/>
      <c r="AJ50" s="153"/>
      <c r="AK50" s="153"/>
      <c r="AL50" s="153"/>
      <c r="AM50" s="153"/>
      <c r="AN50" s="153"/>
      <c r="AO50" s="153"/>
      <c r="AP50" s="153"/>
      <c r="AQ50" s="153"/>
      <c r="AR50" s="158"/>
    </row>
    <row r="51" spans="1:44" ht="15.75" customHeight="1">
      <c r="A51" s="153"/>
      <c r="B51" s="159"/>
      <c r="C51" s="152"/>
      <c r="D51" s="152"/>
      <c r="E51" s="153"/>
      <c r="F51" s="153"/>
      <c r="G51" s="153"/>
      <c r="H51" s="153"/>
      <c r="I51" s="153"/>
      <c r="J51" s="153"/>
      <c r="K51" s="153"/>
      <c r="L51" s="153"/>
      <c r="M51" s="153"/>
      <c r="N51" s="153"/>
      <c r="O51" s="153"/>
      <c r="P51" s="153"/>
      <c r="Q51" s="153"/>
      <c r="R51" s="153"/>
      <c r="S51" s="153"/>
      <c r="T51" s="153"/>
      <c r="U51" s="153"/>
      <c r="V51" s="153"/>
      <c r="W51" s="153"/>
      <c r="X51" s="153"/>
      <c r="Y51" s="153"/>
      <c r="Z51" s="153"/>
      <c r="AA51" s="153"/>
      <c r="AB51" s="153"/>
      <c r="AC51" s="153"/>
      <c r="AD51" s="153"/>
      <c r="AE51" s="153"/>
      <c r="AF51" s="153"/>
      <c r="AG51" s="153"/>
      <c r="AH51" s="153"/>
      <c r="AI51" s="153"/>
      <c r="AJ51" s="153"/>
      <c r="AK51" s="153"/>
      <c r="AL51" s="153"/>
      <c r="AM51" s="153"/>
      <c r="AN51" s="153"/>
      <c r="AO51" s="153"/>
      <c r="AP51" s="153"/>
      <c r="AQ51" s="153"/>
      <c r="AR51" s="158"/>
    </row>
    <row r="52" spans="1:44" ht="15.75" customHeight="1">
      <c r="A52" s="153"/>
      <c r="B52" s="159"/>
      <c r="C52" s="152"/>
      <c r="D52" s="152"/>
      <c r="E52" s="153"/>
      <c r="F52" s="153"/>
      <c r="G52" s="153"/>
      <c r="H52" s="153"/>
      <c r="I52" s="153"/>
      <c r="J52" s="153"/>
      <c r="K52" s="153"/>
      <c r="L52" s="153"/>
      <c r="M52" s="153"/>
      <c r="N52" s="153"/>
      <c r="O52" s="153"/>
      <c r="P52" s="153"/>
      <c r="Q52" s="153"/>
      <c r="R52" s="153"/>
      <c r="S52" s="153"/>
      <c r="T52" s="153"/>
      <c r="U52" s="153"/>
      <c r="V52" s="153"/>
      <c r="W52" s="153"/>
      <c r="X52" s="153"/>
      <c r="Y52" s="153"/>
      <c r="Z52" s="153"/>
      <c r="AA52" s="153"/>
      <c r="AB52" s="153"/>
      <c r="AC52" s="153"/>
      <c r="AD52" s="153"/>
      <c r="AE52" s="153"/>
      <c r="AF52" s="153"/>
      <c r="AG52" s="153"/>
      <c r="AH52" s="153"/>
      <c r="AI52" s="153"/>
      <c r="AJ52" s="153"/>
      <c r="AK52" s="153"/>
      <c r="AL52" s="153"/>
      <c r="AM52" s="153"/>
      <c r="AN52" s="153"/>
      <c r="AO52" s="153"/>
      <c r="AP52" s="153"/>
      <c r="AQ52" s="153"/>
      <c r="AR52" s="158"/>
    </row>
    <row r="53" spans="1:44" ht="15.75" customHeight="1">
      <c r="A53" s="153"/>
      <c r="B53" s="159"/>
      <c r="C53" s="152"/>
      <c r="D53" s="152"/>
      <c r="E53" s="153"/>
      <c r="F53" s="153"/>
      <c r="G53" s="153"/>
      <c r="H53" s="153"/>
      <c r="I53" s="153"/>
      <c r="J53" s="153"/>
      <c r="K53" s="153"/>
      <c r="L53" s="153"/>
      <c r="M53" s="153"/>
      <c r="N53" s="153"/>
      <c r="O53" s="153"/>
      <c r="P53" s="153"/>
      <c r="Q53" s="153"/>
      <c r="R53" s="153"/>
      <c r="S53" s="153"/>
      <c r="T53" s="153"/>
      <c r="U53" s="153"/>
      <c r="V53" s="153"/>
      <c r="W53" s="153"/>
      <c r="X53" s="153"/>
      <c r="Y53" s="153"/>
      <c r="Z53" s="153"/>
      <c r="AA53" s="153"/>
      <c r="AB53" s="153"/>
      <c r="AC53" s="153"/>
      <c r="AD53" s="153"/>
      <c r="AE53" s="153"/>
      <c r="AF53" s="153"/>
      <c r="AG53" s="153"/>
      <c r="AH53" s="153"/>
      <c r="AI53" s="153"/>
      <c r="AJ53" s="153"/>
      <c r="AK53" s="153"/>
      <c r="AL53" s="153"/>
      <c r="AM53" s="153"/>
      <c r="AN53" s="153"/>
      <c r="AO53" s="153"/>
      <c r="AP53" s="153"/>
      <c r="AQ53" s="153"/>
      <c r="AR53" s="158"/>
    </row>
    <row r="54" spans="1:44" ht="15.75" customHeight="1">
      <c r="A54" s="153"/>
      <c r="B54" s="159"/>
      <c r="C54" s="152"/>
      <c r="D54" s="152"/>
      <c r="E54" s="153"/>
      <c r="F54" s="153"/>
      <c r="G54" s="153"/>
      <c r="H54" s="153"/>
      <c r="I54" s="153"/>
      <c r="J54" s="153"/>
      <c r="K54" s="153"/>
      <c r="L54" s="153"/>
      <c r="M54" s="153"/>
      <c r="N54" s="153"/>
      <c r="O54" s="153"/>
      <c r="P54" s="153"/>
      <c r="Q54" s="153"/>
      <c r="R54" s="153"/>
      <c r="S54" s="153"/>
      <c r="T54" s="153"/>
      <c r="U54" s="153"/>
      <c r="V54" s="153"/>
      <c r="W54" s="153"/>
      <c r="X54" s="153"/>
      <c r="Y54" s="153"/>
      <c r="Z54" s="153"/>
      <c r="AA54" s="153"/>
      <c r="AB54" s="153"/>
      <c r="AC54" s="153"/>
      <c r="AD54" s="153"/>
      <c r="AE54" s="153"/>
      <c r="AF54" s="153"/>
      <c r="AG54" s="153"/>
      <c r="AH54" s="153"/>
      <c r="AI54" s="153"/>
      <c r="AJ54" s="153"/>
      <c r="AK54" s="153"/>
      <c r="AL54" s="153"/>
      <c r="AM54" s="153"/>
      <c r="AN54" s="153"/>
      <c r="AO54" s="153"/>
      <c r="AP54" s="153"/>
      <c r="AQ54" s="153"/>
      <c r="AR54" s="158"/>
    </row>
    <row r="55" spans="1:44" ht="15.75" customHeight="1">
      <c r="A55" s="153"/>
      <c r="B55" s="159"/>
      <c r="C55" s="152"/>
      <c r="D55" s="152"/>
      <c r="E55" s="153"/>
      <c r="F55" s="153"/>
      <c r="G55" s="153"/>
      <c r="H55" s="153"/>
      <c r="I55" s="153"/>
      <c r="J55" s="153"/>
      <c r="K55" s="153"/>
      <c r="L55" s="153"/>
      <c r="M55" s="153"/>
      <c r="N55" s="153"/>
      <c r="O55" s="153"/>
      <c r="P55" s="153"/>
      <c r="Q55" s="153"/>
      <c r="R55" s="153"/>
      <c r="S55" s="153"/>
      <c r="T55" s="153"/>
      <c r="U55" s="153"/>
      <c r="V55" s="153"/>
      <c r="W55" s="153"/>
      <c r="X55" s="153"/>
      <c r="Y55" s="153"/>
      <c r="Z55" s="153"/>
      <c r="AA55" s="153"/>
      <c r="AB55" s="153"/>
      <c r="AC55" s="153"/>
      <c r="AD55" s="153"/>
      <c r="AE55" s="153"/>
      <c r="AF55" s="153"/>
      <c r="AG55" s="153"/>
      <c r="AH55" s="153"/>
      <c r="AI55" s="153"/>
      <c r="AJ55" s="153"/>
      <c r="AK55" s="153"/>
      <c r="AL55" s="153"/>
      <c r="AM55" s="153"/>
      <c r="AN55" s="153"/>
      <c r="AO55" s="153"/>
      <c r="AP55" s="153"/>
      <c r="AQ55" s="153"/>
      <c r="AR55" s="158"/>
    </row>
    <row r="56" spans="1:44" ht="15.75" customHeight="1">
      <c r="A56" s="153"/>
      <c r="B56" s="159"/>
      <c r="C56" s="152"/>
      <c r="D56" s="152"/>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c r="AN56" s="153"/>
      <c r="AO56" s="153"/>
      <c r="AP56" s="153"/>
      <c r="AQ56" s="153"/>
      <c r="AR56" s="158"/>
    </row>
    <row r="57" spans="1:44" ht="15.75" customHeight="1">
      <c r="A57" s="153"/>
      <c r="B57" s="191"/>
      <c r="C57" s="192"/>
      <c r="D57" s="192"/>
      <c r="E57" s="193"/>
      <c r="F57" s="193"/>
      <c r="G57" s="193"/>
      <c r="H57" s="193"/>
      <c r="I57" s="193"/>
      <c r="J57" s="193"/>
      <c r="K57" s="193"/>
      <c r="L57" s="193"/>
      <c r="M57" s="193"/>
      <c r="N57" s="193"/>
      <c r="O57" s="193"/>
      <c r="P57" s="193"/>
      <c r="Q57" s="193"/>
      <c r="R57" s="193"/>
      <c r="S57" s="193"/>
      <c r="T57" s="193"/>
      <c r="U57" s="193"/>
      <c r="V57" s="193"/>
      <c r="W57" s="193"/>
      <c r="X57" s="193"/>
      <c r="Y57" s="193"/>
      <c r="Z57" s="193"/>
      <c r="AA57" s="193"/>
      <c r="AB57" s="193"/>
      <c r="AC57" s="193"/>
      <c r="AD57" s="193"/>
      <c r="AE57" s="193"/>
      <c r="AF57" s="193"/>
      <c r="AG57" s="193"/>
      <c r="AH57" s="193"/>
      <c r="AI57" s="193"/>
      <c r="AJ57" s="193"/>
      <c r="AK57" s="193"/>
      <c r="AL57" s="193"/>
      <c r="AM57" s="193"/>
      <c r="AN57" s="193"/>
      <c r="AO57" s="193"/>
      <c r="AP57" s="193"/>
      <c r="AQ57" s="193"/>
      <c r="AR57" s="194"/>
    </row>
    <row r="58" spans="1:44" ht="15.75" customHeight="1">
      <c r="A58" s="153"/>
      <c r="B58" s="153"/>
      <c r="C58" s="152"/>
      <c r="D58" s="152"/>
      <c r="E58" s="153"/>
      <c r="F58" s="153"/>
      <c r="G58" s="153"/>
      <c r="H58" s="153"/>
      <c r="I58" s="153"/>
      <c r="J58" s="153"/>
      <c r="K58" s="153"/>
      <c r="L58" s="153"/>
      <c r="M58" s="153"/>
      <c r="N58" s="153"/>
      <c r="O58" s="153"/>
      <c r="P58" s="153"/>
      <c r="Q58" s="153"/>
      <c r="R58" s="153"/>
      <c r="S58" s="153"/>
      <c r="T58" s="153"/>
      <c r="U58" s="153"/>
      <c r="V58" s="153"/>
      <c r="W58" s="153"/>
      <c r="X58" s="153"/>
      <c r="Y58" s="153"/>
      <c r="Z58" s="153"/>
      <c r="AA58" s="153"/>
      <c r="AB58" s="153"/>
      <c r="AC58" s="153"/>
      <c r="AD58" s="153"/>
      <c r="AE58" s="153"/>
      <c r="AF58" s="153"/>
      <c r="AG58" s="153"/>
      <c r="AH58" s="153"/>
      <c r="AI58" s="153"/>
      <c r="AJ58" s="153"/>
      <c r="AK58" s="153"/>
      <c r="AL58" s="153"/>
      <c r="AM58" s="153"/>
      <c r="AN58" s="153"/>
      <c r="AO58" s="153"/>
      <c r="AP58" s="153"/>
      <c r="AQ58" s="153"/>
      <c r="AR58" s="153"/>
    </row>
    <row r="59" spans="1:44" ht="15.75" customHeight="1">
      <c r="A59" s="153"/>
      <c r="B59" s="153"/>
      <c r="C59" s="152"/>
      <c r="D59" s="152"/>
      <c r="E59" s="153"/>
      <c r="F59" s="153"/>
      <c r="G59" s="153"/>
      <c r="H59" s="153"/>
      <c r="I59" s="153"/>
      <c r="J59" s="153"/>
      <c r="K59" s="153"/>
      <c r="L59" s="153"/>
      <c r="M59" s="153"/>
      <c r="N59" s="153"/>
      <c r="O59" s="153"/>
      <c r="P59" s="153"/>
      <c r="Q59" s="153"/>
      <c r="R59" s="153"/>
      <c r="S59" s="153"/>
      <c r="T59" s="153"/>
      <c r="U59" s="153"/>
      <c r="V59" s="153"/>
      <c r="W59" s="153"/>
      <c r="X59" s="153"/>
      <c r="Y59" s="153"/>
      <c r="Z59" s="153"/>
      <c r="AA59" s="153"/>
      <c r="AB59" s="153"/>
      <c r="AC59" s="153"/>
      <c r="AD59" s="153"/>
      <c r="AE59" s="153"/>
      <c r="AF59" s="153"/>
      <c r="AG59" s="153"/>
      <c r="AH59" s="153"/>
      <c r="AI59" s="153"/>
      <c r="AJ59" s="153"/>
      <c r="AK59" s="153"/>
      <c r="AL59" s="153"/>
      <c r="AM59" s="153"/>
      <c r="AN59" s="153"/>
      <c r="AO59" s="153"/>
      <c r="AP59" s="153"/>
      <c r="AQ59" s="153"/>
      <c r="AR59" s="153"/>
    </row>
    <row r="60" spans="1:44" ht="15.75" customHeight="1">
      <c r="A60" s="153"/>
      <c r="B60" s="153"/>
      <c r="C60" s="152"/>
      <c r="D60" s="152"/>
      <c r="E60" s="153"/>
      <c r="F60" s="153"/>
      <c r="G60" s="153"/>
      <c r="H60" s="153"/>
      <c r="I60" s="153"/>
      <c r="J60" s="153"/>
      <c r="K60" s="153"/>
      <c r="L60" s="153"/>
      <c r="M60" s="153"/>
      <c r="N60" s="153"/>
      <c r="O60" s="153"/>
      <c r="P60" s="153"/>
      <c r="Q60" s="153"/>
      <c r="R60" s="153"/>
      <c r="S60" s="153"/>
      <c r="T60" s="153"/>
      <c r="U60" s="153"/>
      <c r="V60" s="153"/>
      <c r="W60" s="153"/>
      <c r="X60" s="153"/>
      <c r="Y60" s="153"/>
      <c r="Z60" s="153"/>
      <c r="AA60" s="153"/>
      <c r="AB60" s="153"/>
      <c r="AC60" s="153"/>
      <c r="AD60" s="153"/>
      <c r="AE60" s="153"/>
      <c r="AF60" s="153"/>
      <c r="AG60" s="153"/>
      <c r="AH60" s="153"/>
      <c r="AI60" s="153"/>
      <c r="AJ60" s="153"/>
      <c r="AK60" s="153"/>
      <c r="AL60" s="153"/>
      <c r="AM60" s="153"/>
      <c r="AN60" s="153"/>
      <c r="AO60" s="153"/>
      <c r="AP60" s="153"/>
      <c r="AQ60" s="153"/>
      <c r="AR60" s="153"/>
    </row>
    <row r="61" spans="1:44" ht="15.75" customHeight="1">
      <c r="A61" s="153"/>
      <c r="B61" s="153"/>
      <c r="C61" s="152"/>
      <c r="D61" s="152"/>
      <c r="E61" s="153"/>
      <c r="F61" s="153"/>
      <c r="G61" s="153"/>
      <c r="H61" s="153"/>
      <c r="I61" s="153"/>
      <c r="J61" s="153"/>
      <c r="K61" s="153"/>
      <c r="L61" s="153"/>
      <c r="M61" s="153"/>
      <c r="N61" s="153"/>
      <c r="O61" s="153"/>
      <c r="P61" s="153"/>
      <c r="Q61" s="153"/>
      <c r="R61" s="153"/>
      <c r="S61" s="153"/>
      <c r="T61" s="153"/>
      <c r="U61" s="153"/>
      <c r="V61" s="153"/>
      <c r="W61" s="153"/>
      <c r="X61" s="153"/>
      <c r="Y61" s="153"/>
      <c r="Z61" s="153"/>
      <c r="AA61" s="153"/>
      <c r="AB61" s="153"/>
      <c r="AC61" s="153"/>
      <c r="AD61" s="153"/>
      <c r="AE61" s="153"/>
      <c r="AF61" s="153"/>
      <c r="AG61" s="153"/>
      <c r="AH61" s="153"/>
      <c r="AI61" s="153"/>
      <c r="AJ61" s="153"/>
      <c r="AK61" s="153"/>
      <c r="AL61" s="153"/>
      <c r="AM61" s="153"/>
      <c r="AN61" s="153"/>
      <c r="AO61" s="153"/>
      <c r="AP61" s="153"/>
      <c r="AQ61" s="153"/>
      <c r="AR61" s="153"/>
    </row>
    <row r="62" spans="1:44" ht="15.75" customHeight="1">
      <c r="A62" s="153"/>
      <c r="B62" s="153"/>
      <c r="C62" s="152"/>
      <c r="D62" s="152"/>
      <c r="E62" s="153"/>
      <c r="F62" s="153"/>
      <c r="G62" s="153"/>
      <c r="H62" s="153"/>
      <c r="I62" s="153"/>
      <c r="J62" s="153"/>
      <c r="K62" s="153"/>
      <c r="L62" s="153"/>
      <c r="M62" s="153"/>
      <c r="N62" s="153"/>
      <c r="O62" s="153"/>
      <c r="P62" s="153"/>
      <c r="Q62" s="153"/>
      <c r="R62" s="153"/>
      <c r="S62" s="153"/>
      <c r="T62" s="153"/>
      <c r="U62" s="153"/>
      <c r="V62" s="153"/>
      <c r="W62" s="153"/>
      <c r="X62" s="153"/>
      <c r="Y62" s="153"/>
      <c r="Z62" s="153"/>
      <c r="AA62" s="153"/>
      <c r="AB62" s="153"/>
      <c r="AC62" s="153"/>
      <c r="AD62" s="153"/>
      <c r="AE62" s="153"/>
      <c r="AF62" s="153"/>
      <c r="AG62" s="153"/>
      <c r="AH62" s="153"/>
      <c r="AI62" s="153"/>
      <c r="AJ62" s="153"/>
      <c r="AK62" s="153"/>
      <c r="AL62" s="153"/>
      <c r="AM62" s="153"/>
      <c r="AN62" s="153"/>
      <c r="AO62" s="153"/>
      <c r="AP62" s="153"/>
      <c r="AQ62" s="153"/>
      <c r="AR62" s="153"/>
    </row>
    <row r="63" spans="1:44" ht="15.75" customHeight="1">
      <c r="A63" s="153"/>
      <c r="B63" s="153"/>
      <c r="C63" s="152"/>
      <c r="D63" s="152"/>
      <c r="E63" s="153"/>
      <c r="F63" s="153"/>
      <c r="G63" s="153"/>
      <c r="H63" s="153"/>
      <c r="I63" s="153"/>
      <c r="J63" s="153"/>
      <c r="K63" s="153"/>
      <c r="L63" s="153"/>
      <c r="M63" s="153"/>
      <c r="N63" s="153"/>
      <c r="O63" s="153"/>
      <c r="P63" s="153"/>
      <c r="Q63" s="153"/>
      <c r="R63" s="153"/>
      <c r="S63" s="153"/>
      <c r="T63" s="153"/>
      <c r="U63" s="153"/>
      <c r="V63" s="153"/>
      <c r="W63" s="153"/>
      <c r="X63" s="153"/>
      <c r="Y63" s="153"/>
      <c r="Z63" s="153"/>
      <c r="AA63" s="153"/>
      <c r="AB63" s="153"/>
      <c r="AC63" s="153"/>
      <c r="AD63" s="153"/>
      <c r="AE63" s="153"/>
      <c r="AF63" s="153"/>
      <c r="AG63" s="153"/>
      <c r="AH63" s="153"/>
      <c r="AI63" s="153"/>
      <c r="AJ63" s="153"/>
      <c r="AK63" s="153"/>
      <c r="AL63" s="153"/>
      <c r="AM63" s="153"/>
      <c r="AN63" s="153"/>
      <c r="AO63" s="153"/>
      <c r="AP63" s="153"/>
      <c r="AQ63" s="153"/>
      <c r="AR63" s="153"/>
    </row>
    <row r="64" spans="1:44" ht="15.75" customHeight="1">
      <c r="A64" s="153"/>
      <c r="B64" s="153"/>
      <c r="C64" s="152"/>
      <c r="D64" s="152"/>
      <c r="E64" s="153"/>
      <c r="F64" s="153"/>
      <c r="G64" s="153"/>
      <c r="H64" s="153"/>
      <c r="I64" s="153"/>
      <c r="J64" s="153"/>
      <c r="K64" s="153"/>
      <c r="L64" s="153"/>
      <c r="M64" s="153"/>
      <c r="N64" s="153"/>
      <c r="O64" s="153"/>
      <c r="P64" s="153"/>
      <c r="Q64" s="153"/>
      <c r="R64" s="153"/>
      <c r="S64" s="153"/>
      <c r="T64" s="153"/>
      <c r="U64" s="153"/>
      <c r="V64" s="153"/>
      <c r="W64" s="153"/>
      <c r="X64" s="153"/>
      <c r="Y64" s="153"/>
      <c r="Z64" s="153"/>
      <c r="AA64" s="153"/>
      <c r="AB64" s="153"/>
      <c r="AC64" s="153"/>
      <c r="AD64" s="153"/>
      <c r="AE64" s="153"/>
      <c r="AF64" s="153"/>
      <c r="AG64" s="153"/>
      <c r="AH64" s="153"/>
      <c r="AI64" s="153"/>
      <c r="AJ64" s="153"/>
      <c r="AK64" s="153"/>
      <c r="AL64" s="153"/>
      <c r="AM64" s="153"/>
      <c r="AN64" s="153"/>
      <c r="AO64" s="153"/>
      <c r="AP64" s="153"/>
      <c r="AQ64" s="153"/>
      <c r="AR64" s="153"/>
    </row>
    <row r="65" spans="1:44" ht="15.75" customHeight="1">
      <c r="A65" s="153"/>
      <c r="B65" s="153"/>
      <c r="C65" s="152"/>
      <c r="D65" s="152"/>
      <c r="E65" s="153"/>
      <c r="F65" s="153"/>
      <c r="G65" s="153"/>
      <c r="H65" s="153"/>
      <c r="I65" s="153"/>
      <c r="J65" s="153"/>
      <c r="K65" s="153"/>
      <c r="L65" s="153"/>
      <c r="M65" s="153"/>
      <c r="N65" s="153"/>
      <c r="O65" s="153"/>
      <c r="P65" s="153"/>
      <c r="Q65" s="153"/>
      <c r="R65" s="153"/>
      <c r="S65" s="153"/>
      <c r="T65" s="153"/>
      <c r="U65" s="153"/>
      <c r="V65" s="153"/>
      <c r="W65" s="153"/>
      <c r="X65" s="153"/>
      <c r="Y65" s="153"/>
      <c r="Z65" s="153"/>
      <c r="AA65" s="153"/>
      <c r="AB65" s="153"/>
      <c r="AC65" s="153"/>
      <c r="AD65" s="153"/>
      <c r="AE65" s="153"/>
      <c r="AF65" s="153"/>
      <c r="AG65" s="153"/>
      <c r="AH65" s="153"/>
      <c r="AI65" s="153"/>
      <c r="AJ65" s="153"/>
      <c r="AK65" s="153"/>
      <c r="AL65" s="153"/>
      <c r="AM65" s="153"/>
      <c r="AN65" s="153"/>
      <c r="AO65" s="153"/>
      <c r="AP65" s="153"/>
      <c r="AQ65" s="153"/>
      <c r="AR65" s="153"/>
    </row>
    <row r="66" spans="1:44" ht="15.75" customHeight="1">
      <c r="A66" s="153"/>
      <c r="B66" s="153"/>
      <c r="C66" s="152"/>
      <c r="D66" s="152"/>
      <c r="E66" s="153"/>
      <c r="F66" s="153"/>
      <c r="G66" s="153"/>
      <c r="H66" s="153"/>
      <c r="I66" s="153"/>
      <c r="J66" s="153"/>
      <c r="K66" s="153"/>
      <c r="L66" s="153"/>
      <c r="M66" s="153"/>
      <c r="N66" s="153"/>
      <c r="O66" s="153"/>
      <c r="P66" s="153"/>
      <c r="Q66" s="153"/>
      <c r="R66" s="153"/>
      <c r="S66" s="153"/>
      <c r="T66" s="153"/>
      <c r="U66" s="153"/>
      <c r="V66" s="153"/>
      <c r="W66" s="153"/>
      <c r="X66" s="153"/>
      <c r="Y66" s="153"/>
      <c r="Z66" s="153"/>
      <c r="AA66" s="153"/>
      <c r="AB66" s="153"/>
      <c r="AC66" s="153"/>
      <c r="AD66" s="153"/>
      <c r="AE66" s="153"/>
      <c r="AF66" s="153"/>
      <c r="AG66" s="153"/>
      <c r="AH66" s="153"/>
      <c r="AI66" s="153"/>
      <c r="AJ66" s="153"/>
      <c r="AK66" s="153"/>
      <c r="AL66" s="153"/>
      <c r="AM66" s="153"/>
      <c r="AN66" s="153"/>
      <c r="AO66" s="153"/>
      <c r="AP66" s="153"/>
      <c r="AQ66" s="153"/>
      <c r="AR66" s="153"/>
    </row>
    <row r="67" spans="1:44" ht="15.75" customHeight="1">
      <c r="A67" s="153"/>
      <c r="B67" s="153"/>
      <c r="C67" s="152"/>
      <c r="D67" s="152"/>
      <c r="E67" s="153"/>
      <c r="F67" s="153"/>
      <c r="G67" s="153"/>
      <c r="H67" s="153"/>
      <c r="I67" s="153"/>
      <c r="J67" s="153"/>
      <c r="K67" s="153"/>
      <c r="L67" s="153"/>
      <c r="M67" s="153"/>
      <c r="N67" s="153"/>
      <c r="O67" s="153"/>
      <c r="P67" s="153"/>
      <c r="Q67" s="153"/>
      <c r="R67" s="153"/>
      <c r="S67" s="153"/>
      <c r="T67" s="153"/>
      <c r="U67" s="153"/>
      <c r="V67" s="153"/>
      <c r="W67" s="153"/>
      <c r="X67" s="153"/>
      <c r="Y67" s="153"/>
      <c r="Z67" s="153"/>
      <c r="AA67" s="153"/>
      <c r="AB67" s="153"/>
      <c r="AC67" s="153"/>
      <c r="AD67" s="153"/>
      <c r="AE67" s="153"/>
      <c r="AF67" s="153"/>
      <c r="AG67" s="153"/>
      <c r="AH67" s="153"/>
      <c r="AI67" s="153"/>
      <c r="AJ67" s="153"/>
      <c r="AK67" s="153"/>
      <c r="AL67" s="153"/>
      <c r="AM67" s="153"/>
      <c r="AN67" s="153"/>
      <c r="AO67" s="153"/>
      <c r="AP67" s="153"/>
      <c r="AQ67" s="153"/>
      <c r="AR67" s="153"/>
    </row>
    <row r="68" spans="1:44" ht="15.75" customHeight="1">
      <c r="A68" s="153"/>
      <c r="B68" s="153"/>
      <c r="C68" s="152"/>
      <c r="D68" s="152"/>
      <c r="E68" s="153"/>
      <c r="F68" s="153"/>
      <c r="G68" s="153"/>
      <c r="H68" s="153"/>
      <c r="I68" s="153"/>
      <c r="J68" s="153"/>
      <c r="K68" s="153"/>
      <c r="L68" s="153"/>
      <c r="M68" s="153"/>
      <c r="N68" s="153"/>
      <c r="O68" s="153"/>
      <c r="P68" s="153"/>
      <c r="Q68" s="153"/>
      <c r="R68" s="153"/>
      <c r="S68" s="153"/>
      <c r="T68" s="153"/>
      <c r="U68" s="153"/>
      <c r="V68" s="153"/>
      <c r="W68" s="153"/>
      <c r="X68" s="153"/>
      <c r="Y68" s="153"/>
      <c r="Z68" s="153"/>
      <c r="AA68" s="153"/>
      <c r="AB68" s="153"/>
      <c r="AC68" s="153"/>
      <c r="AD68" s="153"/>
      <c r="AE68" s="153"/>
      <c r="AF68" s="153"/>
      <c r="AG68" s="153"/>
      <c r="AH68" s="153"/>
      <c r="AI68" s="153"/>
      <c r="AJ68" s="153"/>
      <c r="AK68" s="153"/>
      <c r="AL68" s="153"/>
      <c r="AM68" s="153"/>
      <c r="AN68" s="153"/>
      <c r="AO68" s="153"/>
      <c r="AP68" s="153"/>
      <c r="AQ68" s="153"/>
      <c r="AR68" s="153"/>
    </row>
    <row r="69" spans="1:44" ht="15.75" customHeight="1">
      <c r="A69" s="153"/>
      <c r="B69" s="153"/>
      <c r="C69" s="152"/>
      <c r="D69" s="152"/>
      <c r="E69" s="153"/>
      <c r="F69" s="153"/>
      <c r="G69" s="153"/>
      <c r="H69" s="153"/>
      <c r="I69" s="153"/>
      <c r="J69" s="153"/>
      <c r="K69" s="153"/>
      <c r="L69" s="153"/>
      <c r="M69" s="153"/>
      <c r="N69" s="153"/>
      <c r="O69" s="153"/>
      <c r="P69" s="153"/>
      <c r="Q69" s="153"/>
      <c r="R69" s="153"/>
      <c r="S69" s="153"/>
      <c r="T69" s="153"/>
      <c r="U69" s="153"/>
      <c r="V69" s="153"/>
      <c r="W69" s="153"/>
      <c r="X69" s="153"/>
      <c r="Y69" s="153"/>
      <c r="Z69" s="153"/>
      <c r="AA69" s="153"/>
      <c r="AB69" s="153"/>
      <c r="AC69" s="153"/>
      <c r="AD69" s="153"/>
      <c r="AE69" s="153"/>
      <c r="AF69" s="153"/>
      <c r="AG69" s="153"/>
      <c r="AH69" s="153"/>
      <c r="AI69" s="153"/>
      <c r="AJ69" s="153"/>
      <c r="AK69" s="153"/>
      <c r="AL69" s="153"/>
      <c r="AM69" s="153"/>
      <c r="AN69" s="153"/>
      <c r="AO69" s="153"/>
      <c r="AP69" s="153"/>
      <c r="AQ69" s="153"/>
      <c r="AR69" s="153"/>
    </row>
    <row r="70" spans="1:44" ht="15.75" customHeight="1">
      <c r="A70" s="153"/>
      <c r="B70" s="153"/>
      <c r="C70" s="152"/>
      <c r="D70" s="152"/>
      <c r="E70" s="153"/>
      <c r="F70" s="153"/>
      <c r="G70" s="153"/>
      <c r="H70" s="153"/>
      <c r="I70" s="153"/>
      <c r="J70" s="153"/>
      <c r="K70" s="153"/>
      <c r="L70" s="153"/>
      <c r="M70" s="153"/>
      <c r="N70" s="153"/>
      <c r="O70" s="153"/>
      <c r="P70" s="153"/>
      <c r="Q70" s="153"/>
      <c r="R70" s="153"/>
      <c r="S70" s="153"/>
      <c r="T70" s="153"/>
      <c r="U70" s="153"/>
      <c r="V70" s="153"/>
      <c r="W70" s="153"/>
      <c r="X70" s="153"/>
      <c r="Y70" s="153"/>
      <c r="Z70" s="153"/>
      <c r="AA70" s="153"/>
      <c r="AB70" s="153"/>
      <c r="AC70" s="153"/>
      <c r="AD70" s="153"/>
      <c r="AE70" s="153"/>
      <c r="AF70" s="153"/>
      <c r="AG70" s="153"/>
      <c r="AH70" s="153"/>
      <c r="AI70" s="153"/>
      <c r="AJ70" s="153"/>
      <c r="AK70" s="153"/>
      <c r="AL70" s="153"/>
      <c r="AM70" s="153"/>
      <c r="AN70" s="153"/>
      <c r="AO70" s="153"/>
      <c r="AP70" s="153"/>
      <c r="AQ70" s="153"/>
      <c r="AR70" s="153"/>
    </row>
    <row r="71" spans="1:44" ht="15.75" customHeight="1">
      <c r="A71" s="153"/>
      <c r="B71" s="153"/>
      <c r="C71" s="152"/>
      <c r="D71" s="152"/>
      <c r="E71" s="153"/>
      <c r="F71" s="153"/>
      <c r="G71" s="153"/>
      <c r="H71" s="153"/>
      <c r="I71" s="153"/>
      <c r="J71" s="153"/>
      <c r="K71" s="153"/>
      <c r="L71" s="153"/>
      <c r="M71" s="153"/>
      <c r="N71" s="153"/>
      <c r="O71" s="153"/>
      <c r="P71" s="153"/>
      <c r="Q71" s="153"/>
      <c r="R71" s="153"/>
      <c r="S71" s="153"/>
      <c r="T71" s="153"/>
      <c r="U71" s="153"/>
      <c r="V71" s="153"/>
      <c r="W71" s="153"/>
      <c r="X71" s="153"/>
      <c r="Y71" s="153"/>
      <c r="Z71" s="153"/>
      <c r="AA71" s="153"/>
      <c r="AB71" s="153"/>
      <c r="AC71" s="153"/>
      <c r="AD71" s="153"/>
      <c r="AE71" s="153"/>
      <c r="AF71" s="153"/>
      <c r="AG71" s="153"/>
      <c r="AH71" s="153"/>
      <c r="AI71" s="153"/>
      <c r="AJ71" s="153"/>
      <c r="AK71" s="153"/>
      <c r="AL71" s="153"/>
      <c r="AM71" s="153"/>
      <c r="AN71" s="153"/>
      <c r="AO71" s="153"/>
      <c r="AP71" s="153"/>
      <c r="AQ71" s="153"/>
      <c r="AR71" s="153"/>
    </row>
    <row r="72" spans="1:44" ht="15.75" customHeight="1">
      <c r="A72" s="153"/>
      <c r="B72" s="153"/>
      <c r="C72" s="152"/>
      <c r="D72" s="152"/>
      <c r="E72" s="153"/>
      <c r="F72" s="153"/>
      <c r="G72" s="153"/>
      <c r="H72" s="153"/>
      <c r="I72" s="153"/>
      <c r="J72" s="153"/>
      <c r="K72" s="153"/>
      <c r="L72" s="153"/>
      <c r="M72" s="153"/>
      <c r="N72" s="153"/>
      <c r="O72" s="153"/>
      <c r="P72" s="153"/>
      <c r="Q72" s="153"/>
      <c r="R72" s="153"/>
      <c r="S72" s="153"/>
      <c r="T72" s="153"/>
      <c r="U72" s="153"/>
      <c r="V72" s="153"/>
      <c r="W72" s="153"/>
      <c r="X72" s="153"/>
      <c r="Y72" s="153"/>
      <c r="Z72" s="153"/>
      <c r="AA72" s="153"/>
      <c r="AB72" s="153"/>
      <c r="AC72" s="153"/>
      <c r="AD72" s="153"/>
      <c r="AE72" s="153"/>
      <c r="AF72" s="153"/>
      <c r="AG72" s="153"/>
      <c r="AH72" s="153"/>
      <c r="AI72" s="153"/>
      <c r="AJ72" s="153"/>
      <c r="AK72" s="153"/>
      <c r="AL72" s="153"/>
      <c r="AM72" s="153"/>
      <c r="AN72" s="153"/>
      <c r="AO72" s="153"/>
      <c r="AP72" s="153"/>
      <c r="AQ72" s="153"/>
      <c r="AR72" s="153"/>
    </row>
    <row r="73" spans="1:44" ht="15.75" customHeight="1">
      <c r="A73" s="153"/>
      <c r="B73" s="153"/>
      <c r="C73" s="152"/>
      <c r="D73" s="152"/>
      <c r="E73" s="153"/>
      <c r="F73" s="153"/>
      <c r="G73" s="153"/>
      <c r="H73" s="153"/>
      <c r="I73" s="153"/>
      <c r="J73" s="153"/>
      <c r="K73" s="153"/>
      <c r="L73" s="153"/>
      <c r="M73" s="153"/>
      <c r="N73" s="153"/>
      <c r="O73" s="153"/>
      <c r="P73" s="153"/>
      <c r="Q73" s="153"/>
      <c r="R73" s="153"/>
      <c r="S73" s="153"/>
      <c r="T73" s="153"/>
      <c r="U73" s="153"/>
      <c r="V73" s="153"/>
      <c r="W73" s="153"/>
      <c r="X73" s="153"/>
      <c r="Y73" s="153"/>
      <c r="Z73" s="153"/>
      <c r="AA73" s="153"/>
      <c r="AB73" s="153"/>
      <c r="AC73" s="153"/>
      <c r="AD73" s="153"/>
      <c r="AE73" s="153"/>
      <c r="AF73" s="153"/>
      <c r="AG73" s="153"/>
      <c r="AH73" s="153"/>
      <c r="AI73" s="153"/>
      <c r="AJ73" s="153"/>
      <c r="AK73" s="153"/>
      <c r="AL73" s="153"/>
      <c r="AM73" s="153"/>
      <c r="AN73" s="153"/>
      <c r="AO73" s="153"/>
      <c r="AP73" s="153"/>
      <c r="AQ73" s="153"/>
      <c r="AR73" s="153"/>
    </row>
    <row r="74" spans="1:44" ht="15.75" customHeight="1">
      <c r="A74" s="153"/>
      <c r="B74" s="153"/>
      <c r="C74" s="152"/>
      <c r="D74" s="152"/>
      <c r="E74" s="153"/>
      <c r="F74" s="153"/>
      <c r="G74" s="153"/>
      <c r="H74" s="153"/>
      <c r="I74" s="153"/>
      <c r="J74" s="153"/>
      <c r="K74" s="153"/>
      <c r="L74" s="153"/>
      <c r="M74" s="153"/>
      <c r="N74" s="153"/>
      <c r="O74" s="153"/>
      <c r="P74" s="153"/>
      <c r="Q74" s="153"/>
      <c r="R74" s="153"/>
      <c r="S74" s="153"/>
      <c r="T74" s="153"/>
      <c r="U74" s="153"/>
      <c r="V74" s="153"/>
      <c r="W74" s="153"/>
      <c r="X74" s="153"/>
      <c r="Y74" s="153"/>
      <c r="Z74" s="153"/>
      <c r="AA74" s="153"/>
      <c r="AB74" s="153"/>
      <c r="AC74" s="153"/>
      <c r="AD74" s="153"/>
      <c r="AE74" s="153"/>
      <c r="AF74" s="153"/>
      <c r="AG74" s="153"/>
      <c r="AH74" s="153"/>
      <c r="AI74" s="153"/>
      <c r="AJ74" s="153"/>
      <c r="AK74" s="153"/>
      <c r="AL74" s="153"/>
      <c r="AM74" s="153"/>
      <c r="AN74" s="153"/>
      <c r="AO74" s="153"/>
      <c r="AP74" s="153"/>
      <c r="AQ74" s="153"/>
      <c r="AR74" s="153"/>
    </row>
    <row r="75" spans="1:44" ht="15.75" customHeight="1">
      <c r="A75" s="153"/>
      <c r="B75" s="153"/>
      <c r="C75" s="152"/>
      <c r="D75" s="152"/>
      <c r="E75" s="153"/>
      <c r="F75" s="153"/>
      <c r="G75" s="153"/>
      <c r="H75" s="153"/>
      <c r="I75" s="153"/>
      <c r="J75" s="153"/>
      <c r="K75" s="153"/>
      <c r="L75" s="153"/>
      <c r="M75" s="153"/>
      <c r="N75" s="153"/>
      <c r="O75" s="153"/>
      <c r="P75" s="153"/>
      <c r="Q75" s="153"/>
      <c r="R75" s="153"/>
      <c r="S75" s="153"/>
      <c r="T75" s="153"/>
      <c r="U75" s="153"/>
      <c r="V75" s="153"/>
      <c r="W75" s="153"/>
      <c r="X75" s="153"/>
      <c r="Y75" s="153"/>
      <c r="Z75" s="153"/>
      <c r="AA75" s="153"/>
      <c r="AB75" s="153"/>
      <c r="AC75" s="153"/>
      <c r="AD75" s="153"/>
      <c r="AE75" s="153"/>
      <c r="AF75" s="153"/>
      <c r="AG75" s="153"/>
      <c r="AH75" s="153"/>
      <c r="AI75" s="153"/>
      <c r="AJ75" s="153"/>
      <c r="AK75" s="153"/>
      <c r="AL75" s="153"/>
      <c r="AM75" s="153"/>
      <c r="AN75" s="153"/>
      <c r="AO75" s="153"/>
      <c r="AP75" s="153"/>
      <c r="AQ75" s="153"/>
      <c r="AR75" s="153"/>
    </row>
    <row r="76" spans="1:44" ht="15.75" customHeight="1">
      <c r="A76" s="153"/>
      <c r="B76" s="153"/>
      <c r="C76" s="152"/>
      <c r="D76" s="152"/>
      <c r="E76" s="153"/>
      <c r="F76" s="153"/>
      <c r="G76" s="153"/>
      <c r="H76" s="153"/>
      <c r="I76" s="153"/>
      <c r="J76" s="153"/>
      <c r="K76" s="153"/>
      <c r="L76" s="153"/>
      <c r="M76" s="153"/>
      <c r="N76" s="153"/>
      <c r="O76" s="153"/>
      <c r="P76" s="153"/>
      <c r="Q76" s="153"/>
      <c r="R76" s="153"/>
      <c r="S76" s="153"/>
      <c r="T76" s="153"/>
      <c r="U76" s="153"/>
      <c r="V76" s="153"/>
      <c r="W76" s="153"/>
      <c r="X76" s="153"/>
      <c r="Y76" s="153"/>
      <c r="Z76" s="153"/>
      <c r="AA76" s="153"/>
      <c r="AB76" s="153"/>
      <c r="AC76" s="153"/>
      <c r="AD76" s="153"/>
      <c r="AE76" s="153"/>
      <c r="AF76" s="153"/>
      <c r="AG76" s="153"/>
      <c r="AH76" s="153"/>
      <c r="AI76" s="153"/>
      <c r="AJ76" s="153"/>
      <c r="AK76" s="153"/>
      <c r="AL76" s="153"/>
      <c r="AM76" s="153"/>
      <c r="AN76" s="153"/>
      <c r="AO76" s="153"/>
      <c r="AP76" s="153"/>
      <c r="AQ76" s="153"/>
      <c r="AR76" s="153"/>
    </row>
    <row r="77" spans="1:44" ht="15.75" customHeight="1">
      <c r="A77" s="153"/>
      <c r="B77" s="153"/>
      <c r="C77" s="152"/>
      <c r="D77" s="152"/>
      <c r="E77" s="153"/>
      <c r="F77" s="153"/>
      <c r="G77" s="153"/>
      <c r="H77" s="153"/>
      <c r="I77" s="153"/>
      <c r="J77" s="153"/>
      <c r="K77" s="153"/>
      <c r="L77" s="153"/>
      <c r="M77" s="153"/>
      <c r="N77" s="153"/>
      <c r="O77" s="153"/>
      <c r="P77" s="153"/>
      <c r="Q77" s="153"/>
      <c r="R77" s="153"/>
      <c r="S77" s="153"/>
      <c r="T77" s="153"/>
      <c r="U77" s="153"/>
      <c r="V77" s="153"/>
      <c r="W77" s="153"/>
      <c r="X77" s="153"/>
      <c r="Y77" s="153"/>
      <c r="Z77" s="153"/>
      <c r="AA77" s="153"/>
      <c r="AB77" s="153"/>
      <c r="AC77" s="153"/>
      <c r="AD77" s="153"/>
      <c r="AE77" s="153"/>
      <c r="AF77" s="153"/>
      <c r="AG77" s="153"/>
      <c r="AH77" s="153"/>
      <c r="AI77" s="153"/>
      <c r="AJ77" s="153"/>
      <c r="AK77" s="153"/>
      <c r="AL77" s="153"/>
      <c r="AM77" s="153"/>
      <c r="AN77" s="153"/>
      <c r="AO77" s="153"/>
      <c r="AP77" s="153"/>
      <c r="AQ77" s="153"/>
      <c r="AR77" s="153"/>
    </row>
    <row r="78" spans="1:44" ht="15.75" customHeight="1">
      <c r="A78" s="153"/>
      <c r="B78" s="153"/>
      <c r="C78" s="152"/>
      <c r="D78" s="152"/>
      <c r="E78" s="153"/>
      <c r="F78" s="153"/>
      <c r="G78" s="153"/>
      <c r="H78" s="153"/>
      <c r="I78" s="153"/>
      <c r="J78" s="153"/>
      <c r="K78" s="153"/>
      <c r="L78" s="153"/>
      <c r="M78" s="153"/>
      <c r="N78" s="153"/>
      <c r="O78" s="153"/>
      <c r="P78" s="153"/>
      <c r="Q78" s="153"/>
      <c r="R78" s="153"/>
      <c r="S78" s="153"/>
      <c r="T78" s="153"/>
      <c r="U78" s="153"/>
      <c r="V78" s="153"/>
      <c r="W78" s="153"/>
      <c r="X78" s="153"/>
      <c r="Y78" s="153"/>
      <c r="Z78" s="153"/>
      <c r="AA78" s="153"/>
      <c r="AB78" s="153"/>
      <c r="AC78" s="153"/>
      <c r="AD78" s="153"/>
      <c r="AE78" s="153"/>
      <c r="AF78" s="153"/>
      <c r="AG78" s="153"/>
      <c r="AH78" s="153"/>
      <c r="AI78" s="153"/>
      <c r="AJ78" s="153"/>
      <c r="AK78" s="153"/>
      <c r="AL78" s="153"/>
      <c r="AM78" s="153"/>
      <c r="AN78" s="153"/>
      <c r="AO78" s="153"/>
      <c r="AP78" s="153"/>
      <c r="AQ78" s="153"/>
      <c r="AR78" s="153"/>
    </row>
    <row r="79" spans="1:44" ht="15.75" customHeight="1">
      <c r="A79" s="153"/>
      <c r="B79" s="153"/>
      <c r="C79" s="152"/>
      <c r="D79" s="152"/>
      <c r="E79" s="153"/>
      <c r="F79" s="153"/>
      <c r="G79" s="153"/>
      <c r="H79" s="153"/>
      <c r="I79" s="153"/>
      <c r="J79" s="153"/>
      <c r="K79" s="153"/>
      <c r="L79" s="153"/>
      <c r="M79" s="153"/>
      <c r="N79" s="153"/>
      <c r="O79" s="153"/>
      <c r="P79" s="153"/>
      <c r="Q79" s="153"/>
      <c r="R79" s="153"/>
      <c r="S79" s="153"/>
      <c r="T79" s="153"/>
      <c r="U79" s="153"/>
      <c r="V79" s="153"/>
      <c r="W79" s="153"/>
      <c r="X79" s="153"/>
      <c r="Y79" s="153"/>
      <c r="Z79" s="153"/>
      <c r="AA79" s="153"/>
      <c r="AB79" s="153"/>
      <c r="AC79" s="153"/>
      <c r="AD79" s="153"/>
      <c r="AE79" s="153"/>
      <c r="AF79" s="153"/>
      <c r="AG79" s="153"/>
      <c r="AH79" s="153"/>
      <c r="AI79" s="153"/>
      <c r="AJ79" s="153"/>
      <c r="AK79" s="153"/>
      <c r="AL79" s="153"/>
      <c r="AM79" s="153"/>
      <c r="AN79" s="153"/>
      <c r="AO79" s="153"/>
      <c r="AP79" s="153"/>
      <c r="AQ79" s="153"/>
      <c r="AR79" s="153"/>
    </row>
    <row r="80" spans="1:44" ht="15.75" customHeight="1">
      <c r="A80" s="153"/>
      <c r="B80" s="153"/>
      <c r="C80" s="152"/>
      <c r="D80" s="152"/>
      <c r="E80" s="153"/>
      <c r="F80" s="153"/>
      <c r="G80" s="153"/>
      <c r="H80" s="153"/>
      <c r="I80" s="153"/>
      <c r="J80" s="153"/>
      <c r="K80" s="153"/>
      <c r="L80" s="153"/>
      <c r="M80" s="153"/>
      <c r="N80" s="153"/>
      <c r="O80" s="153"/>
      <c r="P80" s="153"/>
      <c r="Q80" s="153"/>
      <c r="R80" s="153"/>
      <c r="S80" s="153"/>
      <c r="T80" s="153"/>
      <c r="U80" s="153"/>
      <c r="V80" s="153"/>
      <c r="W80" s="153"/>
      <c r="X80" s="153"/>
      <c r="Y80" s="153"/>
      <c r="Z80" s="153"/>
      <c r="AA80" s="153"/>
      <c r="AB80" s="153"/>
      <c r="AC80" s="153"/>
      <c r="AD80" s="153"/>
      <c r="AE80" s="153"/>
      <c r="AF80" s="153"/>
      <c r="AG80" s="153"/>
      <c r="AH80" s="153"/>
      <c r="AI80" s="153"/>
      <c r="AJ80" s="153"/>
      <c r="AK80" s="153"/>
      <c r="AL80" s="153"/>
      <c r="AM80" s="153"/>
      <c r="AN80" s="153"/>
      <c r="AO80" s="153"/>
      <c r="AP80" s="153"/>
      <c r="AQ80" s="153"/>
      <c r="AR80" s="153"/>
    </row>
    <row r="81" spans="1:44" ht="15.75" customHeight="1">
      <c r="A81" s="153"/>
      <c r="B81" s="153"/>
      <c r="C81" s="152"/>
      <c r="D81" s="152"/>
      <c r="E81" s="153"/>
      <c r="F81" s="153"/>
      <c r="G81" s="153"/>
      <c r="H81" s="153"/>
      <c r="I81" s="153"/>
      <c r="J81" s="153"/>
      <c r="K81" s="153"/>
      <c r="L81" s="153"/>
      <c r="M81" s="153"/>
      <c r="N81" s="153"/>
      <c r="O81" s="153"/>
      <c r="P81" s="153"/>
      <c r="Q81" s="153"/>
      <c r="R81" s="153"/>
      <c r="S81" s="153"/>
      <c r="T81" s="153"/>
      <c r="U81" s="153"/>
      <c r="V81" s="153"/>
      <c r="W81" s="153"/>
      <c r="X81" s="153"/>
      <c r="Y81" s="153"/>
      <c r="Z81" s="153"/>
      <c r="AA81" s="153"/>
      <c r="AB81" s="153"/>
      <c r="AC81" s="153"/>
      <c r="AD81" s="153"/>
      <c r="AE81" s="153"/>
      <c r="AF81" s="153"/>
      <c r="AG81" s="153"/>
      <c r="AH81" s="153"/>
      <c r="AI81" s="153"/>
      <c r="AJ81" s="153"/>
      <c r="AK81" s="153"/>
      <c r="AL81" s="153"/>
      <c r="AM81" s="153"/>
      <c r="AN81" s="153"/>
      <c r="AO81" s="153"/>
      <c r="AP81" s="153"/>
      <c r="AQ81" s="153"/>
      <c r="AR81" s="153"/>
    </row>
    <row r="82" spans="1:44" ht="15.75" customHeight="1">
      <c r="A82" s="153"/>
      <c r="B82" s="153"/>
      <c r="C82" s="152"/>
      <c r="D82" s="152"/>
      <c r="E82" s="153"/>
      <c r="F82" s="153"/>
      <c r="G82" s="153"/>
      <c r="H82" s="153"/>
      <c r="I82" s="153"/>
      <c r="J82" s="153"/>
      <c r="K82" s="153"/>
      <c r="L82" s="153"/>
      <c r="M82" s="153"/>
      <c r="N82" s="153"/>
      <c r="O82" s="153"/>
      <c r="P82" s="153"/>
      <c r="Q82" s="153"/>
      <c r="R82" s="153"/>
      <c r="S82" s="153"/>
      <c r="T82" s="153"/>
      <c r="U82" s="153"/>
      <c r="V82" s="153"/>
      <c r="W82" s="153"/>
      <c r="X82" s="153"/>
      <c r="Y82" s="153"/>
      <c r="Z82" s="153"/>
      <c r="AA82" s="153"/>
      <c r="AB82" s="153"/>
      <c r="AC82" s="153"/>
      <c r="AD82" s="153"/>
      <c r="AE82" s="153"/>
      <c r="AF82" s="153"/>
      <c r="AG82" s="153"/>
      <c r="AH82" s="153"/>
      <c r="AI82" s="153"/>
      <c r="AJ82" s="153"/>
      <c r="AK82" s="153"/>
      <c r="AL82" s="153"/>
      <c r="AM82" s="153"/>
      <c r="AN82" s="153"/>
      <c r="AO82" s="153"/>
      <c r="AP82" s="153"/>
      <c r="AQ82" s="153"/>
      <c r="AR82" s="153"/>
    </row>
    <row r="83" spans="1:44" ht="15.75" customHeight="1">
      <c r="A83" s="153"/>
      <c r="B83" s="153"/>
      <c r="C83" s="152"/>
      <c r="D83" s="152"/>
      <c r="E83" s="153"/>
      <c r="F83" s="153"/>
      <c r="G83" s="153"/>
      <c r="H83" s="153"/>
      <c r="I83" s="153"/>
      <c r="J83" s="153"/>
      <c r="K83" s="153"/>
      <c r="L83" s="153"/>
      <c r="M83" s="153"/>
      <c r="N83" s="153"/>
      <c r="O83" s="153"/>
      <c r="P83" s="153"/>
      <c r="Q83" s="153"/>
      <c r="R83" s="153"/>
      <c r="S83" s="153"/>
      <c r="T83" s="153"/>
      <c r="U83" s="153"/>
      <c r="V83" s="153"/>
      <c r="W83" s="153"/>
      <c r="X83" s="153"/>
      <c r="Y83" s="153"/>
      <c r="Z83" s="153"/>
      <c r="AA83" s="153"/>
      <c r="AB83" s="153"/>
      <c r="AC83" s="153"/>
      <c r="AD83" s="153"/>
      <c r="AE83" s="153"/>
      <c r="AF83" s="153"/>
      <c r="AG83" s="153"/>
      <c r="AH83" s="153"/>
      <c r="AI83" s="153"/>
      <c r="AJ83" s="153"/>
      <c r="AK83" s="153"/>
      <c r="AL83" s="153"/>
      <c r="AM83" s="153"/>
      <c r="AN83" s="153"/>
      <c r="AO83" s="153"/>
      <c r="AP83" s="153"/>
      <c r="AQ83" s="153"/>
      <c r="AR83" s="153"/>
    </row>
    <row r="84" spans="1:44" ht="15.75" customHeight="1">
      <c r="A84" s="153"/>
      <c r="B84" s="153"/>
      <c r="C84" s="152"/>
      <c r="D84" s="152"/>
      <c r="E84" s="153"/>
      <c r="F84" s="153"/>
      <c r="G84" s="153"/>
      <c r="H84" s="153"/>
      <c r="I84" s="153"/>
      <c r="J84" s="153"/>
      <c r="K84" s="153"/>
      <c r="L84" s="153"/>
      <c r="M84" s="153"/>
      <c r="N84" s="153"/>
      <c r="O84" s="153"/>
      <c r="P84" s="153"/>
      <c r="Q84" s="153"/>
      <c r="R84" s="153"/>
      <c r="S84" s="153"/>
      <c r="T84" s="153"/>
      <c r="U84" s="153"/>
      <c r="V84" s="153"/>
      <c r="W84" s="153"/>
      <c r="X84" s="153"/>
      <c r="Y84" s="153"/>
      <c r="Z84" s="153"/>
      <c r="AA84" s="153"/>
      <c r="AB84" s="153"/>
      <c r="AC84" s="153"/>
      <c r="AD84" s="153"/>
      <c r="AE84" s="153"/>
      <c r="AF84" s="153"/>
      <c r="AG84" s="153"/>
      <c r="AH84" s="153"/>
      <c r="AI84" s="153"/>
      <c r="AJ84" s="153"/>
      <c r="AK84" s="153"/>
      <c r="AL84" s="153"/>
      <c r="AM84" s="153"/>
      <c r="AN84" s="153"/>
      <c r="AO84" s="153"/>
      <c r="AP84" s="153"/>
      <c r="AQ84" s="153"/>
      <c r="AR84" s="153"/>
    </row>
    <row r="85" spans="1:44" ht="15.75" customHeight="1">
      <c r="A85" s="153"/>
      <c r="B85" s="153"/>
      <c r="C85" s="152"/>
      <c r="D85" s="152"/>
      <c r="E85" s="153"/>
      <c r="F85" s="153"/>
      <c r="G85" s="153"/>
      <c r="H85" s="153"/>
      <c r="I85" s="153"/>
      <c r="J85" s="153"/>
      <c r="K85" s="153"/>
      <c r="L85" s="153"/>
      <c r="M85" s="153"/>
      <c r="N85" s="153"/>
      <c r="O85" s="153"/>
      <c r="P85" s="153"/>
      <c r="Q85" s="153"/>
      <c r="R85" s="153"/>
      <c r="S85" s="153"/>
      <c r="T85" s="153"/>
      <c r="U85" s="153"/>
      <c r="V85" s="153"/>
      <c r="W85" s="153"/>
      <c r="X85" s="153"/>
      <c r="Y85" s="153"/>
      <c r="Z85" s="153"/>
      <c r="AA85" s="153"/>
      <c r="AB85" s="153"/>
      <c r="AC85" s="153"/>
      <c r="AD85" s="153"/>
      <c r="AE85" s="153"/>
      <c r="AF85" s="153"/>
      <c r="AG85" s="153"/>
      <c r="AH85" s="153"/>
      <c r="AI85" s="153"/>
      <c r="AJ85" s="153"/>
      <c r="AK85" s="153"/>
      <c r="AL85" s="153"/>
      <c r="AM85" s="153"/>
      <c r="AN85" s="153"/>
      <c r="AO85" s="153"/>
      <c r="AP85" s="153"/>
      <c r="AQ85" s="153"/>
      <c r="AR85" s="153"/>
    </row>
    <row r="86" spans="1:44" ht="15.75" customHeight="1">
      <c r="A86" s="153"/>
      <c r="B86" s="153"/>
      <c r="C86" s="152"/>
      <c r="D86" s="152"/>
      <c r="E86" s="153"/>
      <c r="F86" s="153"/>
      <c r="G86" s="153"/>
      <c r="H86" s="153"/>
      <c r="I86" s="153"/>
      <c r="J86" s="153"/>
      <c r="K86" s="153"/>
      <c r="L86" s="153"/>
      <c r="M86" s="153"/>
      <c r="N86" s="153"/>
      <c r="O86" s="153"/>
      <c r="P86" s="153"/>
      <c r="Q86" s="153"/>
      <c r="R86" s="153"/>
      <c r="S86" s="153"/>
      <c r="T86" s="153"/>
      <c r="U86" s="153"/>
      <c r="V86" s="153"/>
      <c r="W86" s="153"/>
      <c r="X86" s="153"/>
      <c r="Y86" s="153"/>
      <c r="Z86" s="153"/>
      <c r="AA86" s="153"/>
      <c r="AB86" s="153"/>
      <c r="AC86" s="153"/>
      <c r="AD86" s="153"/>
      <c r="AE86" s="153"/>
      <c r="AF86" s="153"/>
      <c r="AG86" s="153"/>
      <c r="AH86" s="153"/>
      <c r="AI86" s="153"/>
      <c r="AJ86" s="153"/>
      <c r="AK86" s="153"/>
      <c r="AL86" s="153"/>
      <c r="AM86" s="153"/>
      <c r="AN86" s="153"/>
      <c r="AO86" s="153"/>
      <c r="AP86" s="153"/>
      <c r="AQ86" s="153"/>
      <c r="AR86" s="153"/>
    </row>
    <row r="87" spans="1:44" ht="15.75" customHeight="1">
      <c r="A87" s="153"/>
      <c r="B87" s="153"/>
      <c r="C87" s="152"/>
      <c r="D87" s="152"/>
      <c r="E87" s="153"/>
      <c r="F87" s="153"/>
      <c r="G87" s="153"/>
      <c r="H87" s="153"/>
      <c r="I87" s="153"/>
      <c r="J87" s="153"/>
      <c r="K87" s="153"/>
      <c r="L87" s="153"/>
      <c r="M87" s="153"/>
      <c r="N87" s="153"/>
      <c r="O87" s="153"/>
      <c r="P87" s="153"/>
      <c r="Q87" s="153"/>
      <c r="R87" s="153"/>
      <c r="S87" s="153"/>
      <c r="T87" s="153"/>
      <c r="U87" s="153"/>
      <c r="V87" s="153"/>
      <c r="W87" s="153"/>
      <c r="X87" s="153"/>
      <c r="Y87" s="153"/>
      <c r="Z87" s="153"/>
      <c r="AA87" s="153"/>
      <c r="AB87" s="153"/>
      <c r="AC87" s="153"/>
      <c r="AD87" s="153"/>
      <c r="AE87" s="153"/>
      <c r="AF87" s="153"/>
      <c r="AG87" s="153"/>
      <c r="AH87" s="153"/>
      <c r="AI87" s="153"/>
      <c r="AJ87" s="153"/>
      <c r="AK87" s="153"/>
      <c r="AL87" s="153"/>
      <c r="AM87" s="153"/>
      <c r="AN87" s="153"/>
      <c r="AO87" s="153"/>
      <c r="AP87" s="153"/>
      <c r="AQ87" s="153"/>
      <c r="AR87" s="153"/>
    </row>
    <row r="88" spans="1:44" ht="15.75" customHeight="1">
      <c r="A88" s="153"/>
      <c r="B88" s="153"/>
      <c r="C88" s="152"/>
      <c r="D88" s="152"/>
      <c r="E88" s="153"/>
      <c r="F88" s="153"/>
      <c r="G88" s="153"/>
      <c r="H88" s="153"/>
      <c r="I88" s="153"/>
      <c r="J88" s="153"/>
      <c r="K88" s="153"/>
      <c r="L88" s="153"/>
      <c r="M88" s="153"/>
      <c r="N88" s="153"/>
      <c r="O88" s="153"/>
      <c r="P88" s="153"/>
      <c r="Q88" s="153"/>
      <c r="R88" s="153"/>
      <c r="S88" s="153"/>
      <c r="T88" s="153"/>
      <c r="U88" s="153"/>
      <c r="V88" s="153"/>
      <c r="W88" s="153"/>
      <c r="X88" s="153"/>
      <c r="Y88" s="153"/>
      <c r="Z88" s="153"/>
      <c r="AA88" s="153"/>
      <c r="AB88" s="153"/>
      <c r="AC88" s="153"/>
      <c r="AD88" s="153"/>
      <c r="AE88" s="153"/>
      <c r="AF88" s="153"/>
      <c r="AG88" s="153"/>
      <c r="AH88" s="153"/>
      <c r="AI88" s="153"/>
      <c r="AJ88" s="153"/>
      <c r="AK88" s="153"/>
      <c r="AL88" s="153"/>
      <c r="AM88" s="153"/>
      <c r="AN88" s="153"/>
      <c r="AO88" s="153"/>
      <c r="AP88" s="153"/>
      <c r="AQ88" s="153"/>
      <c r="AR88" s="153"/>
    </row>
    <row r="89" spans="1:44" ht="15.75" customHeight="1">
      <c r="A89" s="153"/>
      <c r="B89" s="153"/>
      <c r="C89" s="152"/>
      <c r="D89" s="152"/>
      <c r="E89" s="153"/>
      <c r="F89" s="153"/>
      <c r="G89" s="153"/>
      <c r="H89" s="153"/>
      <c r="I89" s="153"/>
      <c r="J89" s="153"/>
      <c r="K89" s="153"/>
      <c r="L89" s="153"/>
      <c r="M89" s="153"/>
      <c r="N89" s="153"/>
      <c r="O89" s="153"/>
      <c r="P89" s="153"/>
      <c r="Q89" s="153"/>
      <c r="R89" s="153"/>
      <c r="S89" s="153"/>
      <c r="T89" s="153"/>
      <c r="U89" s="153"/>
      <c r="V89" s="153"/>
      <c r="W89" s="153"/>
      <c r="X89" s="153"/>
      <c r="Y89" s="153"/>
      <c r="Z89" s="153"/>
      <c r="AA89" s="153"/>
      <c r="AB89" s="153"/>
      <c r="AC89" s="153"/>
      <c r="AD89" s="153"/>
      <c r="AE89" s="153"/>
      <c r="AF89" s="153"/>
      <c r="AG89" s="153"/>
      <c r="AH89" s="153"/>
      <c r="AI89" s="153"/>
      <c r="AJ89" s="153"/>
      <c r="AK89" s="153"/>
      <c r="AL89" s="153"/>
      <c r="AM89" s="153"/>
      <c r="AN89" s="153"/>
      <c r="AO89" s="153"/>
      <c r="AP89" s="153"/>
      <c r="AQ89" s="153"/>
      <c r="AR89" s="153"/>
    </row>
    <row r="90" spans="1:44" ht="15.75" customHeight="1">
      <c r="A90" s="153"/>
      <c r="B90" s="153"/>
      <c r="C90" s="152"/>
      <c r="D90" s="152"/>
      <c r="E90" s="153"/>
      <c r="F90" s="153"/>
      <c r="G90" s="153"/>
      <c r="H90" s="153"/>
      <c r="I90" s="153"/>
      <c r="J90" s="153"/>
      <c r="K90" s="153"/>
      <c r="L90" s="153"/>
      <c r="M90" s="153"/>
      <c r="N90" s="153"/>
      <c r="O90" s="153"/>
      <c r="P90" s="153"/>
      <c r="Q90" s="153"/>
      <c r="R90" s="153"/>
      <c r="S90" s="153"/>
      <c r="T90" s="153"/>
      <c r="U90" s="153"/>
      <c r="V90" s="153"/>
      <c r="W90" s="153"/>
      <c r="X90" s="153"/>
      <c r="Y90" s="153"/>
      <c r="Z90" s="153"/>
      <c r="AA90" s="153"/>
      <c r="AB90" s="153"/>
      <c r="AC90" s="153"/>
      <c r="AD90" s="153"/>
      <c r="AE90" s="153"/>
      <c r="AF90" s="153"/>
      <c r="AG90" s="153"/>
      <c r="AH90" s="153"/>
      <c r="AI90" s="153"/>
      <c r="AJ90" s="153"/>
      <c r="AK90" s="153"/>
      <c r="AL90" s="153"/>
      <c r="AM90" s="153"/>
      <c r="AN90" s="153"/>
      <c r="AO90" s="153"/>
      <c r="AP90" s="153"/>
      <c r="AQ90" s="153"/>
      <c r="AR90" s="153"/>
    </row>
    <row r="91" spans="1:44" ht="15.75" customHeight="1">
      <c r="A91" s="153"/>
      <c r="B91" s="153"/>
      <c r="C91" s="152"/>
      <c r="D91" s="152"/>
      <c r="E91" s="153"/>
      <c r="F91" s="153"/>
      <c r="G91" s="153"/>
      <c r="H91" s="153"/>
      <c r="I91" s="153"/>
      <c r="J91" s="153"/>
      <c r="K91" s="153"/>
      <c r="L91" s="153"/>
      <c r="M91" s="153"/>
      <c r="N91" s="153"/>
      <c r="O91" s="153"/>
      <c r="P91" s="153"/>
      <c r="Q91" s="153"/>
      <c r="R91" s="153"/>
      <c r="S91" s="153"/>
      <c r="T91" s="153"/>
      <c r="U91" s="153"/>
      <c r="V91" s="153"/>
      <c r="W91" s="153"/>
      <c r="X91" s="153"/>
      <c r="Y91" s="153"/>
      <c r="Z91" s="153"/>
      <c r="AA91" s="153"/>
      <c r="AB91" s="153"/>
      <c r="AC91" s="153"/>
      <c r="AD91" s="153"/>
      <c r="AE91" s="153"/>
      <c r="AF91" s="153"/>
      <c r="AG91" s="153"/>
      <c r="AH91" s="153"/>
      <c r="AI91" s="153"/>
      <c r="AJ91" s="153"/>
      <c r="AK91" s="153"/>
      <c r="AL91" s="153"/>
      <c r="AM91" s="153"/>
      <c r="AN91" s="153"/>
      <c r="AO91" s="153"/>
      <c r="AP91" s="153"/>
      <c r="AQ91" s="153"/>
      <c r="AR91" s="153"/>
    </row>
    <row r="92" spans="1:44" ht="15.75" customHeight="1">
      <c r="A92" s="153"/>
      <c r="B92" s="153"/>
      <c r="C92" s="152"/>
      <c r="D92" s="152"/>
      <c r="E92" s="153"/>
      <c r="F92" s="153"/>
      <c r="G92" s="153"/>
      <c r="H92" s="153"/>
      <c r="I92" s="153"/>
      <c r="J92" s="153"/>
      <c r="K92" s="153"/>
      <c r="L92" s="153"/>
      <c r="M92" s="153"/>
      <c r="N92" s="153"/>
      <c r="O92" s="153"/>
      <c r="P92" s="153"/>
      <c r="Q92" s="153"/>
      <c r="R92" s="153"/>
      <c r="S92" s="153"/>
      <c r="T92" s="153"/>
      <c r="U92" s="153"/>
      <c r="V92" s="153"/>
      <c r="W92" s="153"/>
      <c r="X92" s="153"/>
      <c r="Y92" s="153"/>
      <c r="Z92" s="153"/>
      <c r="AA92" s="153"/>
      <c r="AB92" s="153"/>
      <c r="AC92" s="153"/>
      <c r="AD92" s="153"/>
      <c r="AE92" s="153"/>
      <c r="AF92" s="153"/>
      <c r="AG92" s="153"/>
      <c r="AH92" s="153"/>
      <c r="AI92" s="153"/>
      <c r="AJ92" s="153"/>
      <c r="AK92" s="153"/>
      <c r="AL92" s="153"/>
      <c r="AM92" s="153"/>
      <c r="AN92" s="153"/>
      <c r="AO92" s="153"/>
      <c r="AP92" s="153"/>
      <c r="AQ92" s="153"/>
      <c r="AR92" s="153"/>
    </row>
    <row r="93" spans="1:44" ht="15.75" customHeight="1">
      <c r="A93" s="153"/>
      <c r="B93" s="153"/>
      <c r="C93" s="152"/>
      <c r="D93" s="152"/>
      <c r="E93" s="153"/>
      <c r="F93" s="153"/>
      <c r="G93" s="153"/>
      <c r="H93" s="153"/>
      <c r="I93" s="153"/>
      <c r="J93" s="153"/>
      <c r="K93" s="153"/>
      <c r="L93" s="153"/>
      <c r="M93" s="153"/>
      <c r="N93" s="153"/>
      <c r="O93" s="153"/>
      <c r="P93" s="153"/>
      <c r="Q93" s="153"/>
      <c r="R93" s="153"/>
      <c r="S93" s="153"/>
      <c r="T93" s="153"/>
      <c r="U93" s="153"/>
      <c r="V93" s="153"/>
      <c r="W93" s="153"/>
      <c r="X93" s="153"/>
      <c r="Y93" s="153"/>
      <c r="Z93" s="153"/>
      <c r="AA93" s="153"/>
      <c r="AB93" s="153"/>
      <c r="AC93" s="153"/>
      <c r="AD93" s="153"/>
      <c r="AE93" s="153"/>
      <c r="AF93" s="153"/>
      <c r="AG93" s="153"/>
      <c r="AH93" s="153"/>
      <c r="AI93" s="153"/>
      <c r="AJ93" s="153"/>
      <c r="AK93" s="153"/>
      <c r="AL93" s="153"/>
      <c r="AM93" s="153"/>
      <c r="AN93" s="153"/>
      <c r="AO93" s="153"/>
      <c r="AP93" s="153"/>
      <c r="AQ93" s="153"/>
      <c r="AR93" s="153"/>
    </row>
    <row r="94" spans="1:44" ht="15.75" customHeight="1">
      <c r="A94" s="153"/>
      <c r="B94" s="153"/>
      <c r="C94" s="152"/>
      <c r="D94" s="152"/>
      <c r="E94" s="153"/>
      <c r="F94" s="153"/>
      <c r="G94" s="153"/>
      <c r="H94" s="153"/>
      <c r="I94" s="153"/>
      <c r="J94" s="153"/>
      <c r="K94" s="153"/>
      <c r="L94" s="153"/>
      <c r="M94" s="153"/>
      <c r="N94" s="153"/>
      <c r="O94" s="153"/>
      <c r="P94" s="153"/>
      <c r="Q94" s="153"/>
      <c r="R94" s="153"/>
      <c r="S94" s="153"/>
      <c r="T94" s="153"/>
      <c r="U94" s="153"/>
      <c r="V94" s="153"/>
      <c r="W94" s="153"/>
      <c r="X94" s="153"/>
      <c r="Y94" s="153"/>
      <c r="Z94" s="153"/>
      <c r="AA94" s="153"/>
      <c r="AB94" s="153"/>
      <c r="AC94" s="153"/>
      <c r="AD94" s="153"/>
      <c r="AE94" s="153"/>
      <c r="AF94" s="153"/>
      <c r="AG94" s="153"/>
      <c r="AH94" s="153"/>
      <c r="AI94" s="153"/>
      <c r="AJ94" s="153"/>
      <c r="AK94" s="153"/>
      <c r="AL94" s="153"/>
      <c r="AM94" s="153"/>
      <c r="AN94" s="153"/>
      <c r="AO94" s="153"/>
      <c r="AP94" s="153"/>
      <c r="AQ94" s="153"/>
      <c r="AR94" s="153"/>
    </row>
    <row r="95" spans="1:44" ht="15.75" customHeight="1">
      <c r="A95" s="153"/>
      <c r="B95" s="153"/>
      <c r="C95" s="152"/>
      <c r="D95" s="152"/>
      <c r="E95" s="153"/>
      <c r="F95" s="153"/>
      <c r="G95" s="153"/>
      <c r="H95" s="153"/>
      <c r="I95" s="153"/>
      <c r="J95" s="153"/>
      <c r="K95" s="153"/>
      <c r="L95" s="153"/>
      <c r="M95" s="153"/>
      <c r="N95" s="153"/>
      <c r="O95" s="153"/>
      <c r="P95" s="153"/>
      <c r="Q95" s="153"/>
      <c r="R95" s="153"/>
      <c r="S95" s="153"/>
      <c r="T95" s="153"/>
      <c r="U95" s="153"/>
      <c r="V95" s="153"/>
      <c r="W95" s="153"/>
      <c r="X95" s="153"/>
      <c r="Y95" s="153"/>
      <c r="Z95" s="153"/>
      <c r="AA95" s="153"/>
      <c r="AB95" s="153"/>
      <c r="AC95" s="153"/>
      <c r="AD95" s="153"/>
      <c r="AE95" s="153"/>
      <c r="AF95" s="153"/>
      <c r="AG95" s="153"/>
      <c r="AH95" s="153"/>
      <c r="AI95" s="153"/>
      <c r="AJ95" s="153"/>
      <c r="AK95" s="153"/>
      <c r="AL95" s="153"/>
      <c r="AM95" s="153"/>
      <c r="AN95" s="153"/>
      <c r="AO95" s="153"/>
      <c r="AP95" s="153"/>
      <c r="AQ95" s="153"/>
      <c r="AR95" s="153"/>
    </row>
    <row r="96" spans="1:44" ht="15.75" customHeight="1">
      <c r="A96" s="153"/>
      <c r="B96" s="153"/>
      <c r="C96" s="152"/>
      <c r="D96" s="152"/>
      <c r="E96" s="153"/>
      <c r="F96" s="153"/>
      <c r="G96" s="153"/>
      <c r="H96" s="153"/>
      <c r="I96" s="153"/>
      <c r="J96" s="153"/>
      <c r="K96" s="153"/>
      <c r="L96" s="153"/>
      <c r="M96" s="153"/>
      <c r="N96" s="153"/>
      <c r="O96" s="153"/>
      <c r="P96" s="153"/>
      <c r="Q96" s="153"/>
      <c r="R96" s="153"/>
      <c r="S96" s="153"/>
      <c r="T96" s="153"/>
      <c r="U96" s="153"/>
      <c r="V96" s="153"/>
      <c r="W96" s="153"/>
      <c r="X96" s="153"/>
      <c r="Y96" s="153"/>
      <c r="Z96" s="153"/>
      <c r="AA96" s="153"/>
      <c r="AB96" s="153"/>
      <c r="AC96" s="153"/>
      <c r="AD96" s="153"/>
      <c r="AE96" s="153"/>
      <c r="AF96" s="153"/>
      <c r="AG96" s="153"/>
      <c r="AH96" s="153"/>
      <c r="AI96" s="153"/>
      <c r="AJ96" s="153"/>
      <c r="AK96" s="153"/>
      <c r="AL96" s="153"/>
      <c r="AM96" s="153"/>
      <c r="AN96" s="153"/>
      <c r="AO96" s="153"/>
      <c r="AP96" s="153"/>
      <c r="AQ96" s="153"/>
      <c r="AR96" s="153"/>
    </row>
    <row r="97" spans="1:44" ht="15.75" customHeight="1">
      <c r="A97" s="153"/>
      <c r="B97" s="153"/>
      <c r="C97" s="152"/>
      <c r="D97" s="152"/>
      <c r="E97" s="153"/>
      <c r="F97" s="153"/>
      <c r="G97" s="153"/>
      <c r="H97" s="153"/>
      <c r="I97" s="153"/>
      <c r="J97" s="153"/>
      <c r="K97" s="153"/>
      <c r="L97" s="153"/>
      <c r="M97" s="153"/>
      <c r="N97" s="153"/>
      <c r="O97" s="153"/>
      <c r="P97" s="153"/>
      <c r="Q97" s="153"/>
      <c r="R97" s="153"/>
      <c r="S97" s="153"/>
      <c r="T97" s="153"/>
      <c r="U97" s="153"/>
      <c r="V97" s="153"/>
      <c r="W97" s="153"/>
      <c r="X97" s="153"/>
      <c r="Y97" s="153"/>
      <c r="Z97" s="153"/>
      <c r="AA97" s="153"/>
      <c r="AB97" s="153"/>
      <c r="AC97" s="153"/>
      <c r="AD97" s="153"/>
      <c r="AE97" s="153"/>
      <c r="AF97" s="153"/>
      <c r="AG97" s="153"/>
      <c r="AH97" s="153"/>
      <c r="AI97" s="153"/>
      <c r="AJ97" s="153"/>
      <c r="AK97" s="153"/>
      <c r="AL97" s="153"/>
      <c r="AM97" s="153"/>
      <c r="AN97" s="153"/>
      <c r="AO97" s="153"/>
      <c r="AP97" s="153"/>
      <c r="AQ97" s="153"/>
      <c r="AR97" s="153"/>
    </row>
    <row r="98" spans="1:44" ht="15.75" customHeight="1">
      <c r="A98" s="153"/>
      <c r="B98" s="153"/>
      <c r="C98" s="152"/>
      <c r="D98" s="152"/>
      <c r="E98" s="153"/>
      <c r="F98" s="153"/>
      <c r="G98" s="153"/>
      <c r="H98" s="153"/>
      <c r="I98" s="153"/>
      <c r="J98" s="153"/>
      <c r="K98" s="153"/>
      <c r="L98" s="153"/>
      <c r="M98" s="153"/>
      <c r="N98" s="153"/>
      <c r="O98" s="153"/>
      <c r="P98" s="153"/>
      <c r="Q98" s="153"/>
      <c r="R98" s="153"/>
      <c r="S98" s="153"/>
      <c r="T98" s="153"/>
      <c r="U98" s="153"/>
      <c r="V98" s="153"/>
      <c r="W98" s="153"/>
      <c r="X98" s="153"/>
      <c r="Y98" s="153"/>
      <c r="Z98" s="153"/>
      <c r="AA98" s="153"/>
      <c r="AB98" s="153"/>
      <c r="AC98" s="153"/>
      <c r="AD98" s="153"/>
      <c r="AE98" s="153"/>
      <c r="AF98" s="153"/>
      <c r="AG98" s="153"/>
      <c r="AH98" s="153"/>
      <c r="AI98" s="153"/>
      <c r="AJ98" s="153"/>
      <c r="AK98" s="153"/>
      <c r="AL98" s="153"/>
      <c r="AM98" s="153"/>
      <c r="AN98" s="153"/>
      <c r="AO98" s="153"/>
      <c r="AP98" s="153"/>
      <c r="AQ98" s="153"/>
      <c r="AR98" s="153"/>
    </row>
    <row r="99" spans="1:44" ht="15.75" customHeight="1">
      <c r="A99" s="153"/>
      <c r="B99" s="153"/>
      <c r="C99" s="152"/>
      <c r="D99" s="152"/>
      <c r="E99" s="153"/>
      <c r="F99" s="153"/>
      <c r="G99" s="153"/>
      <c r="H99" s="153"/>
      <c r="I99" s="153"/>
      <c r="J99" s="153"/>
      <c r="K99" s="153"/>
      <c r="L99" s="153"/>
      <c r="M99" s="153"/>
      <c r="N99" s="153"/>
      <c r="O99" s="153"/>
      <c r="P99" s="153"/>
      <c r="Q99" s="153"/>
      <c r="R99" s="153"/>
      <c r="S99" s="153"/>
      <c r="T99" s="153"/>
      <c r="U99" s="153"/>
      <c r="V99" s="153"/>
      <c r="W99" s="153"/>
      <c r="X99" s="153"/>
      <c r="Y99" s="153"/>
      <c r="Z99" s="153"/>
      <c r="AA99" s="153"/>
      <c r="AB99" s="153"/>
      <c r="AC99" s="153"/>
      <c r="AD99" s="153"/>
      <c r="AE99" s="153"/>
      <c r="AF99" s="153"/>
      <c r="AG99" s="153"/>
      <c r="AH99" s="153"/>
      <c r="AI99" s="153"/>
      <c r="AJ99" s="153"/>
      <c r="AK99" s="153"/>
      <c r="AL99" s="153"/>
      <c r="AM99" s="153"/>
      <c r="AN99" s="153"/>
      <c r="AO99" s="153"/>
      <c r="AP99" s="153"/>
      <c r="AQ99" s="153"/>
      <c r="AR99" s="153"/>
    </row>
    <row r="100" spans="1:44" ht="15.75" customHeight="1">
      <c r="A100" s="153"/>
      <c r="B100" s="153"/>
      <c r="C100" s="152"/>
      <c r="D100" s="152"/>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c r="AA100" s="153"/>
      <c r="AB100" s="153"/>
      <c r="AC100" s="153"/>
      <c r="AD100" s="153"/>
      <c r="AE100" s="153"/>
      <c r="AF100" s="153"/>
      <c r="AG100" s="153"/>
      <c r="AH100" s="153"/>
      <c r="AI100" s="153"/>
      <c r="AJ100" s="153"/>
      <c r="AK100" s="153"/>
      <c r="AL100" s="153"/>
      <c r="AM100" s="153"/>
      <c r="AN100" s="153"/>
      <c r="AO100" s="153"/>
      <c r="AP100" s="153"/>
      <c r="AQ100" s="153"/>
      <c r="AR100" s="153"/>
    </row>
    <row r="101" spans="1:44" ht="15.75" customHeight="1">
      <c r="A101" s="153"/>
      <c r="B101" s="153"/>
      <c r="C101" s="152"/>
      <c r="D101" s="152"/>
      <c r="E101" s="153"/>
      <c r="F101" s="153"/>
      <c r="G101" s="153"/>
      <c r="H101" s="153"/>
      <c r="I101" s="153"/>
      <c r="J101" s="153"/>
      <c r="K101" s="153"/>
      <c r="L101" s="153"/>
      <c r="M101" s="153"/>
      <c r="N101" s="153"/>
      <c r="O101" s="153"/>
      <c r="P101" s="153"/>
      <c r="Q101" s="153"/>
      <c r="R101" s="153"/>
      <c r="S101" s="153"/>
      <c r="T101" s="153"/>
      <c r="U101" s="153"/>
      <c r="V101" s="153"/>
      <c r="W101" s="153"/>
      <c r="X101" s="153"/>
      <c r="Y101" s="153"/>
      <c r="Z101" s="153"/>
      <c r="AA101" s="153"/>
      <c r="AB101" s="153"/>
      <c r="AC101" s="153"/>
      <c r="AD101" s="153"/>
      <c r="AE101" s="153"/>
      <c r="AF101" s="153"/>
      <c r="AG101" s="153"/>
      <c r="AH101" s="153"/>
      <c r="AI101" s="153"/>
      <c r="AJ101" s="153"/>
      <c r="AK101" s="153"/>
      <c r="AL101" s="153"/>
      <c r="AM101" s="153"/>
      <c r="AN101" s="153"/>
      <c r="AO101" s="153"/>
      <c r="AP101" s="153"/>
      <c r="AQ101" s="153"/>
      <c r="AR101" s="153"/>
    </row>
    <row r="102" spans="1:44" ht="15.75" customHeight="1">
      <c r="A102" s="153"/>
      <c r="B102" s="153"/>
      <c r="C102" s="152"/>
      <c r="D102" s="152"/>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c r="AA102" s="153"/>
      <c r="AB102" s="153"/>
      <c r="AC102" s="153"/>
      <c r="AD102" s="153"/>
      <c r="AE102" s="153"/>
      <c r="AF102" s="153"/>
      <c r="AG102" s="153"/>
      <c r="AH102" s="153"/>
      <c r="AI102" s="153"/>
      <c r="AJ102" s="153"/>
      <c r="AK102" s="153"/>
      <c r="AL102" s="153"/>
      <c r="AM102" s="153"/>
      <c r="AN102" s="153"/>
      <c r="AO102" s="153"/>
      <c r="AP102" s="153"/>
      <c r="AQ102" s="153"/>
      <c r="AR102" s="153"/>
    </row>
    <row r="103" spans="1:44" ht="15.75" customHeight="1">
      <c r="A103" s="153"/>
      <c r="B103" s="153"/>
      <c r="C103" s="152"/>
      <c r="D103" s="152"/>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c r="AA103" s="153"/>
      <c r="AB103" s="153"/>
      <c r="AC103" s="153"/>
      <c r="AD103" s="153"/>
      <c r="AE103" s="153"/>
      <c r="AF103" s="153"/>
      <c r="AG103" s="153"/>
      <c r="AH103" s="153"/>
      <c r="AI103" s="153"/>
      <c r="AJ103" s="153"/>
      <c r="AK103" s="153"/>
      <c r="AL103" s="153"/>
      <c r="AM103" s="153"/>
      <c r="AN103" s="153"/>
      <c r="AO103" s="153"/>
      <c r="AP103" s="153"/>
      <c r="AQ103" s="153"/>
      <c r="AR103" s="153"/>
    </row>
    <row r="104" spans="1:44" ht="15.75" customHeight="1">
      <c r="A104" s="153"/>
      <c r="B104" s="153"/>
      <c r="C104" s="152"/>
      <c r="D104" s="152"/>
      <c r="E104" s="153"/>
      <c r="F104" s="153"/>
      <c r="G104" s="153"/>
      <c r="H104" s="153"/>
      <c r="I104" s="153"/>
      <c r="J104" s="153"/>
      <c r="K104" s="153"/>
      <c r="L104" s="153"/>
      <c r="M104" s="153"/>
      <c r="N104" s="153"/>
      <c r="O104" s="153"/>
      <c r="P104" s="153"/>
      <c r="Q104" s="153"/>
      <c r="R104" s="153"/>
      <c r="S104" s="153"/>
      <c r="T104" s="153"/>
      <c r="U104" s="153"/>
      <c r="V104" s="153"/>
      <c r="W104" s="153"/>
      <c r="X104" s="153"/>
      <c r="Y104" s="153"/>
      <c r="Z104" s="153"/>
      <c r="AA104" s="153"/>
      <c r="AB104" s="153"/>
      <c r="AC104" s="153"/>
      <c r="AD104" s="153"/>
      <c r="AE104" s="153"/>
      <c r="AF104" s="153"/>
      <c r="AG104" s="153"/>
      <c r="AH104" s="153"/>
      <c r="AI104" s="153"/>
      <c r="AJ104" s="153"/>
      <c r="AK104" s="153"/>
      <c r="AL104" s="153"/>
      <c r="AM104" s="153"/>
      <c r="AN104" s="153"/>
      <c r="AO104" s="153"/>
      <c r="AP104" s="153"/>
      <c r="AQ104" s="153"/>
      <c r="AR104" s="153"/>
    </row>
    <row r="105" spans="1:44" ht="15.75" customHeight="1">
      <c r="A105" s="153"/>
      <c r="B105" s="153"/>
      <c r="C105" s="152"/>
      <c r="D105" s="152"/>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c r="AA105" s="153"/>
      <c r="AB105" s="153"/>
      <c r="AC105" s="153"/>
      <c r="AD105" s="153"/>
      <c r="AE105" s="153"/>
      <c r="AF105" s="153"/>
      <c r="AG105" s="153"/>
      <c r="AH105" s="153"/>
      <c r="AI105" s="153"/>
      <c r="AJ105" s="153"/>
      <c r="AK105" s="153"/>
      <c r="AL105" s="153"/>
      <c r="AM105" s="153"/>
      <c r="AN105" s="153"/>
      <c r="AO105" s="153"/>
      <c r="AP105" s="153"/>
      <c r="AQ105" s="153"/>
      <c r="AR105" s="153"/>
    </row>
    <row r="106" spans="1:44" ht="15.75" customHeight="1">
      <c r="A106" s="153"/>
      <c r="B106" s="153"/>
      <c r="C106" s="152"/>
      <c r="D106" s="152"/>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c r="AA106" s="153"/>
      <c r="AB106" s="153"/>
      <c r="AC106" s="153"/>
      <c r="AD106" s="153"/>
      <c r="AE106" s="153"/>
      <c r="AF106" s="153"/>
      <c r="AG106" s="153"/>
      <c r="AH106" s="153"/>
      <c r="AI106" s="153"/>
      <c r="AJ106" s="153"/>
      <c r="AK106" s="153"/>
      <c r="AL106" s="153"/>
      <c r="AM106" s="153"/>
      <c r="AN106" s="153"/>
      <c r="AO106" s="153"/>
      <c r="AP106" s="153"/>
      <c r="AQ106" s="153"/>
      <c r="AR106" s="153"/>
    </row>
    <row r="107" spans="1:44" ht="15.75" customHeight="1">
      <c r="A107" s="153"/>
      <c r="B107" s="153"/>
      <c r="C107" s="152"/>
      <c r="D107" s="152"/>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c r="AA107" s="153"/>
      <c r="AB107" s="153"/>
      <c r="AC107" s="153"/>
      <c r="AD107" s="153"/>
      <c r="AE107" s="153"/>
      <c r="AF107" s="153"/>
      <c r="AG107" s="153"/>
      <c r="AH107" s="153"/>
      <c r="AI107" s="153"/>
      <c r="AJ107" s="153"/>
      <c r="AK107" s="153"/>
      <c r="AL107" s="153"/>
      <c r="AM107" s="153"/>
      <c r="AN107" s="153"/>
      <c r="AO107" s="153"/>
      <c r="AP107" s="153"/>
      <c r="AQ107" s="153"/>
      <c r="AR107" s="153"/>
    </row>
    <row r="108" spans="1:44" ht="15.75" customHeight="1">
      <c r="A108" s="153"/>
      <c r="B108" s="153"/>
      <c r="C108" s="152"/>
      <c r="D108" s="152"/>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c r="AA108" s="153"/>
      <c r="AB108" s="153"/>
      <c r="AC108" s="153"/>
      <c r="AD108" s="153"/>
      <c r="AE108" s="153"/>
      <c r="AF108" s="153"/>
      <c r="AG108" s="153"/>
      <c r="AH108" s="153"/>
      <c r="AI108" s="153"/>
      <c r="AJ108" s="153"/>
      <c r="AK108" s="153"/>
      <c r="AL108" s="153"/>
      <c r="AM108" s="153"/>
      <c r="AN108" s="153"/>
      <c r="AO108" s="153"/>
      <c r="AP108" s="153"/>
      <c r="AQ108" s="153"/>
      <c r="AR108" s="153"/>
    </row>
    <row r="109" spans="1:44" ht="15.75" customHeight="1">
      <c r="A109" s="153"/>
      <c r="B109" s="153"/>
      <c r="C109" s="152"/>
      <c r="D109" s="152"/>
      <c r="E109" s="153"/>
      <c r="F109" s="153"/>
      <c r="G109" s="153"/>
      <c r="H109" s="153"/>
      <c r="I109" s="153"/>
      <c r="J109" s="153"/>
      <c r="K109" s="153"/>
      <c r="L109" s="153"/>
      <c r="M109" s="153"/>
      <c r="N109" s="153"/>
      <c r="O109" s="153"/>
      <c r="P109" s="153"/>
      <c r="Q109" s="153"/>
      <c r="R109" s="153"/>
      <c r="S109" s="153"/>
      <c r="T109" s="153"/>
      <c r="U109" s="153"/>
      <c r="V109" s="153"/>
      <c r="W109" s="153"/>
      <c r="X109" s="153"/>
      <c r="Y109" s="153"/>
      <c r="Z109" s="153"/>
      <c r="AA109" s="153"/>
      <c r="AB109" s="153"/>
      <c r="AC109" s="153"/>
      <c r="AD109" s="153"/>
      <c r="AE109" s="153"/>
      <c r="AF109" s="153"/>
      <c r="AG109" s="153"/>
      <c r="AH109" s="153"/>
      <c r="AI109" s="153"/>
      <c r="AJ109" s="153"/>
      <c r="AK109" s="153"/>
      <c r="AL109" s="153"/>
      <c r="AM109" s="153"/>
      <c r="AN109" s="153"/>
      <c r="AO109" s="153"/>
      <c r="AP109" s="153"/>
      <c r="AQ109" s="153"/>
      <c r="AR109" s="153"/>
    </row>
    <row r="110" spans="1:44" ht="15.75" customHeight="1">
      <c r="A110" s="153"/>
      <c r="B110" s="153"/>
      <c r="C110" s="152"/>
      <c r="D110" s="152"/>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row>
    <row r="111" spans="1:44" ht="15.75" customHeight="1">
      <c r="A111" s="153"/>
      <c r="B111" s="153"/>
      <c r="C111" s="152"/>
      <c r="D111" s="152"/>
      <c r="E111" s="153"/>
      <c r="F111" s="153"/>
      <c r="G111" s="153"/>
      <c r="H111" s="153"/>
      <c r="I111" s="153"/>
      <c r="J111" s="153"/>
      <c r="K111" s="153"/>
      <c r="L111" s="153"/>
      <c r="M111" s="153"/>
      <c r="N111" s="153"/>
      <c r="O111" s="153"/>
      <c r="P111" s="153"/>
      <c r="Q111" s="153"/>
      <c r="R111" s="153"/>
      <c r="S111" s="153"/>
      <c r="T111" s="153"/>
      <c r="U111" s="153"/>
      <c r="V111" s="153"/>
      <c r="W111" s="153"/>
      <c r="X111" s="153"/>
      <c r="Y111" s="153"/>
      <c r="Z111" s="153"/>
      <c r="AA111" s="153"/>
      <c r="AB111" s="153"/>
      <c r="AC111" s="153"/>
      <c r="AD111" s="153"/>
      <c r="AE111" s="153"/>
      <c r="AF111" s="153"/>
      <c r="AG111" s="153"/>
      <c r="AH111" s="153"/>
      <c r="AI111" s="153"/>
      <c r="AJ111" s="153"/>
      <c r="AK111" s="153"/>
      <c r="AL111" s="153"/>
      <c r="AM111" s="153"/>
      <c r="AN111" s="153"/>
      <c r="AO111" s="153"/>
      <c r="AP111" s="153"/>
      <c r="AQ111" s="153"/>
      <c r="AR111" s="153"/>
    </row>
    <row r="112" spans="1:44" ht="15.75" customHeight="1">
      <c r="A112" s="153"/>
      <c r="B112" s="153"/>
      <c r="C112" s="152"/>
      <c r="D112" s="152"/>
      <c r="E112" s="153"/>
      <c r="F112" s="153"/>
      <c r="G112" s="153"/>
      <c r="H112" s="153"/>
      <c r="I112" s="153"/>
      <c r="J112" s="153"/>
      <c r="K112" s="153"/>
      <c r="L112" s="153"/>
      <c r="M112" s="153"/>
      <c r="N112" s="153"/>
      <c r="O112" s="153"/>
      <c r="P112" s="153"/>
      <c r="Q112" s="153"/>
      <c r="R112" s="153"/>
      <c r="S112" s="153"/>
      <c r="T112" s="153"/>
      <c r="U112" s="153"/>
      <c r="V112" s="153"/>
      <c r="W112" s="153"/>
      <c r="X112" s="153"/>
      <c r="Y112" s="153"/>
      <c r="Z112" s="153"/>
      <c r="AA112" s="153"/>
      <c r="AB112" s="153"/>
      <c r="AC112" s="153"/>
      <c r="AD112" s="153"/>
      <c r="AE112" s="153"/>
      <c r="AF112" s="153"/>
      <c r="AG112" s="153"/>
      <c r="AH112" s="153"/>
      <c r="AI112" s="153"/>
      <c r="AJ112" s="153"/>
      <c r="AK112" s="153"/>
      <c r="AL112" s="153"/>
      <c r="AM112" s="153"/>
      <c r="AN112" s="153"/>
      <c r="AO112" s="153"/>
      <c r="AP112" s="153"/>
      <c r="AQ112" s="153"/>
      <c r="AR112" s="153"/>
    </row>
    <row r="113" spans="1:44" ht="15.75" customHeight="1">
      <c r="A113" s="153"/>
      <c r="B113" s="153"/>
      <c r="C113" s="152"/>
      <c r="D113" s="152"/>
      <c r="E113" s="153"/>
      <c r="F113" s="153"/>
      <c r="G113" s="153"/>
      <c r="H113" s="153"/>
      <c r="I113" s="153"/>
      <c r="J113" s="153"/>
      <c r="K113" s="153"/>
      <c r="L113" s="153"/>
      <c r="M113" s="153"/>
      <c r="N113" s="153"/>
      <c r="O113" s="153"/>
      <c r="P113" s="153"/>
      <c r="Q113" s="153"/>
      <c r="R113" s="153"/>
      <c r="S113" s="153"/>
      <c r="T113" s="153"/>
      <c r="U113" s="153"/>
      <c r="V113" s="153"/>
      <c r="W113" s="153"/>
      <c r="X113" s="153"/>
      <c r="Y113" s="153"/>
      <c r="Z113" s="153"/>
      <c r="AA113" s="153"/>
      <c r="AB113" s="153"/>
      <c r="AC113" s="153"/>
      <c r="AD113" s="153"/>
      <c r="AE113" s="153"/>
      <c r="AF113" s="153"/>
      <c r="AG113" s="153"/>
      <c r="AH113" s="153"/>
      <c r="AI113" s="153"/>
      <c r="AJ113" s="153"/>
      <c r="AK113" s="153"/>
      <c r="AL113" s="153"/>
      <c r="AM113" s="153"/>
      <c r="AN113" s="153"/>
      <c r="AO113" s="153"/>
      <c r="AP113" s="153"/>
      <c r="AQ113" s="153"/>
      <c r="AR113" s="153"/>
    </row>
    <row r="114" spans="1:44" ht="15.75" customHeight="1">
      <c r="A114" s="153"/>
      <c r="B114" s="153"/>
      <c r="C114" s="152"/>
      <c r="D114" s="152"/>
      <c r="E114" s="153"/>
      <c r="F114" s="153"/>
      <c r="G114" s="153"/>
      <c r="H114" s="153"/>
      <c r="I114" s="153"/>
      <c r="J114" s="153"/>
      <c r="K114" s="153"/>
      <c r="L114" s="153"/>
      <c r="M114" s="153"/>
      <c r="N114" s="153"/>
      <c r="O114" s="153"/>
      <c r="P114" s="153"/>
      <c r="Q114" s="153"/>
      <c r="R114" s="153"/>
      <c r="S114" s="153"/>
      <c r="T114" s="153"/>
      <c r="U114" s="153"/>
      <c r="V114" s="153"/>
      <c r="W114" s="153"/>
      <c r="X114" s="153"/>
      <c r="Y114" s="153"/>
      <c r="Z114" s="153"/>
      <c r="AA114" s="153"/>
      <c r="AB114" s="153"/>
      <c r="AC114" s="153"/>
      <c r="AD114" s="153"/>
      <c r="AE114" s="153"/>
      <c r="AF114" s="153"/>
      <c r="AG114" s="153"/>
      <c r="AH114" s="153"/>
      <c r="AI114" s="153"/>
      <c r="AJ114" s="153"/>
      <c r="AK114" s="153"/>
      <c r="AL114" s="153"/>
      <c r="AM114" s="153"/>
      <c r="AN114" s="153"/>
      <c r="AO114" s="153"/>
      <c r="AP114" s="153"/>
      <c r="AQ114" s="153"/>
      <c r="AR114" s="153"/>
    </row>
    <row r="115" spans="1:44" ht="15.75" customHeight="1">
      <c r="A115" s="153"/>
      <c r="B115" s="153"/>
      <c r="C115" s="152"/>
      <c r="D115" s="152"/>
      <c r="E115" s="153"/>
      <c r="F115" s="153"/>
      <c r="G115" s="153"/>
      <c r="H115" s="153"/>
      <c r="I115" s="153"/>
      <c r="J115" s="153"/>
      <c r="K115" s="153"/>
      <c r="L115" s="153"/>
      <c r="M115" s="153"/>
      <c r="N115" s="153"/>
      <c r="O115" s="153"/>
      <c r="P115" s="153"/>
      <c r="Q115" s="153"/>
      <c r="R115" s="153"/>
      <c r="S115" s="153"/>
      <c r="T115" s="153"/>
      <c r="U115" s="153"/>
      <c r="V115" s="153"/>
      <c r="W115" s="153"/>
      <c r="X115" s="153"/>
      <c r="Y115" s="153"/>
      <c r="Z115" s="153"/>
      <c r="AA115" s="153"/>
      <c r="AB115" s="153"/>
      <c r="AC115" s="153"/>
      <c r="AD115" s="153"/>
      <c r="AE115" s="153"/>
      <c r="AF115" s="153"/>
      <c r="AG115" s="153"/>
      <c r="AH115" s="153"/>
      <c r="AI115" s="153"/>
      <c r="AJ115" s="153"/>
      <c r="AK115" s="153"/>
      <c r="AL115" s="153"/>
      <c r="AM115" s="153"/>
      <c r="AN115" s="153"/>
      <c r="AO115" s="153"/>
      <c r="AP115" s="153"/>
      <c r="AQ115" s="153"/>
      <c r="AR115" s="153"/>
    </row>
    <row r="116" spans="1:44" ht="15.75" customHeight="1">
      <c r="A116" s="153"/>
      <c r="B116" s="153"/>
      <c r="C116" s="152"/>
      <c r="D116" s="152"/>
      <c r="E116" s="153"/>
      <c r="F116" s="153"/>
      <c r="G116" s="153"/>
      <c r="H116" s="153"/>
      <c r="I116" s="153"/>
      <c r="J116" s="153"/>
      <c r="K116" s="153"/>
      <c r="L116" s="153"/>
      <c r="M116" s="153"/>
      <c r="N116" s="153"/>
      <c r="O116" s="153"/>
      <c r="P116" s="153"/>
      <c r="Q116" s="153"/>
      <c r="R116" s="153"/>
      <c r="S116" s="153"/>
      <c r="T116" s="153"/>
      <c r="U116" s="153"/>
      <c r="V116" s="153"/>
      <c r="W116" s="153"/>
      <c r="X116" s="153"/>
      <c r="Y116" s="153"/>
      <c r="Z116" s="153"/>
      <c r="AA116" s="153"/>
      <c r="AB116" s="153"/>
      <c r="AC116" s="153"/>
      <c r="AD116" s="153"/>
      <c r="AE116" s="153"/>
      <c r="AF116" s="153"/>
      <c r="AG116" s="153"/>
      <c r="AH116" s="153"/>
      <c r="AI116" s="153"/>
      <c r="AJ116" s="153"/>
      <c r="AK116" s="153"/>
      <c r="AL116" s="153"/>
      <c r="AM116" s="153"/>
      <c r="AN116" s="153"/>
      <c r="AO116" s="153"/>
      <c r="AP116" s="153"/>
      <c r="AQ116" s="153"/>
      <c r="AR116" s="153"/>
    </row>
    <row r="117" spans="1:44" ht="15.75" customHeight="1">
      <c r="A117" s="153"/>
      <c r="B117" s="153"/>
      <c r="C117" s="152"/>
      <c r="D117" s="152"/>
      <c r="E117" s="153"/>
      <c r="F117" s="153"/>
      <c r="G117" s="153"/>
      <c r="H117" s="153"/>
      <c r="I117" s="153"/>
      <c r="J117" s="153"/>
      <c r="K117" s="153"/>
      <c r="L117" s="153"/>
      <c r="M117" s="153"/>
      <c r="N117" s="153"/>
      <c r="O117" s="153"/>
      <c r="P117" s="153"/>
      <c r="Q117" s="153"/>
      <c r="R117" s="153"/>
      <c r="S117" s="153"/>
      <c r="T117" s="153"/>
      <c r="U117" s="153"/>
      <c r="V117" s="153"/>
      <c r="W117" s="153"/>
      <c r="X117" s="153"/>
      <c r="Y117" s="153"/>
      <c r="Z117" s="153"/>
      <c r="AA117" s="153"/>
      <c r="AB117" s="153"/>
      <c r="AC117" s="153"/>
      <c r="AD117" s="153"/>
      <c r="AE117" s="153"/>
      <c r="AF117" s="153"/>
      <c r="AG117" s="153"/>
      <c r="AH117" s="153"/>
      <c r="AI117" s="153"/>
      <c r="AJ117" s="153"/>
      <c r="AK117" s="153"/>
      <c r="AL117" s="153"/>
      <c r="AM117" s="153"/>
      <c r="AN117" s="153"/>
      <c r="AO117" s="153"/>
      <c r="AP117" s="153"/>
      <c r="AQ117" s="153"/>
      <c r="AR117" s="153"/>
    </row>
    <row r="118" spans="1:44" ht="15.75" customHeight="1">
      <c r="A118" s="153"/>
      <c r="B118" s="153"/>
      <c r="C118" s="152"/>
      <c r="D118" s="152"/>
      <c r="E118" s="153"/>
      <c r="F118" s="153"/>
      <c r="G118" s="153"/>
      <c r="H118" s="153"/>
      <c r="I118" s="153"/>
      <c r="J118" s="153"/>
      <c r="K118" s="153"/>
      <c r="L118" s="153"/>
      <c r="M118" s="153"/>
      <c r="N118" s="153"/>
      <c r="O118" s="153"/>
      <c r="P118" s="153"/>
      <c r="Q118" s="153"/>
      <c r="R118" s="153"/>
      <c r="S118" s="153"/>
      <c r="T118" s="153"/>
      <c r="U118" s="153"/>
      <c r="V118" s="153"/>
      <c r="W118" s="153"/>
      <c r="X118" s="153"/>
      <c r="Y118" s="153"/>
      <c r="Z118" s="153"/>
      <c r="AA118" s="153"/>
      <c r="AB118" s="153"/>
      <c r="AC118" s="153"/>
      <c r="AD118" s="153"/>
      <c r="AE118" s="153"/>
      <c r="AF118" s="153"/>
      <c r="AG118" s="153"/>
      <c r="AH118" s="153"/>
      <c r="AI118" s="153"/>
      <c r="AJ118" s="153"/>
      <c r="AK118" s="153"/>
      <c r="AL118" s="153"/>
      <c r="AM118" s="153"/>
      <c r="AN118" s="153"/>
      <c r="AO118" s="153"/>
      <c r="AP118" s="153"/>
      <c r="AQ118" s="153"/>
      <c r="AR118" s="153"/>
    </row>
    <row r="119" spans="1:44" ht="15.75" customHeight="1">
      <c r="A119" s="153"/>
      <c r="B119" s="153"/>
      <c r="C119" s="152"/>
      <c r="D119" s="152"/>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c r="AA119" s="153"/>
      <c r="AB119" s="153"/>
      <c r="AC119" s="153"/>
      <c r="AD119" s="153"/>
      <c r="AE119" s="153"/>
      <c r="AF119" s="153"/>
      <c r="AG119" s="153"/>
      <c r="AH119" s="153"/>
      <c r="AI119" s="153"/>
      <c r="AJ119" s="153"/>
      <c r="AK119" s="153"/>
      <c r="AL119" s="153"/>
      <c r="AM119" s="153"/>
      <c r="AN119" s="153"/>
      <c r="AO119" s="153"/>
      <c r="AP119" s="153"/>
      <c r="AQ119" s="153"/>
      <c r="AR119" s="153"/>
    </row>
    <row r="120" spans="1:44" ht="15.75" customHeight="1">
      <c r="A120" s="153"/>
      <c r="B120" s="153"/>
      <c r="C120" s="152"/>
      <c r="D120" s="152"/>
      <c r="E120" s="153"/>
      <c r="F120" s="153"/>
      <c r="G120" s="153"/>
      <c r="H120" s="153"/>
      <c r="I120" s="153"/>
      <c r="J120" s="153"/>
      <c r="K120" s="153"/>
      <c r="L120" s="153"/>
      <c r="M120" s="153"/>
      <c r="N120" s="153"/>
      <c r="O120" s="153"/>
      <c r="P120" s="153"/>
      <c r="Q120" s="153"/>
      <c r="R120" s="153"/>
      <c r="S120" s="153"/>
      <c r="T120" s="153"/>
      <c r="U120" s="153"/>
      <c r="V120" s="153"/>
      <c r="W120" s="153"/>
      <c r="X120" s="153"/>
      <c r="Y120" s="153"/>
      <c r="Z120" s="153"/>
      <c r="AA120" s="153"/>
      <c r="AB120" s="153"/>
      <c r="AC120" s="153"/>
      <c r="AD120" s="153"/>
      <c r="AE120" s="153"/>
      <c r="AF120" s="153"/>
      <c r="AG120" s="153"/>
      <c r="AH120" s="153"/>
      <c r="AI120" s="153"/>
      <c r="AJ120" s="153"/>
      <c r="AK120" s="153"/>
      <c r="AL120" s="153"/>
      <c r="AM120" s="153"/>
      <c r="AN120" s="153"/>
      <c r="AO120" s="153"/>
      <c r="AP120" s="153"/>
      <c r="AQ120" s="153"/>
      <c r="AR120" s="153"/>
    </row>
    <row r="121" spans="1:44" ht="15.75" customHeight="1">
      <c r="A121" s="153"/>
      <c r="B121" s="153"/>
      <c r="C121" s="152"/>
      <c r="D121" s="152"/>
      <c r="E121" s="153"/>
      <c r="F121" s="153"/>
      <c r="G121" s="153"/>
      <c r="H121" s="153"/>
      <c r="I121" s="153"/>
      <c r="J121" s="153"/>
      <c r="K121" s="153"/>
      <c r="L121" s="153"/>
      <c r="M121" s="153"/>
      <c r="N121" s="153"/>
      <c r="O121" s="153"/>
      <c r="P121" s="153"/>
      <c r="Q121" s="153"/>
      <c r="R121" s="153"/>
      <c r="S121" s="153"/>
      <c r="T121" s="153"/>
      <c r="U121" s="153"/>
      <c r="V121" s="153"/>
      <c r="W121" s="153"/>
      <c r="X121" s="153"/>
      <c r="Y121" s="153"/>
      <c r="Z121" s="153"/>
      <c r="AA121" s="153"/>
      <c r="AB121" s="153"/>
      <c r="AC121" s="153"/>
      <c r="AD121" s="153"/>
      <c r="AE121" s="153"/>
      <c r="AF121" s="153"/>
      <c r="AG121" s="153"/>
      <c r="AH121" s="153"/>
      <c r="AI121" s="153"/>
      <c r="AJ121" s="153"/>
      <c r="AK121" s="153"/>
      <c r="AL121" s="153"/>
      <c r="AM121" s="153"/>
      <c r="AN121" s="153"/>
      <c r="AO121" s="153"/>
      <c r="AP121" s="153"/>
      <c r="AQ121" s="153"/>
      <c r="AR121" s="153"/>
    </row>
    <row r="122" spans="1:44" ht="15.75" customHeight="1">
      <c r="A122" s="153"/>
      <c r="B122" s="153"/>
      <c r="C122" s="152"/>
      <c r="D122" s="152"/>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c r="AA122" s="153"/>
      <c r="AB122" s="153"/>
      <c r="AC122" s="153"/>
      <c r="AD122" s="153"/>
      <c r="AE122" s="153"/>
      <c r="AF122" s="153"/>
      <c r="AG122" s="153"/>
      <c r="AH122" s="153"/>
      <c r="AI122" s="153"/>
      <c r="AJ122" s="153"/>
      <c r="AK122" s="153"/>
      <c r="AL122" s="153"/>
      <c r="AM122" s="153"/>
      <c r="AN122" s="153"/>
      <c r="AO122" s="153"/>
      <c r="AP122" s="153"/>
      <c r="AQ122" s="153"/>
      <c r="AR122" s="153"/>
    </row>
    <row r="123" spans="1:44" ht="15.75" customHeight="1">
      <c r="A123" s="153"/>
      <c r="B123" s="153"/>
      <c r="C123" s="152"/>
      <c r="D123" s="152"/>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c r="AA123" s="153"/>
      <c r="AB123" s="153"/>
      <c r="AC123" s="153"/>
      <c r="AD123" s="153"/>
      <c r="AE123" s="153"/>
      <c r="AF123" s="153"/>
      <c r="AG123" s="153"/>
      <c r="AH123" s="153"/>
      <c r="AI123" s="153"/>
      <c r="AJ123" s="153"/>
      <c r="AK123" s="153"/>
      <c r="AL123" s="153"/>
      <c r="AM123" s="153"/>
      <c r="AN123" s="153"/>
      <c r="AO123" s="153"/>
      <c r="AP123" s="153"/>
      <c r="AQ123" s="153"/>
      <c r="AR123" s="153"/>
    </row>
    <row r="124" spans="1:44" ht="15.75" customHeight="1">
      <c r="A124" s="153"/>
      <c r="B124" s="153"/>
      <c r="C124" s="152"/>
      <c r="D124" s="152"/>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c r="AA124" s="153"/>
      <c r="AB124" s="153"/>
      <c r="AC124" s="153"/>
      <c r="AD124" s="153"/>
      <c r="AE124" s="153"/>
      <c r="AF124" s="153"/>
      <c r="AG124" s="153"/>
      <c r="AH124" s="153"/>
      <c r="AI124" s="153"/>
      <c r="AJ124" s="153"/>
      <c r="AK124" s="153"/>
      <c r="AL124" s="153"/>
      <c r="AM124" s="153"/>
      <c r="AN124" s="153"/>
      <c r="AO124" s="153"/>
      <c r="AP124" s="153"/>
      <c r="AQ124" s="153"/>
      <c r="AR124" s="153"/>
    </row>
    <row r="125" spans="1:44" ht="15.75" customHeight="1">
      <c r="A125" s="153"/>
      <c r="B125" s="153"/>
      <c r="C125" s="152"/>
      <c r="D125" s="152"/>
      <c r="E125" s="153"/>
      <c r="F125" s="153"/>
      <c r="G125" s="153"/>
      <c r="H125" s="153"/>
      <c r="I125" s="153"/>
      <c r="J125" s="153"/>
      <c r="K125" s="153"/>
      <c r="L125" s="153"/>
      <c r="M125" s="153"/>
      <c r="N125" s="153"/>
      <c r="O125" s="153"/>
      <c r="P125" s="153"/>
      <c r="Q125" s="153"/>
      <c r="R125" s="153"/>
      <c r="S125" s="153"/>
      <c r="T125" s="153"/>
      <c r="U125" s="153"/>
      <c r="V125" s="153"/>
      <c r="W125" s="153"/>
      <c r="X125" s="153"/>
      <c r="Y125" s="153"/>
      <c r="Z125" s="153"/>
      <c r="AA125" s="153"/>
      <c r="AB125" s="153"/>
      <c r="AC125" s="153"/>
      <c r="AD125" s="153"/>
      <c r="AE125" s="153"/>
      <c r="AF125" s="153"/>
      <c r="AG125" s="153"/>
      <c r="AH125" s="153"/>
      <c r="AI125" s="153"/>
      <c r="AJ125" s="153"/>
      <c r="AK125" s="153"/>
      <c r="AL125" s="153"/>
      <c r="AM125" s="153"/>
      <c r="AN125" s="153"/>
      <c r="AO125" s="153"/>
      <c r="AP125" s="153"/>
      <c r="AQ125" s="153"/>
      <c r="AR125" s="153"/>
    </row>
    <row r="126" spans="1:44" ht="15.75" customHeight="1">
      <c r="A126" s="153"/>
      <c r="B126" s="153"/>
      <c r="C126" s="152"/>
      <c r="D126" s="152"/>
      <c r="E126" s="153"/>
      <c r="F126" s="153"/>
      <c r="G126" s="153"/>
      <c r="H126" s="153"/>
      <c r="I126" s="153"/>
      <c r="J126" s="153"/>
      <c r="K126" s="153"/>
      <c r="L126" s="153"/>
      <c r="M126" s="153"/>
      <c r="N126" s="153"/>
      <c r="O126" s="153"/>
      <c r="P126" s="153"/>
      <c r="Q126" s="153"/>
      <c r="R126" s="153"/>
      <c r="S126" s="153"/>
      <c r="T126" s="153"/>
      <c r="U126" s="153"/>
      <c r="V126" s="153"/>
      <c r="W126" s="153"/>
      <c r="X126" s="153"/>
      <c r="Y126" s="153"/>
      <c r="Z126" s="153"/>
      <c r="AA126" s="153"/>
      <c r="AB126" s="153"/>
      <c r="AC126" s="153"/>
      <c r="AD126" s="153"/>
      <c r="AE126" s="153"/>
      <c r="AF126" s="153"/>
      <c r="AG126" s="153"/>
      <c r="AH126" s="153"/>
      <c r="AI126" s="153"/>
      <c r="AJ126" s="153"/>
      <c r="AK126" s="153"/>
      <c r="AL126" s="153"/>
      <c r="AM126" s="153"/>
      <c r="AN126" s="153"/>
      <c r="AO126" s="153"/>
      <c r="AP126" s="153"/>
      <c r="AQ126" s="153"/>
      <c r="AR126" s="153"/>
    </row>
    <row r="127" spans="1:44" ht="15.75" customHeight="1">
      <c r="A127" s="153"/>
      <c r="B127" s="153"/>
      <c r="C127" s="152"/>
      <c r="D127" s="152"/>
      <c r="E127" s="153"/>
      <c r="F127" s="153"/>
      <c r="G127" s="153"/>
      <c r="H127" s="153"/>
      <c r="I127" s="153"/>
      <c r="J127" s="153"/>
      <c r="K127" s="153"/>
      <c r="L127" s="153"/>
      <c r="M127" s="153"/>
      <c r="N127" s="153"/>
      <c r="O127" s="153"/>
      <c r="P127" s="153"/>
      <c r="Q127" s="153"/>
      <c r="R127" s="153"/>
      <c r="S127" s="153"/>
      <c r="T127" s="153"/>
      <c r="U127" s="153"/>
      <c r="V127" s="153"/>
      <c r="W127" s="153"/>
      <c r="X127" s="153"/>
      <c r="Y127" s="153"/>
      <c r="Z127" s="153"/>
      <c r="AA127" s="153"/>
      <c r="AB127" s="153"/>
      <c r="AC127" s="153"/>
      <c r="AD127" s="153"/>
      <c r="AE127" s="153"/>
      <c r="AF127" s="153"/>
      <c r="AG127" s="153"/>
      <c r="AH127" s="153"/>
      <c r="AI127" s="153"/>
      <c r="AJ127" s="153"/>
      <c r="AK127" s="153"/>
      <c r="AL127" s="153"/>
      <c r="AM127" s="153"/>
      <c r="AN127" s="153"/>
      <c r="AO127" s="153"/>
      <c r="AP127" s="153"/>
      <c r="AQ127" s="153"/>
      <c r="AR127" s="153"/>
    </row>
    <row r="128" spans="1:44" ht="15.75" customHeight="1">
      <c r="A128" s="153"/>
      <c r="B128" s="153"/>
      <c r="C128" s="152"/>
      <c r="D128" s="152"/>
      <c r="E128" s="153"/>
      <c r="F128" s="153"/>
      <c r="G128" s="153"/>
      <c r="H128" s="153"/>
      <c r="I128" s="153"/>
      <c r="J128" s="153"/>
      <c r="K128" s="153"/>
      <c r="L128" s="153"/>
      <c r="M128" s="153"/>
      <c r="N128" s="153"/>
      <c r="O128" s="153"/>
      <c r="P128" s="153"/>
      <c r="Q128" s="153"/>
      <c r="R128" s="153"/>
      <c r="S128" s="153"/>
      <c r="T128" s="153"/>
      <c r="U128" s="153"/>
      <c r="V128" s="153"/>
      <c r="W128" s="153"/>
      <c r="X128" s="153"/>
      <c r="Y128" s="153"/>
      <c r="Z128" s="153"/>
      <c r="AA128" s="153"/>
      <c r="AB128" s="153"/>
      <c r="AC128" s="153"/>
      <c r="AD128" s="153"/>
      <c r="AE128" s="153"/>
      <c r="AF128" s="153"/>
      <c r="AG128" s="153"/>
      <c r="AH128" s="153"/>
      <c r="AI128" s="153"/>
      <c r="AJ128" s="153"/>
      <c r="AK128" s="153"/>
      <c r="AL128" s="153"/>
      <c r="AM128" s="153"/>
      <c r="AN128" s="153"/>
      <c r="AO128" s="153"/>
      <c r="AP128" s="153"/>
      <c r="AQ128" s="153"/>
      <c r="AR128" s="153"/>
    </row>
    <row r="129" spans="1:44" ht="15.75" customHeight="1">
      <c r="A129" s="153"/>
      <c r="B129" s="153"/>
      <c r="C129" s="152"/>
      <c r="D129" s="152"/>
      <c r="E129" s="153"/>
      <c r="F129" s="153"/>
      <c r="G129" s="153"/>
      <c r="H129" s="153"/>
      <c r="I129" s="153"/>
      <c r="J129" s="153"/>
      <c r="K129" s="153"/>
      <c r="L129" s="153"/>
      <c r="M129" s="153"/>
      <c r="N129" s="153"/>
      <c r="O129" s="153"/>
      <c r="P129" s="153"/>
      <c r="Q129" s="153"/>
      <c r="R129" s="153"/>
      <c r="S129" s="153"/>
      <c r="T129" s="153"/>
      <c r="U129" s="153"/>
      <c r="V129" s="153"/>
      <c r="W129" s="153"/>
      <c r="X129" s="153"/>
      <c r="Y129" s="153"/>
      <c r="Z129" s="153"/>
      <c r="AA129" s="153"/>
      <c r="AB129" s="153"/>
      <c r="AC129" s="153"/>
      <c r="AD129" s="153"/>
      <c r="AE129" s="153"/>
      <c r="AF129" s="153"/>
      <c r="AG129" s="153"/>
      <c r="AH129" s="153"/>
      <c r="AI129" s="153"/>
      <c r="AJ129" s="153"/>
      <c r="AK129" s="153"/>
      <c r="AL129" s="153"/>
      <c r="AM129" s="153"/>
      <c r="AN129" s="153"/>
      <c r="AO129" s="153"/>
      <c r="AP129" s="153"/>
      <c r="AQ129" s="153"/>
      <c r="AR129" s="153"/>
    </row>
    <row r="130" spans="1:44" ht="15.75" customHeight="1">
      <c r="A130" s="153"/>
      <c r="B130" s="153"/>
      <c r="C130" s="152"/>
      <c r="D130" s="152"/>
      <c r="E130" s="153"/>
      <c r="F130" s="153"/>
      <c r="G130" s="153"/>
      <c r="H130" s="153"/>
      <c r="I130" s="153"/>
      <c r="J130" s="153"/>
      <c r="K130" s="153"/>
      <c r="L130" s="153"/>
      <c r="M130" s="153"/>
      <c r="N130" s="153"/>
      <c r="O130" s="153"/>
      <c r="P130" s="153"/>
      <c r="Q130" s="153"/>
      <c r="R130" s="153"/>
      <c r="S130" s="153"/>
      <c r="T130" s="153"/>
      <c r="U130" s="153"/>
      <c r="V130" s="153"/>
      <c r="W130" s="153"/>
      <c r="X130" s="153"/>
      <c r="Y130" s="153"/>
      <c r="Z130" s="153"/>
      <c r="AA130" s="153"/>
      <c r="AB130" s="153"/>
      <c r="AC130" s="153"/>
      <c r="AD130" s="153"/>
      <c r="AE130" s="153"/>
      <c r="AF130" s="153"/>
      <c r="AG130" s="153"/>
      <c r="AH130" s="153"/>
      <c r="AI130" s="153"/>
      <c r="AJ130" s="153"/>
      <c r="AK130" s="153"/>
      <c r="AL130" s="153"/>
      <c r="AM130" s="153"/>
      <c r="AN130" s="153"/>
      <c r="AO130" s="153"/>
      <c r="AP130" s="153"/>
      <c r="AQ130" s="153"/>
      <c r="AR130" s="153"/>
    </row>
    <row r="131" spans="1:44" ht="15.75" customHeight="1">
      <c r="A131" s="153"/>
      <c r="B131" s="153"/>
      <c r="C131" s="152"/>
      <c r="D131" s="152"/>
      <c r="E131" s="153"/>
      <c r="F131" s="153"/>
      <c r="G131" s="153"/>
      <c r="H131" s="153"/>
      <c r="I131" s="153"/>
      <c r="J131" s="153"/>
      <c r="K131" s="153"/>
      <c r="L131" s="153"/>
      <c r="M131" s="153"/>
      <c r="N131" s="153"/>
      <c r="O131" s="153"/>
      <c r="P131" s="153"/>
      <c r="Q131" s="153"/>
      <c r="R131" s="153"/>
      <c r="S131" s="153"/>
      <c r="T131" s="153"/>
      <c r="U131" s="153"/>
      <c r="V131" s="153"/>
      <c r="W131" s="153"/>
      <c r="X131" s="153"/>
      <c r="Y131" s="153"/>
      <c r="Z131" s="153"/>
      <c r="AA131" s="153"/>
      <c r="AB131" s="153"/>
      <c r="AC131" s="153"/>
      <c r="AD131" s="153"/>
      <c r="AE131" s="153"/>
      <c r="AF131" s="153"/>
      <c r="AG131" s="153"/>
      <c r="AH131" s="153"/>
      <c r="AI131" s="153"/>
      <c r="AJ131" s="153"/>
      <c r="AK131" s="153"/>
      <c r="AL131" s="153"/>
      <c r="AM131" s="153"/>
      <c r="AN131" s="153"/>
      <c r="AO131" s="153"/>
      <c r="AP131" s="153"/>
      <c r="AQ131" s="153"/>
      <c r="AR131" s="153"/>
    </row>
    <row r="132" spans="1:44" ht="15.75" customHeight="1">
      <c r="A132" s="153"/>
      <c r="B132" s="153"/>
      <c r="C132" s="152"/>
      <c r="D132" s="152"/>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c r="AA132" s="153"/>
      <c r="AB132" s="153"/>
      <c r="AC132" s="153"/>
      <c r="AD132" s="153"/>
      <c r="AE132" s="153"/>
      <c r="AF132" s="153"/>
      <c r="AG132" s="153"/>
      <c r="AH132" s="153"/>
      <c r="AI132" s="153"/>
      <c r="AJ132" s="153"/>
      <c r="AK132" s="153"/>
      <c r="AL132" s="153"/>
      <c r="AM132" s="153"/>
      <c r="AN132" s="153"/>
      <c r="AO132" s="153"/>
      <c r="AP132" s="153"/>
      <c r="AQ132" s="153"/>
      <c r="AR132" s="153"/>
    </row>
    <row r="133" spans="1:44" ht="15.75" customHeight="1">
      <c r="A133" s="153"/>
      <c r="B133" s="153"/>
      <c r="C133" s="152"/>
      <c r="D133" s="152"/>
      <c r="E133" s="153"/>
      <c r="F133" s="153"/>
      <c r="G133" s="153"/>
      <c r="H133" s="153"/>
      <c r="I133" s="153"/>
      <c r="J133" s="153"/>
      <c r="K133" s="153"/>
      <c r="L133" s="153"/>
      <c r="M133" s="153"/>
      <c r="N133" s="153"/>
      <c r="O133" s="153"/>
      <c r="P133" s="153"/>
      <c r="Q133" s="153"/>
      <c r="R133" s="153"/>
      <c r="S133" s="153"/>
      <c r="T133" s="153"/>
      <c r="U133" s="153"/>
      <c r="V133" s="153"/>
      <c r="W133" s="153"/>
      <c r="X133" s="153"/>
      <c r="Y133" s="153"/>
      <c r="Z133" s="153"/>
      <c r="AA133" s="153"/>
      <c r="AB133" s="153"/>
      <c r="AC133" s="153"/>
      <c r="AD133" s="153"/>
      <c r="AE133" s="153"/>
      <c r="AF133" s="153"/>
      <c r="AG133" s="153"/>
      <c r="AH133" s="153"/>
      <c r="AI133" s="153"/>
      <c r="AJ133" s="153"/>
      <c r="AK133" s="153"/>
      <c r="AL133" s="153"/>
      <c r="AM133" s="153"/>
      <c r="AN133" s="153"/>
      <c r="AO133" s="153"/>
      <c r="AP133" s="153"/>
      <c r="AQ133" s="153"/>
      <c r="AR133" s="153"/>
    </row>
    <row r="134" spans="1:44" ht="15.75" customHeight="1">
      <c r="A134" s="153"/>
      <c r="B134" s="153"/>
      <c r="C134" s="152"/>
      <c r="D134" s="152"/>
      <c r="E134" s="153"/>
      <c r="F134" s="153"/>
      <c r="G134" s="153"/>
      <c r="H134" s="153"/>
      <c r="I134" s="153"/>
      <c r="J134" s="153"/>
      <c r="K134" s="153"/>
      <c r="L134" s="153"/>
      <c r="M134" s="153"/>
      <c r="N134" s="153"/>
      <c r="O134" s="153"/>
      <c r="P134" s="153"/>
      <c r="Q134" s="153"/>
      <c r="R134" s="153"/>
      <c r="S134" s="153"/>
      <c r="T134" s="153"/>
      <c r="U134" s="153"/>
      <c r="V134" s="153"/>
      <c r="W134" s="153"/>
      <c r="X134" s="153"/>
      <c r="Y134" s="153"/>
      <c r="Z134" s="153"/>
      <c r="AA134" s="153"/>
      <c r="AB134" s="153"/>
      <c r="AC134" s="153"/>
      <c r="AD134" s="153"/>
      <c r="AE134" s="153"/>
      <c r="AF134" s="153"/>
      <c r="AG134" s="153"/>
      <c r="AH134" s="153"/>
      <c r="AI134" s="153"/>
      <c r="AJ134" s="153"/>
      <c r="AK134" s="153"/>
      <c r="AL134" s="153"/>
      <c r="AM134" s="153"/>
      <c r="AN134" s="153"/>
      <c r="AO134" s="153"/>
      <c r="AP134" s="153"/>
      <c r="AQ134" s="153"/>
      <c r="AR134" s="153"/>
    </row>
    <row r="135" spans="1:44" ht="15.75" customHeight="1">
      <c r="A135" s="153"/>
      <c r="B135" s="153"/>
      <c r="C135" s="152"/>
      <c r="D135" s="152"/>
      <c r="E135" s="153"/>
      <c r="F135" s="153"/>
      <c r="G135" s="153"/>
      <c r="H135" s="153"/>
      <c r="I135" s="153"/>
      <c r="J135" s="153"/>
      <c r="K135" s="153"/>
      <c r="L135" s="153"/>
      <c r="M135" s="153"/>
      <c r="N135" s="153"/>
      <c r="O135" s="153"/>
      <c r="P135" s="153"/>
      <c r="Q135" s="153"/>
      <c r="R135" s="153"/>
      <c r="S135" s="153"/>
      <c r="T135" s="153"/>
      <c r="U135" s="153"/>
      <c r="V135" s="153"/>
      <c r="W135" s="153"/>
      <c r="X135" s="153"/>
      <c r="Y135" s="153"/>
      <c r="Z135" s="153"/>
      <c r="AA135" s="153"/>
      <c r="AB135" s="153"/>
      <c r="AC135" s="153"/>
      <c r="AD135" s="153"/>
      <c r="AE135" s="153"/>
      <c r="AF135" s="153"/>
      <c r="AG135" s="153"/>
      <c r="AH135" s="153"/>
      <c r="AI135" s="153"/>
      <c r="AJ135" s="153"/>
      <c r="AK135" s="153"/>
      <c r="AL135" s="153"/>
      <c r="AM135" s="153"/>
      <c r="AN135" s="153"/>
      <c r="AO135" s="153"/>
      <c r="AP135" s="153"/>
      <c r="AQ135" s="153"/>
      <c r="AR135" s="153"/>
    </row>
    <row r="136" spans="1:44" ht="15.75" customHeight="1">
      <c r="A136" s="153"/>
      <c r="B136" s="153"/>
      <c r="C136" s="152"/>
      <c r="D136" s="152"/>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c r="AA136" s="153"/>
      <c r="AB136" s="153"/>
      <c r="AC136" s="153"/>
      <c r="AD136" s="153"/>
      <c r="AE136" s="153"/>
      <c r="AF136" s="153"/>
      <c r="AG136" s="153"/>
      <c r="AH136" s="153"/>
      <c r="AI136" s="153"/>
      <c r="AJ136" s="153"/>
      <c r="AK136" s="153"/>
      <c r="AL136" s="153"/>
      <c r="AM136" s="153"/>
      <c r="AN136" s="153"/>
      <c r="AO136" s="153"/>
      <c r="AP136" s="153"/>
      <c r="AQ136" s="153"/>
      <c r="AR136" s="153"/>
    </row>
    <row r="137" spans="1:44" ht="15.75" customHeight="1">
      <c r="A137" s="153"/>
      <c r="B137" s="153"/>
      <c r="C137" s="152"/>
      <c r="D137" s="152"/>
      <c r="E137" s="153"/>
      <c r="F137" s="153"/>
      <c r="G137" s="153"/>
      <c r="H137" s="153"/>
      <c r="I137" s="153"/>
      <c r="J137" s="153"/>
      <c r="K137" s="153"/>
      <c r="L137" s="153"/>
      <c r="M137" s="153"/>
      <c r="N137" s="153"/>
      <c r="O137" s="153"/>
      <c r="P137" s="153"/>
      <c r="Q137" s="153"/>
      <c r="R137" s="153"/>
      <c r="S137" s="153"/>
      <c r="T137" s="153"/>
      <c r="U137" s="153"/>
      <c r="V137" s="153"/>
      <c r="W137" s="153"/>
      <c r="X137" s="153"/>
      <c r="Y137" s="153"/>
      <c r="Z137" s="153"/>
      <c r="AA137" s="153"/>
      <c r="AB137" s="153"/>
      <c r="AC137" s="153"/>
      <c r="AD137" s="153"/>
      <c r="AE137" s="153"/>
      <c r="AF137" s="153"/>
      <c r="AG137" s="153"/>
      <c r="AH137" s="153"/>
      <c r="AI137" s="153"/>
      <c r="AJ137" s="153"/>
      <c r="AK137" s="153"/>
      <c r="AL137" s="153"/>
      <c r="AM137" s="153"/>
      <c r="AN137" s="153"/>
      <c r="AO137" s="153"/>
      <c r="AP137" s="153"/>
      <c r="AQ137" s="153"/>
      <c r="AR137" s="153"/>
    </row>
    <row r="138" spans="1:44" ht="15.75" customHeight="1">
      <c r="A138" s="153"/>
      <c r="B138" s="153"/>
      <c r="C138" s="152"/>
      <c r="D138" s="152"/>
      <c r="E138" s="153"/>
      <c r="F138" s="153"/>
      <c r="G138" s="153"/>
      <c r="H138" s="153"/>
      <c r="I138" s="153"/>
      <c r="J138" s="153"/>
      <c r="K138" s="153"/>
      <c r="L138" s="153"/>
      <c r="M138" s="153"/>
      <c r="N138" s="153"/>
      <c r="O138" s="153"/>
      <c r="P138" s="153"/>
      <c r="Q138" s="153"/>
      <c r="R138" s="153"/>
      <c r="S138" s="153"/>
      <c r="T138" s="153"/>
      <c r="U138" s="153"/>
      <c r="V138" s="153"/>
      <c r="W138" s="153"/>
      <c r="X138" s="153"/>
      <c r="Y138" s="153"/>
      <c r="Z138" s="153"/>
      <c r="AA138" s="153"/>
      <c r="AB138" s="153"/>
      <c r="AC138" s="153"/>
      <c r="AD138" s="153"/>
      <c r="AE138" s="153"/>
      <c r="AF138" s="153"/>
      <c r="AG138" s="153"/>
      <c r="AH138" s="153"/>
      <c r="AI138" s="153"/>
      <c r="AJ138" s="153"/>
      <c r="AK138" s="153"/>
      <c r="AL138" s="153"/>
      <c r="AM138" s="153"/>
      <c r="AN138" s="153"/>
      <c r="AO138" s="153"/>
      <c r="AP138" s="153"/>
      <c r="AQ138" s="153"/>
      <c r="AR138" s="153"/>
    </row>
    <row r="139" spans="1:44" ht="15.75" customHeight="1">
      <c r="A139" s="153"/>
      <c r="B139" s="153"/>
      <c r="C139" s="152"/>
      <c r="D139" s="152"/>
      <c r="E139" s="153"/>
      <c r="F139" s="153"/>
      <c r="G139" s="153"/>
      <c r="H139" s="153"/>
      <c r="I139" s="153"/>
      <c r="J139" s="153"/>
      <c r="K139" s="153"/>
      <c r="L139" s="153"/>
      <c r="M139" s="153"/>
      <c r="N139" s="153"/>
      <c r="O139" s="153"/>
      <c r="P139" s="153"/>
      <c r="Q139" s="153"/>
      <c r="R139" s="153"/>
      <c r="S139" s="153"/>
      <c r="T139" s="153"/>
      <c r="U139" s="153"/>
      <c r="V139" s="153"/>
      <c r="W139" s="153"/>
      <c r="X139" s="153"/>
      <c r="Y139" s="153"/>
      <c r="Z139" s="153"/>
      <c r="AA139" s="153"/>
      <c r="AB139" s="153"/>
      <c r="AC139" s="153"/>
      <c r="AD139" s="153"/>
      <c r="AE139" s="153"/>
      <c r="AF139" s="153"/>
      <c r="AG139" s="153"/>
      <c r="AH139" s="153"/>
      <c r="AI139" s="153"/>
      <c r="AJ139" s="153"/>
      <c r="AK139" s="153"/>
      <c r="AL139" s="153"/>
      <c r="AM139" s="153"/>
      <c r="AN139" s="153"/>
      <c r="AO139" s="153"/>
      <c r="AP139" s="153"/>
      <c r="AQ139" s="153"/>
      <c r="AR139" s="153"/>
    </row>
    <row r="140" spans="1:44" ht="15.75" customHeight="1">
      <c r="A140" s="153"/>
      <c r="B140" s="153"/>
      <c r="C140" s="152"/>
      <c r="D140" s="152"/>
      <c r="E140" s="153"/>
      <c r="F140" s="153"/>
      <c r="G140" s="153"/>
      <c r="H140" s="153"/>
      <c r="I140" s="153"/>
      <c r="J140" s="153"/>
      <c r="K140" s="153"/>
      <c r="L140" s="153"/>
      <c r="M140" s="153"/>
      <c r="N140" s="153"/>
      <c r="O140" s="153"/>
      <c r="P140" s="153"/>
      <c r="Q140" s="153"/>
      <c r="R140" s="153"/>
      <c r="S140" s="153"/>
      <c r="T140" s="153"/>
      <c r="U140" s="153"/>
      <c r="V140" s="153"/>
      <c r="W140" s="153"/>
      <c r="X140" s="153"/>
      <c r="Y140" s="153"/>
      <c r="Z140" s="153"/>
      <c r="AA140" s="153"/>
      <c r="AB140" s="153"/>
      <c r="AC140" s="153"/>
      <c r="AD140" s="153"/>
      <c r="AE140" s="153"/>
      <c r="AF140" s="153"/>
      <c r="AG140" s="153"/>
      <c r="AH140" s="153"/>
      <c r="AI140" s="153"/>
      <c r="AJ140" s="153"/>
      <c r="AK140" s="153"/>
      <c r="AL140" s="153"/>
      <c r="AM140" s="153"/>
      <c r="AN140" s="153"/>
      <c r="AO140" s="153"/>
      <c r="AP140" s="153"/>
      <c r="AQ140" s="153"/>
      <c r="AR140" s="153"/>
    </row>
    <row r="141" spans="1:44" ht="15.75" customHeight="1">
      <c r="A141" s="153"/>
      <c r="B141" s="153"/>
      <c r="C141" s="152"/>
      <c r="D141" s="152"/>
      <c r="E141" s="153"/>
      <c r="F141" s="153"/>
      <c r="G141" s="153"/>
      <c r="H141" s="153"/>
      <c r="I141" s="153"/>
      <c r="J141" s="153"/>
      <c r="K141" s="153"/>
      <c r="L141" s="153"/>
      <c r="M141" s="153"/>
      <c r="N141" s="153"/>
      <c r="O141" s="153"/>
      <c r="P141" s="153"/>
      <c r="Q141" s="153"/>
      <c r="R141" s="153"/>
      <c r="S141" s="153"/>
      <c r="T141" s="153"/>
      <c r="U141" s="153"/>
      <c r="V141" s="153"/>
      <c r="W141" s="153"/>
      <c r="X141" s="153"/>
      <c r="Y141" s="153"/>
      <c r="Z141" s="153"/>
      <c r="AA141" s="153"/>
      <c r="AB141" s="153"/>
      <c r="AC141" s="153"/>
      <c r="AD141" s="153"/>
      <c r="AE141" s="153"/>
      <c r="AF141" s="153"/>
      <c r="AG141" s="153"/>
      <c r="AH141" s="153"/>
      <c r="AI141" s="153"/>
      <c r="AJ141" s="153"/>
      <c r="AK141" s="153"/>
      <c r="AL141" s="153"/>
      <c r="AM141" s="153"/>
      <c r="AN141" s="153"/>
      <c r="AO141" s="153"/>
      <c r="AP141" s="153"/>
      <c r="AQ141" s="153"/>
      <c r="AR141" s="153"/>
    </row>
    <row r="142" spans="1:44" ht="15.75" customHeight="1">
      <c r="A142" s="153"/>
      <c r="B142" s="153"/>
      <c r="C142" s="152"/>
      <c r="D142" s="152"/>
      <c r="E142" s="153"/>
      <c r="F142" s="153"/>
      <c r="G142" s="153"/>
      <c r="H142" s="153"/>
      <c r="I142" s="153"/>
      <c r="J142" s="153"/>
      <c r="K142" s="153"/>
      <c r="L142" s="153"/>
      <c r="M142" s="153"/>
      <c r="N142" s="153"/>
      <c r="O142" s="153"/>
      <c r="P142" s="153"/>
      <c r="Q142" s="153"/>
      <c r="R142" s="153"/>
      <c r="S142" s="153"/>
      <c r="T142" s="153"/>
      <c r="U142" s="153"/>
      <c r="V142" s="153"/>
      <c r="W142" s="153"/>
      <c r="X142" s="153"/>
      <c r="Y142" s="153"/>
      <c r="Z142" s="153"/>
      <c r="AA142" s="153"/>
      <c r="AB142" s="153"/>
      <c r="AC142" s="153"/>
      <c r="AD142" s="153"/>
      <c r="AE142" s="153"/>
      <c r="AF142" s="153"/>
      <c r="AG142" s="153"/>
      <c r="AH142" s="153"/>
      <c r="AI142" s="153"/>
      <c r="AJ142" s="153"/>
      <c r="AK142" s="153"/>
      <c r="AL142" s="153"/>
      <c r="AM142" s="153"/>
      <c r="AN142" s="153"/>
      <c r="AO142" s="153"/>
      <c r="AP142" s="153"/>
      <c r="AQ142" s="153"/>
      <c r="AR142" s="153"/>
    </row>
    <row r="143" spans="1:44" ht="15.75" customHeight="1">
      <c r="A143" s="153"/>
      <c r="B143" s="153"/>
      <c r="C143" s="152"/>
      <c r="D143" s="152"/>
      <c r="E143" s="153"/>
      <c r="F143" s="153"/>
      <c r="G143" s="153"/>
      <c r="H143" s="153"/>
      <c r="I143" s="153"/>
      <c r="J143" s="153"/>
      <c r="K143" s="153"/>
      <c r="L143" s="153"/>
      <c r="M143" s="153"/>
      <c r="N143" s="153"/>
      <c r="O143" s="153"/>
      <c r="P143" s="153"/>
      <c r="Q143" s="153"/>
      <c r="R143" s="153"/>
      <c r="S143" s="153"/>
      <c r="T143" s="153"/>
      <c r="U143" s="153"/>
      <c r="V143" s="153"/>
      <c r="W143" s="153"/>
      <c r="X143" s="153"/>
      <c r="Y143" s="153"/>
      <c r="Z143" s="153"/>
      <c r="AA143" s="153"/>
      <c r="AB143" s="153"/>
      <c r="AC143" s="153"/>
      <c r="AD143" s="153"/>
      <c r="AE143" s="153"/>
      <c r="AF143" s="153"/>
      <c r="AG143" s="153"/>
      <c r="AH143" s="153"/>
      <c r="AI143" s="153"/>
      <c r="AJ143" s="153"/>
      <c r="AK143" s="153"/>
      <c r="AL143" s="153"/>
      <c r="AM143" s="153"/>
      <c r="AN143" s="153"/>
      <c r="AO143" s="153"/>
      <c r="AP143" s="153"/>
      <c r="AQ143" s="153"/>
      <c r="AR143" s="153"/>
    </row>
    <row r="144" spans="1:44" ht="15.75" customHeight="1">
      <c r="A144" s="153"/>
      <c r="B144" s="153"/>
      <c r="C144" s="152"/>
      <c r="D144" s="152"/>
      <c r="E144" s="153"/>
      <c r="F144" s="153"/>
      <c r="G144" s="153"/>
      <c r="H144" s="153"/>
      <c r="I144" s="153"/>
      <c r="J144" s="153"/>
      <c r="K144" s="153"/>
      <c r="L144" s="153"/>
      <c r="M144" s="153"/>
      <c r="N144" s="153"/>
      <c r="O144" s="153"/>
      <c r="P144" s="153"/>
      <c r="Q144" s="153"/>
      <c r="R144" s="153"/>
      <c r="S144" s="153"/>
      <c r="T144" s="153"/>
      <c r="U144" s="153"/>
      <c r="V144" s="153"/>
      <c r="W144" s="153"/>
      <c r="X144" s="153"/>
      <c r="Y144" s="153"/>
      <c r="Z144" s="153"/>
      <c r="AA144" s="153"/>
      <c r="AB144" s="153"/>
      <c r="AC144" s="153"/>
      <c r="AD144" s="153"/>
      <c r="AE144" s="153"/>
      <c r="AF144" s="153"/>
      <c r="AG144" s="153"/>
      <c r="AH144" s="153"/>
      <c r="AI144" s="153"/>
      <c r="AJ144" s="153"/>
      <c r="AK144" s="153"/>
      <c r="AL144" s="153"/>
      <c r="AM144" s="153"/>
      <c r="AN144" s="153"/>
      <c r="AO144" s="153"/>
      <c r="AP144" s="153"/>
      <c r="AQ144" s="153"/>
      <c r="AR144" s="153"/>
    </row>
    <row r="145" spans="1:44" ht="15.75" customHeight="1">
      <c r="A145" s="153"/>
      <c r="B145" s="153"/>
      <c r="C145" s="152"/>
      <c r="D145" s="152"/>
      <c r="E145" s="153"/>
      <c r="F145" s="153"/>
      <c r="G145" s="153"/>
      <c r="H145" s="153"/>
      <c r="I145" s="153"/>
      <c r="J145" s="153"/>
      <c r="K145" s="153"/>
      <c r="L145" s="153"/>
      <c r="M145" s="153"/>
      <c r="N145" s="153"/>
      <c r="O145" s="153"/>
      <c r="P145" s="153"/>
      <c r="Q145" s="153"/>
      <c r="R145" s="153"/>
      <c r="S145" s="153"/>
      <c r="T145" s="153"/>
      <c r="U145" s="153"/>
      <c r="V145" s="153"/>
      <c r="W145" s="153"/>
      <c r="X145" s="153"/>
      <c r="Y145" s="153"/>
      <c r="Z145" s="153"/>
      <c r="AA145" s="153"/>
      <c r="AB145" s="153"/>
      <c r="AC145" s="153"/>
      <c r="AD145" s="153"/>
      <c r="AE145" s="153"/>
      <c r="AF145" s="153"/>
      <c r="AG145" s="153"/>
      <c r="AH145" s="153"/>
      <c r="AI145" s="153"/>
      <c r="AJ145" s="153"/>
      <c r="AK145" s="153"/>
      <c r="AL145" s="153"/>
      <c r="AM145" s="153"/>
      <c r="AN145" s="153"/>
      <c r="AO145" s="153"/>
      <c r="AP145" s="153"/>
      <c r="AQ145" s="153"/>
      <c r="AR145" s="153"/>
    </row>
    <row r="146" spans="1:44" ht="15.75" customHeight="1">
      <c r="A146" s="153"/>
      <c r="B146" s="153"/>
      <c r="C146" s="152"/>
      <c r="D146" s="152"/>
      <c r="E146" s="153"/>
      <c r="F146" s="153"/>
      <c r="G146" s="153"/>
      <c r="H146" s="153"/>
      <c r="I146" s="153"/>
      <c r="J146" s="153"/>
      <c r="K146" s="153"/>
      <c r="L146" s="153"/>
      <c r="M146" s="153"/>
      <c r="N146" s="153"/>
      <c r="O146" s="153"/>
      <c r="P146" s="153"/>
      <c r="Q146" s="153"/>
      <c r="R146" s="153"/>
      <c r="S146" s="153"/>
      <c r="T146" s="153"/>
      <c r="U146" s="153"/>
      <c r="V146" s="153"/>
      <c r="W146" s="153"/>
      <c r="X146" s="153"/>
      <c r="Y146" s="153"/>
      <c r="Z146" s="153"/>
      <c r="AA146" s="153"/>
      <c r="AB146" s="153"/>
      <c r="AC146" s="153"/>
      <c r="AD146" s="153"/>
      <c r="AE146" s="153"/>
      <c r="AF146" s="153"/>
      <c r="AG146" s="153"/>
      <c r="AH146" s="153"/>
      <c r="AI146" s="153"/>
      <c r="AJ146" s="153"/>
      <c r="AK146" s="153"/>
      <c r="AL146" s="153"/>
      <c r="AM146" s="153"/>
      <c r="AN146" s="153"/>
      <c r="AO146" s="153"/>
      <c r="AP146" s="153"/>
      <c r="AQ146" s="153"/>
      <c r="AR146" s="153"/>
    </row>
    <row r="147" spans="1:44" ht="15.75" customHeight="1">
      <c r="A147" s="153"/>
      <c r="B147" s="153"/>
      <c r="C147" s="152"/>
      <c r="D147" s="152"/>
      <c r="E147" s="153"/>
      <c r="F147" s="153"/>
      <c r="G147" s="153"/>
      <c r="H147" s="153"/>
      <c r="I147" s="153"/>
      <c r="J147" s="153"/>
      <c r="K147" s="153"/>
      <c r="L147" s="153"/>
      <c r="M147" s="153"/>
      <c r="N147" s="153"/>
      <c r="O147" s="153"/>
      <c r="P147" s="153"/>
      <c r="Q147" s="153"/>
      <c r="R147" s="153"/>
      <c r="S147" s="153"/>
      <c r="T147" s="153"/>
      <c r="U147" s="153"/>
      <c r="V147" s="153"/>
      <c r="W147" s="153"/>
      <c r="X147" s="153"/>
      <c r="Y147" s="153"/>
      <c r="Z147" s="153"/>
      <c r="AA147" s="153"/>
      <c r="AB147" s="153"/>
      <c r="AC147" s="153"/>
      <c r="AD147" s="153"/>
      <c r="AE147" s="153"/>
      <c r="AF147" s="153"/>
      <c r="AG147" s="153"/>
      <c r="AH147" s="153"/>
      <c r="AI147" s="153"/>
      <c r="AJ147" s="153"/>
      <c r="AK147" s="153"/>
      <c r="AL147" s="153"/>
      <c r="AM147" s="153"/>
      <c r="AN147" s="153"/>
      <c r="AO147" s="153"/>
      <c r="AP147" s="153"/>
      <c r="AQ147" s="153"/>
      <c r="AR147" s="153"/>
    </row>
    <row r="148" spans="1:44" ht="15.75" customHeight="1">
      <c r="A148" s="153"/>
      <c r="B148" s="153"/>
      <c r="C148" s="152"/>
      <c r="D148" s="152"/>
      <c r="E148" s="153"/>
      <c r="F148" s="153"/>
      <c r="G148" s="153"/>
      <c r="H148" s="153"/>
      <c r="I148" s="153"/>
      <c r="J148" s="153"/>
      <c r="K148" s="153"/>
      <c r="L148" s="153"/>
      <c r="M148" s="153"/>
      <c r="N148" s="153"/>
      <c r="O148" s="153"/>
      <c r="P148" s="153"/>
      <c r="Q148" s="153"/>
      <c r="R148" s="153"/>
      <c r="S148" s="153"/>
      <c r="T148" s="153"/>
      <c r="U148" s="153"/>
      <c r="V148" s="153"/>
      <c r="W148" s="153"/>
      <c r="X148" s="153"/>
      <c r="Y148" s="153"/>
      <c r="Z148" s="153"/>
      <c r="AA148" s="153"/>
      <c r="AB148" s="153"/>
      <c r="AC148" s="153"/>
      <c r="AD148" s="153"/>
      <c r="AE148" s="153"/>
      <c r="AF148" s="153"/>
      <c r="AG148" s="153"/>
      <c r="AH148" s="153"/>
      <c r="AI148" s="153"/>
      <c r="AJ148" s="153"/>
      <c r="AK148" s="153"/>
      <c r="AL148" s="153"/>
      <c r="AM148" s="153"/>
      <c r="AN148" s="153"/>
      <c r="AO148" s="153"/>
      <c r="AP148" s="153"/>
      <c r="AQ148" s="153"/>
      <c r="AR148" s="153"/>
    </row>
    <row r="149" spans="1:44" ht="15.75" customHeight="1">
      <c r="A149" s="153"/>
      <c r="B149" s="153"/>
      <c r="C149" s="152"/>
      <c r="D149" s="152"/>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c r="AA149" s="153"/>
      <c r="AB149" s="153"/>
      <c r="AC149" s="153"/>
      <c r="AD149" s="153"/>
      <c r="AE149" s="153"/>
      <c r="AF149" s="153"/>
      <c r="AG149" s="153"/>
      <c r="AH149" s="153"/>
      <c r="AI149" s="153"/>
      <c r="AJ149" s="153"/>
      <c r="AK149" s="153"/>
      <c r="AL149" s="153"/>
      <c r="AM149" s="153"/>
      <c r="AN149" s="153"/>
      <c r="AO149" s="153"/>
      <c r="AP149" s="153"/>
      <c r="AQ149" s="153"/>
      <c r="AR149" s="153"/>
    </row>
    <row r="150" spans="1:44" ht="15.75" customHeight="1">
      <c r="A150" s="153"/>
      <c r="B150" s="153"/>
      <c r="C150" s="152"/>
      <c r="D150" s="152"/>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c r="AA150" s="153"/>
      <c r="AB150" s="153"/>
      <c r="AC150" s="153"/>
      <c r="AD150" s="153"/>
      <c r="AE150" s="153"/>
      <c r="AF150" s="153"/>
      <c r="AG150" s="153"/>
      <c r="AH150" s="153"/>
      <c r="AI150" s="153"/>
      <c r="AJ150" s="153"/>
      <c r="AK150" s="153"/>
      <c r="AL150" s="153"/>
      <c r="AM150" s="153"/>
      <c r="AN150" s="153"/>
      <c r="AO150" s="153"/>
      <c r="AP150" s="153"/>
      <c r="AQ150" s="153"/>
      <c r="AR150" s="153"/>
    </row>
    <row r="151" spans="1:44" ht="15.75" customHeight="1">
      <c r="A151" s="153"/>
      <c r="B151" s="153"/>
      <c r="C151" s="152"/>
      <c r="D151" s="152"/>
      <c r="E151" s="153"/>
      <c r="F151" s="153"/>
      <c r="G151" s="153"/>
      <c r="H151" s="153"/>
      <c r="I151" s="153"/>
      <c r="J151" s="153"/>
      <c r="K151" s="153"/>
      <c r="L151" s="153"/>
      <c r="M151" s="153"/>
      <c r="N151" s="153"/>
      <c r="O151" s="153"/>
      <c r="P151" s="153"/>
      <c r="Q151" s="153"/>
      <c r="R151" s="153"/>
      <c r="S151" s="153"/>
      <c r="T151" s="153"/>
      <c r="U151" s="153"/>
      <c r="V151" s="153"/>
      <c r="W151" s="153"/>
      <c r="X151" s="153"/>
      <c r="Y151" s="153"/>
      <c r="Z151" s="153"/>
      <c r="AA151" s="153"/>
      <c r="AB151" s="153"/>
      <c r="AC151" s="153"/>
      <c r="AD151" s="153"/>
      <c r="AE151" s="153"/>
      <c r="AF151" s="153"/>
      <c r="AG151" s="153"/>
      <c r="AH151" s="153"/>
      <c r="AI151" s="153"/>
      <c r="AJ151" s="153"/>
      <c r="AK151" s="153"/>
      <c r="AL151" s="153"/>
      <c r="AM151" s="153"/>
      <c r="AN151" s="153"/>
      <c r="AO151" s="153"/>
      <c r="AP151" s="153"/>
      <c r="AQ151" s="153"/>
      <c r="AR151" s="153"/>
    </row>
    <row r="152" spans="1:44" ht="15.75" customHeight="1">
      <c r="A152" s="153"/>
      <c r="B152" s="153"/>
      <c r="C152" s="152"/>
      <c r="D152" s="152"/>
      <c r="E152" s="153"/>
      <c r="F152" s="153"/>
      <c r="G152" s="153"/>
      <c r="H152" s="153"/>
      <c r="I152" s="153"/>
      <c r="J152" s="153"/>
      <c r="K152" s="153"/>
      <c r="L152" s="153"/>
      <c r="M152" s="153"/>
      <c r="N152" s="153"/>
      <c r="O152" s="153"/>
      <c r="P152" s="153"/>
      <c r="Q152" s="153"/>
      <c r="R152" s="153"/>
      <c r="S152" s="153"/>
      <c r="T152" s="153"/>
      <c r="U152" s="153"/>
      <c r="V152" s="153"/>
      <c r="W152" s="153"/>
      <c r="X152" s="153"/>
      <c r="Y152" s="153"/>
      <c r="Z152" s="153"/>
      <c r="AA152" s="153"/>
      <c r="AB152" s="153"/>
      <c r="AC152" s="153"/>
      <c r="AD152" s="153"/>
      <c r="AE152" s="153"/>
      <c r="AF152" s="153"/>
      <c r="AG152" s="153"/>
      <c r="AH152" s="153"/>
      <c r="AI152" s="153"/>
      <c r="AJ152" s="153"/>
      <c r="AK152" s="153"/>
      <c r="AL152" s="153"/>
      <c r="AM152" s="153"/>
      <c r="AN152" s="153"/>
      <c r="AO152" s="153"/>
      <c r="AP152" s="153"/>
      <c r="AQ152" s="153"/>
      <c r="AR152" s="153"/>
    </row>
    <row r="153" spans="1:44" ht="15.75" customHeight="1">
      <c r="A153" s="153"/>
      <c r="B153" s="153"/>
      <c r="C153" s="152"/>
      <c r="D153" s="152"/>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c r="AA153" s="153"/>
      <c r="AB153" s="153"/>
      <c r="AC153" s="153"/>
      <c r="AD153" s="153"/>
      <c r="AE153" s="153"/>
      <c r="AF153" s="153"/>
      <c r="AG153" s="153"/>
      <c r="AH153" s="153"/>
      <c r="AI153" s="153"/>
      <c r="AJ153" s="153"/>
      <c r="AK153" s="153"/>
      <c r="AL153" s="153"/>
      <c r="AM153" s="153"/>
      <c r="AN153" s="153"/>
      <c r="AO153" s="153"/>
      <c r="AP153" s="153"/>
      <c r="AQ153" s="153"/>
      <c r="AR153" s="153"/>
    </row>
    <row r="154" spans="1:44" ht="15.75" customHeight="1">
      <c r="A154" s="153"/>
      <c r="B154" s="153"/>
      <c r="C154" s="152"/>
      <c r="D154" s="152"/>
      <c r="E154" s="153"/>
      <c r="F154" s="153"/>
      <c r="G154" s="153"/>
      <c r="H154" s="153"/>
      <c r="I154" s="153"/>
      <c r="J154" s="153"/>
      <c r="K154" s="153"/>
      <c r="L154" s="153"/>
      <c r="M154" s="153"/>
      <c r="N154" s="153"/>
      <c r="O154" s="153"/>
      <c r="P154" s="153"/>
      <c r="Q154" s="153"/>
      <c r="R154" s="153"/>
      <c r="S154" s="153"/>
      <c r="T154" s="153"/>
      <c r="U154" s="153"/>
      <c r="V154" s="153"/>
      <c r="W154" s="153"/>
      <c r="X154" s="153"/>
      <c r="Y154" s="153"/>
      <c r="Z154" s="153"/>
      <c r="AA154" s="153"/>
      <c r="AB154" s="153"/>
      <c r="AC154" s="153"/>
      <c r="AD154" s="153"/>
      <c r="AE154" s="153"/>
      <c r="AF154" s="153"/>
      <c r="AG154" s="153"/>
      <c r="AH154" s="153"/>
      <c r="AI154" s="153"/>
      <c r="AJ154" s="153"/>
      <c r="AK154" s="153"/>
      <c r="AL154" s="153"/>
      <c r="AM154" s="153"/>
      <c r="AN154" s="153"/>
      <c r="AO154" s="153"/>
      <c r="AP154" s="153"/>
      <c r="AQ154" s="153"/>
      <c r="AR154" s="153"/>
    </row>
    <row r="155" spans="1:44" ht="15.75" customHeight="1">
      <c r="A155" s="153"/>
      <c r="B155" s="153"/>
      <c r="C155" s="152"/>
      <c r="D155" s="152"/>
      <c r="E155" s="153"/>
      <c r="F155" s="153"/>
      <c r="G155" s="153"/>
      <c r="H155" s="153"/>
      <c r="I155" s="153"/>
      <c r="J155" s="153"/>
      <c r="K155" s="153"/>
      <c r="L155" s="153"/>
      <c r="M155" s="153"/>
      <c r="N155" s="153"/>
      <c r="O155" s="153"/>
      <c r="P155" s="153"/>
      <c r="Q155" s="153"/>
      <c r="R155" s="153"/>
      <c r="S155" s="153"/>
      <c r="T155" s="153"/>
      <c r="U155" s="153"/>
      <c r="V155" s="153"/>
      <c r="W155" s="153"/>
      <c r="X155" s="153"/>
      <c r="Y155" s="153"/>
      <c r="Z155" s="153"/>
      <c r="AA155" s="153"/>
      <c r="AB155" s="153"/>
      <c r="AC155" s="153"/>
      <c r="AD155" s="153"/>
      <c r="AE155" s="153"/>
      <c r="AF155" s="153"/>
      <c r="AG155" s="153"/>
      <c r="AH155" s="153"/>
      <c r="AI155" s="153"/>
      <c r="AJ155" s="153"/>
      <c r="AK155" s="153"/>
      <c r="AL155" s="153"/>
      <c r="AM155" s="153"/>
      <c r="AN155" s="153"/>
      <c r="AO155" s="153"/>
      <c r="AP155" s="153"/>
      <c r="AQ155" s="153"/>
      <c r="AR155" s="153"/>
    </row>
    <row r="156" spans="1:44" ht="15.75" customHeight="1">
      <c r="A156" s="153"/>
      <c r="B156" s="153"/>
      <c r="C156" s="152"/>
      <c r="D156" s="152"/>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c r="AA156" s="153"/>
      <c r="AB156" s="153"/>
      <c r="AC156" s="153"/>
      <c r="AD156" s="153"/>
      <c r="AE156" s="153"/>
      <c r="AF156" s="153"/>
      <c r="AG156" s="153"/>
      <c r="AH156" s="153"/>
      <c r="AI156" s="153"/>
      <c r="AJ156" s="153"/>
      <c r="AK156" s="153"/>
      <c r="AL156" s="153"/>
      <c r="AM156" s="153"/>
      <c r="AN156" s="153"/>
      <c r="AO156" s="153"/>
      <c r="AP156" s="153"/>
      <c r="AQ156" s="153"/>
      <c r="AR156" s="153"/>
    </row>
    <row r="157" spans="1:44" ht="15.75" customHeight="1">
      <c r="A157" s="153"/>
      <c r="B157" s="153"/>
      <c r="C157" s="152"/>
      <c r="D157" s="152"/>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c r="AA157" s="153"/>
      <c r="AB157" s="153"/>
      <c r="AC157" s="153"/>
      <c r="AD157" s="153"/>
      <c r="AE157" s="153"/>
      <c r="AF157" s="153"/>
      <c r="AG157" s="153"/>
      <c r="AH157" s="153"/>
      <c r="AI157" s="153"/>
      <c r="AJ157" s="153"/>
      <c r="AK157" s="153"/>
      <c r="AL157" s="153"/>
      <c r="AM157" s="153"/>
      <c r="AN157" s="153"/>
      <c r="AO157" s="153"/>
      <c r="AP157" s="153"/>
      <c r="AQ157" s="153"/>
      <c r="AR157" s="153"/>
    </row>
    <row r="158" spans="1:44" ht="15.75" customHeight="1">
      <c r="A158" s="153"/>
      <c r="B158" s="153"/>
      <c r="C158" s="152"/>
      <c r="D158" s="152"/>
      <c r="E158" s="153"/>
      <c r="F158" s="153"/>
      <c r="G158" s="153"/>
      <c r="H158" s="153"/>
      <c r="I158" s="153"/>
      <c r="J158" s="153"/>
      <c r="K158" s="153"/>
      <c r="L158" s="153"/>
      <c r="M158" s="153"/>
      <c r="N158" s="153"/>
      <c r="O158" s="153"/>
      <c r="P158" s="153"/>
      <c r="Q158" s="153"/>
      <c r="R158" s="153"/>
      <c r="S158" s="153"/>
      <c r="T158" s="153"/>
      <c r="U158" s="153"/>
      <c r="V158" s="153"/>
      <c r="W158" s="153"/>
      <c r="X158" s="153"/>
      <c r="Y158" s="153"/>
      <c r="Z158" s="153"/>
      <c r="AA158" s="153"/>
      <c r="AB158" s="153"/>
      <c r="AC158" s="153"/>
      <c r="AD158" s="153"/>
      <c r="AE158" s="153"/>
      <c r="AF158" s="153"/>
      <c r="AG158" s="153"/>
      <c r="AH158" s="153"/>
      <c r="AI158" s="153"/>
      <c r="AJ158" s="153"/>
      <c r="AK158" s="153"/>
      <c r="AL158" s="153"/>
      <c r="AM158" s="153"/>
      <c r="AN158" s="153"/>
      <c r="AO158" s="153"/>
      <c r="AP158" s="153"/>
      <c r="AQ158" s="153"/>
      <c r="AR158" s="153"/>
    </row>
    <row r="159" spans="1:44" ht="15.75" customHeight="1">
      <c r="A159" s="153"/>
      <c r="B159" s="153"/>
      <c r="C159" s="152"/>
      <c r="D159" s="152"/>
      <c r="E159" s="153"/>
      <c r="F159" s="153"/>
      <c r="G159" s="153"/>
      <c r="H159" s="153"/>
      <c r="I159" s="153"/>
      <c r="J159" s="153"/>
      <c r="K159" s="153"/>
      <c r="L159" s="153"/>
      <c r="M159" s="153"/>
      <c r="N159" s="153"/>
      <c r="O159" s="153"/>
      <c r="P159" s="153"/>
      <c r="Q159" s="153"/>
      <c r="R159" s="153"/>
      <c r="S159" s="153"/>
      <c r="T159" s="153"/>
      <c r="U159" s="153"/>
      <c r="V159" s="153"/>
      <c r="W159" s="153"/>
      <c r="X159" s="153"/>
      <c r="Y159" s="153"/>
      <c r="Z159" s="153"/>
      <c r="AA159" s="153"/>
      <c r="AB159" s="153"/>
      <c r="AC159" s="153"/>
      <c r="AD159" s="153"/>
      <c r="AE159" s="153"/>
      <c r="AF159" s="153"/>
      <c r="AG159" s="153"/>
      <c r="AH159" s="153"/>
      <c r="AI159" s="153"/>
      <c r="AJ159" s="153"/>
      <c r="AK159" s="153"/>
      <c r="AL159" s="153"/>
      <c r="AM159" s="153"/>
      <c r="AN159" s="153"/>
      <c r="AO159" s="153"/>
      <c r="AP159" s="153"/>
      <c r="AQ159" s="153"/>
      <c r="AR159" s="153"/>
    </row>
    <row r="160" spans="1:44" ht="15.75" customHeight="1">
      <c r="A160" s="153"/>
      <c r="B160" s="153"/>
      <c r="C160" s="152"/>
      <c r="D160" s="152"/>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c r="AA160" s="153"/>
      <c r="AB160" s="153"/>
      <c r="AC160" s="153"/>
      <c r="AD160" s="153"/>
      <c r="AE160" s="153"/>
      <c r="AF160" s="153"/>
      <c r="AG160" s="153"/>
      <c r="AH160" s="153"/>
      <c r="AI160" s="153"/>
      <c r="AJ160" s="153"/>
      <c r="AK160" s="153"/>
      <c r="AL160" s="153"/>
      <c r="AM160" s="153"/>
      <c r="AN160" s="153"/>
      <c r="AO160" s="153"/>
      <c r="AP160" s="153"/>
      <c r="AQ160" s="153"/>
      <c r="AR160" s="153"/>
    </row>
    <row r="161" spans="1:44" ht="15.75" customHeight="1">
      <c r="A161" s="153"/>
      <c r="B161" s="153"/>
      <c r="C161" s="152"/>
      <c r="D161" s="152"/>
      <c r="E161" s="153"/>
      <c r="F161" s="153"/>
      <c r="G161" s="153"/>
      <c r="H161" s="153"/>
      <c r="I161" s="153"/>
      <c r="J161" s="153"/>
      <c r="K161" s="153"/>
      <c r="L161" s="153"/>
      <c r="M161" s="153"/>
      <c r="N161" s="153"/>
      <c r="O161" s="153"/>
      <c r="P161" s="153"/>
      <c r="Q161" s="153"/>
      <c r="R161" s="153"/>
      <c r="S161" s="153"/>
      <c r="T161" s="153"/>
      <c r="U161" s="153"/>
      <c r="V161" s="153"/>
      <c r="W161" s="153"/>
      <c r="X161" s="153"/>
      <c r="Y161" s="153"/>
      <c r="Z161" s="153"/>
      <c r="AA161" s="153"/>
      <c r="AB161" s="153"/>
      <c r="AC161" s="153"/>
      <c r="AD161" s="153"/>
      <c r="AE161" s="153"/>
      <c r="AF161" s="153"/>
      <c r="AG161" s="153"/>
      <c r="AH161" s="153"/>
      <c r="AI161" s="153"/>
      <c r="AJ161" s="153"/>
      <c r="AK161" s="153"/>
      <c r="AL161" s="153"/>
      <c r="AM161" s="153"/>
      <c r="AN161" s="153"/>
      <c r="AO161" s="153"/>
      <c r="AP161" s="153"/>
      <c r="AQ161" s="153"/>
      <c r="AR161" s="153"/>
    </row>
    <row r="162" spans="1:44" ht="15.75" customHeight="1">
      <c r="A162" s="153"/>
      <c r="B162" s="153"/>
      <c r="C162" s="152"/>
      <c r="D162" s="152"/>
      <c r="E162" s="153"/>
      <c r="F162" s="153"/>
      <c r="G162" s="153"/>
      <c r="H162" s="153"/>
      <c r="I162" s="153"/>
      <c r="J162" s="153"/>
      <c r="K162" s="153"/>
      <c r="L162" s="153"/>
      <c r="M162" s="153"/>
      <c r="N162" s="153"/>
      <c r="O162" s="153"/>
      <c r="P162" s="153"/>
      <c r="Q162" s="153"/>
      <c r="R162" s="153"/>
      <c r="S162" s="153"/>
      <c r="T162" s="153"/>
      <c r="U162" s="153"/>
      <c r="V162" s="153"/>
      <c r="W162" s="153"/>
      <c r="X162" s="153"/>
      <c r="Y162" s="153"/>
      <c r="Z162" s="153"/>
      <c r="AA162" s="153"/>
      <c r="AB162" s="153"/>
      <c r="AC162" s="153"/>
      <c r="AD162" s="153"/>
      <c r="AE162" s="153"/>
      <c r="AF162" s="153"/>
      <c r="AG162" s="153"/>
      <c r="AH162" s="153"/>
      <c r="AI162" s="153"/>
      <c r="AJ162" s="153"/>
      <c r="AK162" s="153"/>
      <c r="AL162" s="153"/>
      <c r="AM162" s="153"/>
      <c r="AN162" s="153"/>
      <c r="AO162" s="153"/>
      <c r="AP162" s="153"/>
      <c r="AQ162" s="153"/>
      <c r="AR162" s="153"/>
    </row>
    <row r="163" spans="1:44" ht="15.75" customHeight="1">
      <c r="A163" s="153"/>
      <c r="B163" s="153"/>
      <c r="C163" s="152"/>
      <c r="D163" s="152"/>
      <c r="E163" s="153"/>
      <c r="F163" s="153"/>
      <c r="G163" s="153"/>
      <c r="H163" s="153"/>
      <c r="I163" s="153"/>
      <c r="J163" s="153"/>
      <c r="K163" s="153"/>
      <c r="L163" s="153"/>
      <c r="M163" s="153"/>
      <c r="N163" s="153"/>
      <c r="O163" s="153"/>
      <c r="P163" s="153"/>
      <c r="Q163" s="153"/>
      <c r="R163" s="153"/>
      <c r="S163" s="153"/>
      <c r="T163" s="153"/>
      <c r="U163" s="153"/>
      <c r="V163" s="153"/>
      <c r="W163" s="153"/>
      <c r="X163" s="153"/>
      <c r="Y163" s="153"/>
      <c r="Z163" s="153"/>
      <c r="AA163" s="153"/>
      <c r="AB163" s="153"/>
      <c r="AC163" s="153"/>
      <c r="AD163" s="153"/>
      <c r="AE163" s="153"/>
      <c r="AF163" s="153"/>
      <c r="AG163" s="153"/>
      <c r="AH163" s="153"/>
      <c r="AI163" s="153"/>
      <c r="AJ163" s="153"/>
      <c r="AK163" s="153"/>
      <c r="AL163" s="153"/>
      <c r="AM163" s="153"/>
      <c r="AN163" s="153"/>
      <c r="AO163" s="153"/>
      <c r="AP163" s="153"/>
      <c r="AQ163" s="153"/>
      <c r="AR163" s="153"/>
    </row>
    <row r="164" spans="1:44" ht="15.75" customHeight="1">
      <c r="A164" s="153"/>
      <c r="B164" s="153"/>
      <c r="C164" s="152"/>
      <c r="D164" s="152"/>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c r="AA164" s="153"/>
      <c r="AB164" s="153"/>
      <c r="AC164" s="153"/>
      <c r="AD164" s="153"/>
      <c r="AE164" s="153"/>
      <c r="AF164" s="153"/>
      <c r="AG164" s="153"/>
      <c r="AH164" s="153"/>
      <c r="AI164" s="153"/>
      <c r="AJ164" s="153"/>
      <c r="AK164" s="153"/>
      <c r="AL164" s="153"/>
      <c r="AM164" s="153"/>
      <c r="AN164" s="153"/>
      <c r="AO164" s="153"/>
      <c r="AP164" s="153"/>
      <c r="AQ164" s="153"/>
      <c r="AR164" s="153"/>
    </row>
    <row r="165" spans="1:44" ht="15.75" customHeight="1">
      <c r="A165" s="153"/>
      <c r="B165" s="153"/>
      <c r="C165" s="152"/>
      <c r="D165" s="152"/>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c r="AA165" s="153"/>
      <c r="AB165" s="153"/>
      <c r="AC165" s="153"/>
      <c r="AD165" s="153"/>
      <c r="AE165" s="153"/>
      <c r="AF165" s="153"/>
      <c r="AG165" s="153"/>
      <c r="AH165" s="153"/>
      <c r="AI165" s="153"/>
      <c r="AJ165" s="153"/>
      <c r="AK165" s="153"/>
      <c r="AL165" s="153"/>
      <c r="AM165" s="153"/>
      <c r="AN165" s="153"/>
      <c r="AO165" s="153"/>
      <c r="AP165" s="153"/>
      <c r="AQ165" s="153"/>
      <c r="AR165" s="153"/>
    </row>
    <row r="166" spans="1:44" ht="15.75" customHeight="1">
      <c r="A166" s="153"/>
      <c r="B166" s="153"/>
      <c r="C166" s="152"/>
      <c r="D166" s="152"/>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c r="AA166" s="153"/>
      <c r="AB166" s="153"/>
      <c r="AC166" s="153"/>
      <c r="AD166" s="153"/>
      <c r="AE166" s="153"/>
      <c r="AF166" s="153"/>
      <c r="AG166" s="153"/>
      <c r="AH166" s="153"/>
      <c r="AI166" s="153"/>
      <c r="AJ166" s="153"/>
      <c r="AK166" s="153"/>
      <c r="AL166" s="153"/>
      <c r="AM166" s="153"/>
      <c r="AN166" s="153"/>
      <c r="AO166" s="153"/>
      <c r="AP166" s="153"/>
      <c r="AQ166" s="153"/>
      <c r="AR166" s="153"/>
    </row>
    <row r="167" spans="1:44" ht="15.75" customHeight="1">
      <c r="A167" s="153"/>
      <c r="B167" s="153"/>
      <c r="C167" s="152"/>
      <c r="D167" s="152"/>
      <c r="E167" s="153"/>
      <c r="F167" s="153"/>
      <c r="G167" s="153"/>
      <c r="H167" s="153"/>
      <c r="I167" s="153"/>
      <c r="J167" s="153"/>
      <c r="K167" s="153"/>
      <c r="L167" s="153"/>
      <c r="M167" s="153"/>
      <c r="N167" s="153"/>
      <c r="O167" s="153"/>
      <c r="P167" s="153"/>
      <c r="Q167" s="153"/>
      <c r="R167" s="153"/>
      <c r="S167" s="153"/>
      <c r="T167" s="153"/>
      <c r="U167" s="153"/>
      <c r="V167" s="153"/>
      <c r="W167" s="153"/>
      <c r="X167" s="153"/>
      <c r="Y167" s="153"/>
      <c r="Z167" s="153"/>
      <c r="AA167" s="153"/>
      <c r="AB167" s="153"/>
      <c r="AC167" s="153"/>
      <c r="AD167" s="153"/>
      <c r="AE167" s="153"/>
      <c r="AF167" s="153"/>
      <c r="AG167" s="153"/>
      <c r="AH167" s="153"/>
      <c r="AI167" s="153"/>
      <c r="AJ167" s="153"/>
      <c r="AK167" s="153"/>
      <c r="AL167" s="153"/>
      <c r="AM167" s="153"/>
      <c r="AN167" s="153"/>
      <c r="AO167" s="153"/>
      <c r="AP167" s="153"/>
      <c r="AQ167" s="153"/>
      <c r="AR167" s="153"/>
    </row>
    <row r="168" spans="1:44" ht="15.75" customHeight="1">
      <c r="A168" s="153"/>
      <c r="B168" s="153"/>
      <c r="C168" s="152"/>
      <c r="D168" s="152"/>
      <c r="E168" s="153"/>
      <c r="F168" s="153"/>
      <c r="G168" s="153"/>
      <c r="H168" s="153"/>
      <c r="I168" s="153"/>
      <c r="J168" s="153"/>
      <c r="K168" s="153"/>
      <c r="L168" s="153"/>
      <c r="M168" s="153"/>
      <c r="N168" s="153"/>
      <c r="O168" s="153"/>
      <c r="P168" s="153"/>
      <c r="Q168" s="153"/>
      <c r="R168" s="153"/>
      <c r="S168" s="153"/>
      <c r="T168" s="153"/>
      <c r="U168" s="153"/>
      <c r="V168" s="153"/>
      <c r="W168" s="153"/>
      <c r="X168" s="153"/>
      <c r="Y168" s="153"/>
      <c r="Z168" s="153"/>
      <c r="AA168" s="153"/>
      <c r="AB168" s="153"/>
      <c r="AC168" s="153"/>
      <c r="AD168" s="153"/>
      <c r="AE168" s="153"/>
      <c r="AF168" s="153"/>
      <c r="AG168" s="153"/>
      <c r="AH168" s="153"/>
      <c r="AI168" s="153"/>
      <c r="AJ168" s="153"/>
      <c r="AK168" s="153"/>
      <c r="AL168" s="153"/>
      <c r="AM168" s="153"/>
      <c r="AN168" s="153"/>
      <c r="AO168" s="153"/>
      <c r="AP168" s="153"/>
      <c r="AQ168" s="153"/>
      <c r="AR168" s="153"/>
    </row>
    <row r="169" spans="1:44" ht="15.75" customHeight="1">
      <c r="A169" s="153"/>
      <c r="B169" s="153"/>
      <c r="C169" s="152"/>
      <c r="D169" s="152"/>
      <c r="E169" s="153"/>
      <c r="F169" s="153"/>
      <c r="G169" s="153"/>
      <c r="H169" s="153"/>
      <c r="I169" s="153"/>
      <c r="J169" s="153"/>
      <c r="K169" s="153"/>
      <c r="L169" s="153"/>
      <c r="M169" s="153"/>
      <c r="N169" s="153"/>
      <c r="O169" s="153"/>
      <c r="P169" s="153"/>
      <c r="Q169" s="153"/>
      <c r="R169" s="153"/>
      <c r="S169" s="153"/>
      <c r="T169" s="153"/>
      <c r="U169" s="153"/>
      <c r="V169" s="153"/>
      <c r="W169" s="153"/>
      <c r="X169" s="153"/>
      <c r="Y169" s="153"/>
      <c r="Z169" s="153"/>
      <c r="AA169" s="153"/>
      <c r="AB169" s="153"/>
      <c r="AC169" s="153"/>
      <c r="AD169" s="153"/>
      <c r="AE169" s="153"/>
      <c r="AF169" s="153"/>
      <c r="AG169" s="153"/>
      <c r="AH169" s="153"/>
      <c r="AI169" s="153"/>
      <c r="AJ169" s="153"/>
      <c r="AK169" s="153"/>
      <c r="AL169" s="153"/>
      <c r="AM169" s="153"/>
      <c r="AN169" s="153"/>
      <c r="AO169" s="153"/>
      <c r="AP169" s="153"/>
      <c r="AQ169" s="153"/>
      <c r="AR169" s="153"/>
    </row>
    <row r="170" spans="1:44" ht="15.75" customHeight="1">
      <c r="A170" s="153"/>
      <c r="B170" s="153"/>
      <c r="C170" s="152"/>
      <c r="D170" s="152"/>
      <c r="E170" s="153"/>
      <c r="F170" s="153"/>
      <c r="G170" s="153"/>
      <c r="H170" s="153"/>
      <c r="I170" s="153"/>
      <c r="J170" s="153"/>
      <c r="K170" s="153"/>
      <c r="L170" s="153"/>
      <c r="M170" s="153"/>
      <c r="N170" s="153"/>
      <c r="O170" s="153"/>
      <c r="P170" s="153"/>
      <c r="Q170" s="153"/>
      <c r="R170" s="153"/>
      <c r="S170" s="153"/>
      <c r="T170" s="153"/>
      <c r="U170" s="153"/>
      <c r="V170" s="153"/>
      <c r="W170" s="153"/>
      <c r="X170" s="153"/>
      <c r="Y170" s="153"/>
      <c r="Z170" s="153"/>
      <c r="AA170" s="153"/>
      <c r="AB170" s="153"/>
      <c r="AC170" s="153"/>
      <c r="AD170" s="153"/>
      <c r="AE170" s="153"/>
      <c r="AF170" s="153"/>
      <c r="AG170" s="153"/>
      <c r="AH170" s="153"/>
      <c r="AI170" s="153"/>
      <c r="AJ170" s="153"/>
      <c r="AK170" s="153"/>
      <c r="AL170" s="153"/>
      <c r="AM170" s="153"/>
      <c r="AN170" s="153"/>
      <c r="AO170" s="153"/>
      <c r="AP170" s="153"/>
      <c r="AQ170" s="153"/>
      <c r="AR170" s="153"/>
    </row>
    <row r="171" spans="1:44" ht="15.75" customHeight="1">
      <c r="A171" s="153"/>
      <c r="B171" s="153"/>
      <c r="C171" s="152"/>
      <c r="D171" s="152"/>
      <c r="E171" s="153"/>
      <c r="F171" s="153"/>
      <c r="G171" s="153"/>
      <c r="H171" s="153"/>
      <c r="I171" s="153"/>
      <c r="J171" s="153"/>
      <c r="K171" s="153"/>
      <c r="L171" s="153"/>
      <c r="M171" s="153"/>
      <c r="N171" s="153"/>
      <c r="O171" s="153"/>
      <c r="P171" s="153"/>
      <c r="Q171" s="153"/>
      <c r="R171" s="153"/>
      <c r="S171" s="153"/>
      <c r="T171" s="153"/>
      <c r="U171" s="153"/>
      <c r="V171" s="153"/>
      <c r="W171" s="153"/>
      <c r="X171" s="153"/>
      <c r="Y171" s="153"/>
      <c r="Z171" s="153"/>
      <c r="AA171" s="153"/>
      <c r="AB171" s="153"/>
      <c r="AC171" s="153"/>
      <c r="AD171" s="153"/>
      <c r="AE171" s="153"/>
      <c r="AF171" s="153"/>
      <c r="AG171" s="153"/>
      <c r="AH171" s="153"/>
      <c r="AI171" s="153"/>
      <c r="AJ171" s="153"/>
      <c r="AK171" s="153"/>
      <c r="AL171" s="153"/>
      <c r="AM171" s="153"/>
      <c r="AN171" s="153"/>
      <c r="AO171" s="153"/>
      <c r="AP171" s="153"/>
      <c r="AQ171" s="153"/>
      <c r="AR171" s="153"/>
    </row>
    <row r="172" spans="1:44" ht="15.75" customHeight="1">
      <c r="A172" s="153"/>
      <c r="B172" s="153"/>
      <c r="C172" s="152"/>
      <c r="D172" s="152"/>
      <c r="E172" s="153"/>
      <c r="F172" s="153"/>
      <c r="G172" s="153"/>
      <c r="H172" s="153"/>
      <c r="I172" s="153"/>
      <c r="J172" s="153"/>
      <c r="K172" s="153"/>
      <c r="L172" s="153"/>
      <c r="M172" s="153"/>
      <c r="N172" s="153"/>
      <c r="O172" s="153"/>
      <c r="P172" s="153"/>
      <c r="Q172" s="153"/>
      <c r="R172" s="153"/>
      <c r="S172" s="153"/>
      <c r="T172" s="153"/>
      <c r="U172" s="153"/>
      <c r="V172" s="153"/>
      <c r="W172" s="153"/>
      <c r="X172" s="153"/>
      <c r="Y172" s="153"/>
      <c r="Z172" s="153"/>
      <c r="AA172" s="153"/>
      <c r="AB172" s="153"/>
      <c r="AC172" s="153"/>
      <c r="AD172" s="153"/>
      <c r="AE172" s="153"/>
      <c r="AF172" s="153"/>
      <c r="AG172" s="153"/>
      <c r="AH172" s="153"/>
      <c r="AI172" s="153"/>
      <c r="AJ172" s="153"/>
      <c r="AK172" s="153"/>
      <c r="AL172" s="153"/>
      <c r="AM172" s="153"/>
      <c r="AN172" s="153"/>
      <c r="AO172" s="153"/>
      <c r="AP172" s="153"/>
      <c r="AQ172" s="153"/>
      <c r="AR172" s="153"/>
    </row>
    <row r="173" spans="1:44" ht="15.75" customHeight="1">
      <c r="A173" s="153"/>
      <c r="B173" s="153"/>
      <c r="C173" s="152"/>
      <c r="D173" s="152"/>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c r="AA173" s="153"/>
      <c r="AB173" s="153"/>
      <c r="AC173" s="153"/>
      <c r="AD173" s="153"/>
      <c r="AE173" s="153"/>
      <c r="AF173" s="153"/>
      <c r="AG173" s="153"/>
      <c r="AH173" s="153"/>
      <c r="AI173" s="153"/>
      <c r="AJ173" s="153"/>
      <c r="AK173" s="153"/>
      <c r="AL173" s="153"/>
      <c r="AM173" s="153"/>
      <c r="AN173" s="153"/>
      <c r="AO173" s="153"/>
      <c r="AP173" s="153"/>
      <c r="AQ173" s="153"/>
      <c r="AR173" s="153"/>
    </row>
    <row r="174" spans="1:44" ht="15.75" customHeight="1">
      <c r="A174" s="153"/>
      <c r="B174" s="153"/>
      <c r="C174" s="152"/>
      <c r="D174" s="152"/>
      <c r="E174" s="153"/>
      <c r="F174" s="153"/>
      <c r="G174" s="153"/>
      <c r="H174" s="153"/>
      <c r="I174" s="153"/>
      <c r="J174" s="153"/>
      <c r="K174" s="153"/>
      <c r="L174" s="153"/>
      <c r="M174" s="153"/>
      <c r="N174" s="153"/>
      <c r="O174" s="153"/>
      <c r="P174" s="153"/>
      <c r="Q174" s="153"/>
      <c r="R174" s="153"/>
      <c r="S174" s="153"/>
      <c r="T174" s="153"/>
      <c r="U174" s="153"/>
      <c r="V174" s="153"/>
      <c r="W174" s="153"/>
      <c r="X174" s="153"/>
      <c r="Y174" s="153"/>
      <c r="Z174" s="153"/>
      <c r="AA174" s="153"/>
      <c r="AB174" s="153"/>
      <c r="AC174" s="153"/>
      <c r="AD174" s="153"/>
      <c r="AE174" s="153"/>
      <c r="AF174" s="153"/>
      <c r="AG174" s="153"/>
      <c r="AH174" s="153"/>
      <c r="AI174" s="153"/>
      <c r="AJ174" s="153"/>
      <c r="AK174" s="153"/>
      <c r="AL174" s="153"/>
      <c r="AM174" s="153"/>
      <c r="AN174" s="153"/>
      <c r="AO174" s="153"/>
      <c r="AP174" s="153"/>
      <c r="AQ174" s="153"/>
      <c r="AR174" s="153"/>
    </row>
    <row r="175" spans="1:44" ht="15.75" customHeight="1">
      <c r="A175" s="153"/>
      <c r="B175" s="153"/>
      <c r="C175" s="152"/>
      <c r="D175" s="152"/>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c r="AA175" s="153"/>
      <c r="AB175" s="153"/>
      <c r="AC175" s="153"/>
      <c r="AD175" s="153"/>
      <c r="AE175" s="153"/>
      <c r="AF175" s="153"/>
      <c r="AG175" s="153"/>
      <c r="AH175" s="153"/>
      <c r="AI175" s="153"/>
      <c r="AJ175" s="153"/>
      <c r="AK175" s="153"/>
      <c r="AL175" s="153"/>
      <c r="AM175" s="153"/>
      <c r="AN175" s="153"/>
      <c r="AO175" s="153"/>
      <c r="AP175" s="153"/>
      <c r="AQ175" s="153"/>
      <c r="AR175" s="153"/>
    </row>
    <row r="176" spans="1:44" ht="15.75" customHeight="1">
      <c r="A176" s="153"/>
      <c r="B176" s="153"/>
      <c r="C176" s="152"/>
      <c r="D176" s="152"/>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c r="AA176" s="153"/>
      <c r="AB176" s="153"/>
      <c r="AC176" s="153"/>
      <c r="AD176" s="153"/>
      <c r="AE176" s="153"/>
      <c r="AF176" s="153"/>
      <c r="AG176" s="153"/>
      <c r="AH176" s="153"/>
      <c r="AI176" s="153"/>
      <c r="AJ176" s="153"/>
      <c r="AK176" s="153"/>
      <c r="AL176" s="153"/>
      <c r="AM176" s="153"/>
      <c r="AN176" s="153"/>
      <c r="AO176" s="153"/>
      <c r="AP176" s="153"/>
      <c r="AQ176" s="153"/>
      <c r="AR176" s="153"/>
    </row>
    <row r="177" spans="1:44" ht="15.75" customHeight="1">
      <c r="A177" s="153"/>
      <c r="B177" s="153"/>
      <c r="C177" s="152"/>
      <c r="D177" s="152"/>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53"/>
      <c r="AA177" s="153"/>
      <c r="AB177" s="153"/>
      <c r="AC177" s="153"/>
      <c r="AD177" s="153"/>
      <c r="AE177" s="153"/>
      <c r="AF177" s="153"/>
      <c r="AG177" s="153"/>
      <c r="AH177" s="153"/>
      <c r="AI177" s="153"/>
      <c r="AJ177" s="153"/>
      <c r="AK177" s="153"/>
      <c r="AL177" s="153"/>
      <c r="AM177" s="153"/>
      <c r="AN177" s="153"/>
      <c r="AO177" s="153"/>
      <c r="AP177" s="153"/>
      <c r="AQ177" s="153"/>
      <c r="AR177" s="153"/>
    </row>
    <row r="178" spans="1:44" ht="15.75" customHeight="1">
      <c r="A178" s="153"/>
      <c r="B178" s="153"/>
      <c r="C178" s="152"/>
      <c r="D178" s="152"/>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c r="AA178" s="153"/>
      <c r="AB178" s="153"/>
      <c r="AC178" s="153"/>
      <c r="AD178" s="153"/>
      <c r="AE178" s="153"/>
      <c r="AF178" s="153"/>
      <c r="AG178" s="153"/>
      <c r="AH178" s="153"/>
      <c r="AI178" s="153"/>
      <c r="AJ178" s="153"/>
      <c r="AK178" s="153"/>
      <c r="AL178" s="153"/>
      <c r="AM178" s="153"/>
      <c r="AN178" s="153"/>
      <c r="AO178" s="153"/>
      <c r="AP178" s="153"/>
      <c r="AQ178" s="153"/>
      <c r="AR178" s="153"/>
    </row>
    <row r="179" spans="1:44" ht="15.75" customHeight="1">
      <c r="A179" s="153"/>
      <c r="B179" s="153"/>
      <c r="C179" s="152"/>
      <c r="D179" s="152"/>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c r="AA179" s="153"/>
      <c r="AB179" s="153"/>
      <c r="AC179" s="153"/>
      <c r="AD179" s="153"/>
      <c r="AE179" s="153"/>
      <c r="AF179" s="153"/>
      <c r="AG179" s="153"/>
      <c r="AH179" s="153"/>
      <c r="AI179" s="153"/>
      <c r="AJ179" s="153"/>
      <c r="AK179" s="153"/>
      <c r="AL179" s="153"/>
      <c r="AM179" s="153"/>
      <c r="AN179" s="153"/>
      <c r="AO179" s="153"/>
      <c r="AP179" s="153"/>
      <c r="AQ179" s="153"/>
      <c r="AR179" s="153"/>
    </row>
    <row r="180" spans="1:44" ht="15.75" customHeight="1">
      <c r="A180" s="153"/>
      <c r="B180" s="153"/>
      <c r="C180" s="152"/>
      <c r="D180" s="152"/>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c r="AA180" s="153"/>
      <c r="AB180" s="153"/>
      <c r="AC180" s="153"/>
      <c r="AD180" s="153"/>
      <c r="AE180" s="153"/>
      <c r="AF180" s="153"/>
      <c r="AG180" s="153"/>
      <c r="AH180" s="153"/>
      <c r="AI180" s="153"/>
      <c r="AJ180" s="153"/>
      <c r="AK180" s="153"/>
      <c r="AL180" s="153"/>
      <c r="AM180" s="153"/>
      <c r="AN180" s="153"/>
      <c r="AO180" s="153"/>
      <c r="AP180" s="153"/>
      <c r="AQ180" s="153"/>
      <c r="AR180" s="153"/>
    </row>
    <row r="181" spans="1:44" ht="15.75" customHeight="1">
      <c r="A181" s="153"/>
      <c r="B181" s="153"/>
      <c r="C181" s="152"/>
      <c r="D181" s="152"/>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c r="AA181" s="153"/>
      <c r="AB181" s="153"/>
      <c r="AC181" s="153"/>
      <c r="AD181" s="153"/>
      <c r="AE181" s="153"/>
      <c r="AF181" s="153"/>
      <c r="AG181" s="153"/>
      <c r="AH181" s="153"/>
      <c r="AI181" s="153"/>
      <c r="AJ181" s="153"/>
      <c r="AK181" s="153"/>
      <c r="AL181" s="153"/>
      <c r="AM181" s="153"/>
      <c r="AN181" s="153"/>
      <c r="AO181" s="153"/>
      <c r="AP181" s="153"/>
      <c r="AQ181" s="153"/>
      <c r="AR181" s="153"/>
    </row>
    <row r="182" spans="1:44" ht="15.75" customHeight="1">
      <c r="A182" s="153"/>
      <c r="B182" s="153"/>
      <c r="C182" s="152"/>
      <c r="D182" s="152"/>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c r="AA182" s="153"/>
      <c r="AB182" s="153"/>
      <c r="AC182" s="153"/>
      <c r="AD182" s="153"/>
      <c r="AE182" s="153"/>
      <c r="AF182" s="153"/>
      <c r="AG182" s="153"/>
      <c r="AH182" s="153"/>
      <c r="AI182" s="153"/>
      <c r="AJ182" s="153"/>
      <c r="AK182" s="153"/>
      <c r="AL182" s="153"/>
      <c r="AM182" s="153"/>
      <c r="AN182" s="153"/>
      <c r="AO182" s="153"/>
      <c r="AP182" s="153"/>
      <c r="AQ182" s="153"/>
      <c r="AR182" s="153"/>
    </row>
    <row r="183" spans="1:44" ht="15.75" customHeight="1">
      <c r="A183" s="153"/>
      <c r="B183" s="153"/>
      <c r="C183" s="152"/>
      <c r="D183" s="152"/>
      <c r="E183" s="153"/>
      <c r="F183" s="153"/>
      <c r="G183" s="153"/>
      <c r="H183" s="153"/>
      <c r="I183" s="153"/>
      <c r="J183" s="153"/>
      <c r="K183" s="153"/>
      <c r="L183" s="153"/>
      <c r="M183" s="153"/>
      <c r="N183" s="153"/>
      <c r="O183" s="153"/>
      <c r="P183" s="153"/>
      <c r="Q183" s="153"/>
      <c r="R183" s="153"/>
      <c r="S183" s="153"/>
      <c r="T183" s="153"/>
      <c r="U183" s="153"/>
      <c r="V183" s="153"/>
      <c r="W183" s="153"/>
      <c r="X183" s="153"/>
      <c r="Y183" s="153"/>
      <c r="Z183" s="153"/>
      <c r="AA183" s="153"/>
      <c r="AB183" s="153"/>
      <c r="AC183" s="153"/>
      <c r="AD183" s="153"/>
      <c r="AE183" s="153"/>
      <c r="AF183" s="153"/>
      <c r="AG183" s="153"/>
      <c r="AH183" s="153"/>
      <c r="AI183" s="153"/>
      <c r="AJ183" s="153"/>
      <c r="AK183" s="153"/>
      <c r="AL183" s="153"/>
      <c r="AM183" s="153"/>
      <c r="AN183" s="153"/>
      <c r="AO183" s="153"/>
      <c r="AP183" s="153"/>
      <c r="AQ183" s="153"/>
      <c r="AR183" s="153"/>
    </row>
    <row r="184" spans="1:44" ht="15.75" customHeight="1">
      <c r="A184" s="153"/>
      <c r="B184" s="153"/>
      <c r="C184" s="152"/>
      <c r="D184" s="152"/>
      <c r="E184" s="153"/>
      <c r="F184" s="153"/>
      <c r="G184" s="153"/>
      <c r="H184" s="153"/>
      <c r="I184" s="153"/>
      <c r="J184" s="153"/>
      <c r="K184" s="153"/>
      <c r="L184" s="153"/>
      <c r="M184" s="153"/>
      <c r="N184" s="153"/>
      <c r="O184" s="153"/>
      <c r="P184" s="153"/>
      <c r="Q184" s="153"/>
      <c r="R184" s="153"/>
      <c r="S184" s="153"/>
      <c r="T184" s="153"/>
      <c r="U184" s="153"/>
      <c r="V184" s="153"/>
      <c r="W184" s="153"/>
      <c r="X184" s="153"/>
      <c r="Y184" s="153"/>
      <c r="Z184" s="153"/>
      <c r="AA184" s="153"/>
      <c r="AB184" s="153"/>
      <c r="AC184" s="153"/>
      <c r="AD184" s="153"/>
      <c r="AE184" s="153"/>
      <c r="AF184" s="153"/>
      <c r="AG184" s="153"/>
      <c r="AH184" s="153"/>
      <c r="AI184" s="153"/>
      <c r="AJ184" s="153"/>
      <c r="AK184" s="153"/>
      <c r="AL184" s="153"/>
      <c r="AM184" s="153"/>
      <c r="AN184" s="153"/>
      <c r="AO184" s="153"/>
      <c r="AP184" s="153"/>
      <c r="AQ184" s="153"/>
      <c r="AR184" s="153"/>
    </row>
    <row r="185" spans="1:44" ht="15.75" customHeight="1">
      <c r="A185" s="153"/>
      <c r="B185" s="153"/>
      <c r="C185" s="152"/>
      <c r="D185" s="152"/>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53"/>
      <c r="AA185" s="153"/>
      <c r="AB185" s="153"/>
      <c r="AC185" s="153"/>
      <c r="AD185" s="153"/>
      <c r="AE185" s="153"/>
      <c r="AF185" s="153"/>
      <c r="AG185" s="153"/>
      <c r="AH185" s="153"/>
      <c r="AI185" s="153"/>
      <c r="AJ185" s="153"/>
      <c r="AK185" s="153"/>
      <c r="AL185" s="153"/>
      <c r="AM185" s="153"/>
      <c r="AN185" s="153"/>
      <c r="AO185" s="153"/>
      <c r="AP185" s="153"/>
      <c r="AQ185" s="153"/>
      <c r="AR185" s="153"/>
    </row>
    <row r="186" spans="1:44" ht="15.75" customHeight="1">
      <c r="A186" s="153"/>
      <c r="B186" s="153"/>
      <c r="C186" s="152"/>
      <c r="D186" s="152"/>
      <c r="E186" s="153"/>
      <c r="F186" s="153"/>
      <c r="G186" s="153"/>
      <c r="H186" s="153"/>
      <c r="I186" s="153"/>
      <c r="J186" s="153"/>
      <c r="K186" s="153"/>
      <c r="L186" s="153"/>
      <c r="M186" s="153"/>
      <c r="N186" s="153"/>
      <c r="O186" s="153"/>
      <c r="P186" s="153"/>
      <c r="Q186" s="153"/>
      <c r="R186" s="153"/>
      <c r="S186" s="153"/>
      <c r="T186" s="153"/>
      <c r="U186" s="153"/>
      <c r="V186" s="153"/>
      <c r="W186" s="153"/>
      <c r="X186" s="153"/>
      <c r="Y186" s="153"/>
      <c r="Z186" s="153"/>
      <c r="AA186" s="153"/>
      <c r="AB186" s="153"/>
      <c r="AC186" s="153"/>
      <c r="AD186" s="153"/>
      <c r="AE186" s="153"/>
      <c r="AF186" s="153"/>
      <c r="AG186" s="153"/>
      <c r="AH186" s="153"/>
      <c r="AI186" s="153"/>
      <c r="AJ186" s="153"/>
      <c r="AK186" s="153"/>
      <c r="AL186" s="153"/>
      <c r="AM186" s="153"/>
      <c r="AN186" s="153"/>
      <c r="AO186" s="153"/>
      <c r="AP186" s="153"/>
      <c r="AQ186" s="153"/>
      <c r="AR186" s="153"/>
    </row>
    <row r="187" spans="1:44" ht="15.75" customHeight="1">
      <c r="A187" s="153"/>
      <c r="B187" s="153"/>
      <c r="C187" s="152"/>
      <c r="D187" s="152"/>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c r="AA187" s="153"/>
      <c r="AB187" s="153"/>
      <c r="AC187" s="153"/>
      <c r="AD187" s="153"/>
      <c r="AE187" s="153"/>
      <c r="AF187" s="153"/>
      <c r="AG187" s="153"/>
      <c r="AH187" s="153"/>
      <c r="AI187" s="153"/>
      <c r="AJ187" s="153"/>
      <c r="AK187" s="153"/>
      <c r="AL187" s="153"/>
      <c r="AM187" s="153"/>
      <c r="AN187" s="153"/>
      <c r="AO187" s="153"/>
      <c r="AP187" s="153"/>
      <c r="AQ187" s="153"/>
      <c r="AR187" s="153"/>
    </row>
    <row r="188" spans="1:44" ht="15.75" customHeight="1">
      <c r="A188" s="153"/>
      <c r="B188" s="153"/>
      <c r="C188" s="152"/>
      <c r="D188" s="152"/>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c r="AA188" s="153"/>
      <c r="AB188" s="153"/>
      <c r="AC188" s="153"/>
      <c r="AD188" s="153"/>
      <c r="AE188" s="153"/>
      <c r="AF188" s="153"/>
      <c r="AG188" s="153"/>
      <c r="AH188" s="153"/>
      <c r="AI188" s="153"/>
      <c r="AJ188" s="153"/>
      <c r="AK188" s="153"/>
      <c r="AL188" s="153"/>
      <c r="AM188" s="153"/>
      <c r="AN188" s="153"/>
      <c r="AO188" s="153"/>
      <c r="AP188" s="153"/>
      <c r="AQ188" s="153"/>
      <c r="AR188" s="153"/>
    </row>
    <row r="189" spans="1:44" ht="15.75" customHeight="1">
      <c r="A189" s="153"/>
      <c r="B189" s="153"/>
      <c r="C189" s="152"/>
      <c r="D189" s="152"/>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c r="AA189" s="153"/>
      <c r="AB189" s="153"/>
      <c r="AC189" s="153"/>
      <c r="AD189" s="153"/>
      <c r="AE189" s="153"/>
      <c r="AF189" s="153"/>
      <c r="AG189" s="153"/>
      <c r="AH189" s="153"/>
      <c r="AI189" s="153"/>
      <c r="AJ189" s="153"/>
      <c r="AK189" s="153"/>
      <c r="AL189" s="153"/>
      <c r="AM189" s="153"/>
      <c r="AN189" s="153"/>
      <c r="AO189" s="153"/>
      <c r="AP189" s="153"/>
      <c r="AQ189" s="153"/>
      <c r="AR189" s="153"/>
    </row>
    <row r="190" spans="1:44" ht="15.75" customHeight="1">
      <c r="A190" s="153"/>
      <c r="B190" s="153"/>
      <c r="C190" s="152"/>
      <c r="D190" s="152"/>
      <c r="E190" s="153"/>
      <c r="F190" s="153"/>
      <c r="G190" s="153"/>
      <c r="H190" s="153"/>
      <c r="I190" s="153"/>
      <c r="J190" s="153"/>
      <c r="K190" s="153"/>
      <c r="L190" s="153"/>
      <c r="M190" s="153"/>
      <c r="N190" s="153"/>
      <c r="O190" s="153"/>
      <c r="P190" s="153"/>
      <c r="Q190" s="153"/>
      <c r="R190" s="153"/>
      <c r="S190" s="153"/>
      <c r="T190" s="153"/>
      <c r="U190" s="153"/>
      <c r="V190" s="153"/>
      <c r="W190" s="153"/>
      <c r="X190" s="153"/>
      <c r="Y190" s="153"/>
      <c r="Z190" s="153"/>
      <c r="AA190" s="153"/>
      <c r="AB190" s="153"/>
      <c r="AC190" s="153"/>
      <c r="AD190" s="153"/>
      <c r="AE190" s="153"/>
      <c r="AF190" s="153"/>
      <c r="AG190" s="153"/>
      <c r="AH190" s="153"/>
      <c r="AI190" s="153"/>
      <c r="AJ190" s="153"/>
      <c r="AK190" s="153"/>
      <c r="AL190" s="153"/>
      <c r="AM190" s="153"/>
      <c r="AN190" s="153"/>
      <c r="AO190" s="153"/>
      <c r="AP190" s="153"/>
      <c r="AQ190" s="153"/>
      <c r="AR190" s="153"/>
    </row>
    <row r="191" spans="1:44" ht="15.75" customHeight="1">
      <c r="A191" s="153"/>
      <c r="B191" s="153"/>
      <c r="C191" s="152"/>
      <c r="D191" s="152"/>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c r="AA191" s="153"/>
      <c r="AB191" s="153"/>
      <c r="AC191" s="153"/>
      <c r="AD191" s="153"/>
      <c r="AE191" s="153"/>
      <c r="AF191" s="153"/>
      <c r="AG191" s="153"/>
      <c r="AH191" s="153"/>
      <c r="AI191" s="153"/>
      <c r="AJ191" s="153"/>
      <c r="AK191" s="153"/>
      <c r="AL191" s="153"/>
      <c r="AM191" s="153"/>
      <c r="AN191" s="153"/>
      <c r="AO191" s="153"/>
      <c r="AP191" s="153"/>
      <c r="AQ191" s="153"/>
      <c r="AR191" s="153"/>
    </row>
    <row r="192" spans="1:44" ht="15.75" customHeight="1">
      <c r="A192" s="153"/>
      <c r="B192" s="153"/>
      <c r="C192" s="152"/>
      <c r="D192" s="152"/>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c r="AA192" s="153"/>
      <c r="AB192" s="153"/>
      <c r="AC192" s="153"/>
      <c r="AD192" s="153"/>
      <c r="AE192" s="153"/>
      <c r="AF192" s="153"/>
      <c r="AG192" s="153"/>
      <c r="AH192" s="153"/>
      <c r="AI192" s="153"/>
      <c r="AJ192" s="153"/>
      <c r="AK192" s="153"/>
      <c r="AL192" s="153"/>
      <c r="AM192" s="153"/>
      <c r="AN192" s="153"/>
      <c r="AO192" s="153"/>
      <c r="AP192" s="153"/>
      <c r="AQ192" s="153"/>
      <c r="AR192" s="153"/>
    </row>
    <row r="193" spans="1:44" ht="15.75" customHeight="1">
      <c r="A193" s="153"/>
      <c r="B193" s="153"/>
      <c r="C193" s="152"/>
      <c r="D193" s="152"/>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c r="AA193" s="153"/>
      <c r="AB193" s="153"/>
      <c r="AC193" s="153"/>
      <c r="AD193" s="153"/>
      <c r="AE193" s="153"/>
      <c r="AF193" s="153"/>
      <c r="AG193" s="153"/>
      <c r="AH193" s="153"/>
      <c r="AI193" s="153"/>
      <c r="AJ193" s="153"/>
      <c r="AK193" s="153"/>
      <c r="AL193" s="153"/>
      <c r="AM193" s="153"/>
      <c r="AN193" s="153"/>
      <c r="AO193" s="153"/>
      <c r="AP193" s="153"/>
      <c r="AQ193" s="153"/>
      <c r="AR193" s="153"/>
    </row>
    <row r="194" spans="1:44" ht="15.75" customHeight="1">
      <c r="A194" s="153"/>
      <c r="B194" s="153"/>
      <c r="C194" s="152"/>
      <c r="D194" s="152"/>
      <c r="E194" s="153"/>
      <c r="F194" s="153"/>
      <c r="G194" s="153"/>
      <c r="H194" s="153"/>
      <c r="I194" s="153"/>
      <c r="J194" s="153"/>
      <c r="K194" s="153"/>
      <c r="L194" s="153"/>
      <c r="M194" s="153"/>
      <c r="N194" s="153"/>
      <c r="O194" s="153"/>
      <c r="P194" s="153"/>
      <c r="Q194" s="153"/>
      <c r="R194" s="153"/>
      <c r="S194" s="153"/>
      <c r="T194" s="153"/>
      <c r="U194" s="153"/>
      <c r="V194" s="153"/>
      <c r="W194" s="153"/>
      <c r="X194" s="153"/>
      <c r="Y194" s="153"/>
      <c r="Z194" s="153"/>
      <c r="AA194" s="153"/>
      <c r="AB194" s="153"/>
      <c r="AC194" s="153"/>
      <c r="AD194" s="153"/>
      <c r="AE194" s="153"/>
      <c r="AF194" s="153"/>
      <c r="AG194" s="153"/>
      <c r="AH194" s="153"/>
      <c r="AI194" s="153"/>
      <c r="AJ194" s="153"/>
      <c r="AK194" s="153"/>
      <c r="AL194" s="153"/>
      <c r="AM194" s="153"/>
      <c r="AN194" s="153"/>
      <c r="AO194" s="153"/>
      <c r="AP194" s="153"/>
      <c r="AQ194" s="153"/>
      <c r="AR194" s="153"/>
    </row>
    <row r="195" spans="1:44" ht="15.75" customHeight="1">
      <c r="A195" s="153"/>
      <c r="B195" s="153"/>
      <c r="C195" s="152"/>
      <c r="D195" s="152"/>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c r="AA195" s="153"/>
      <c r="AB195" s="153"/>
      <c r="AC195" s="153"/>
      <c r="AD195" s="153"/>
      <c r="AE195" s="153"/>
      <c r="AF195" s="153"/>
      <c r="AG195" s="153"/>
      <c r="AH195" s="153"/>
      <c r="AI195" s="153"/>
      <c r="AJ195" s="153"/>
      <c r="AK195" s="153"/>
      <c r="AL195" s="153"/>
      <c r="AM195" s="153"/>
      <c r="AN195" s="153"/>
      <c r="AO195" s="153"/>
      <c r="AP195" s="153"/>
      <c r="AQ195" s="153"/>
      <c r="AR195" s="153"/>
    </row>
    <row r="196" spans="1:44" ht="15.75" customHeight="1">
      <c r="A196" s="153"/>
      <c r="B196" s="153"/>
      <c r="C196" s="152"/>
      <c r="D196" s="152"/>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c r="AA196" s="153"/>
      <c r="AB196" s="153"/>
      <c r="AC196" s="153"/>
      <c r="AD196" s="153"/>
      <c r="AE196" s="153"/>
      <c r="AF196" s="153"/>
      <c r="AG196" s="153"/>
      <c r="AH196" s="153"/>
      <c r="AI196" s="153"/>
      <c r="AJ196" s="153"/>
      <c r="AK196" s="153"/>
      <c r="AL196" s="153"/>
      <c r="AM196" s="153"/>
      <c r="AN196" s="153"/>
      <c r="AO196" s="153"/>
      <c r="AP196" s="153"/>
      <c r="AQ196" s="153"/>
      <c r="AR196" s="153"/>
    </row>
    <row r="197" spans="1:44" ht="15.75" customHeight="1">
      <c r="A197" s="153"/>
      <c r="B197" s="153"/>
      <c r="C197" s="152"/>
      <c r="D197" s="152"/>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c r="AA197" s="153"/>
      <c r="AB197" s="153"/>
      <c r="AC197" s="153"/>
      <c r="AD197" s="153"/>
      <c r="AE197" s="153"/>
      <c r="AF197" s="153"/>
      <c r="AG197" s="153"/>
      <c r="AH197" s="153"/>
      <c r="AI197" s="153"/>
      <c r="AJ197" s="153"/>
      <c r="AK197" s="153"/>
      <c r="AL197" s="153"/>
      <c r="AM197" s="153"/>
      <c r="AN197" s="153"/>
      <c r="AO197" s="153"/>
      <c r="AP197" s="153"/>
      <c r="AQ197" s="153"/>
      <c r="AR197" s="153"/>
    </row>
    <row r="198" spans="1:44" ht="15.75" customHeight="1">
      <c r="A198" s="153"/>
      <c r="B198" s="153"/>
      <c r="C198" s="152"/>
      <c r="D198" s="152"/>
      <c r="E198" s="153"/>
      <c r="F198" s="153"/>
      <c r="G198" s="153"/>
      <c r="H198" s="153"/>
      <c r="I198" s="153"/>
      <c r="J198" s="153"/>
      <c r="K198" s="153"/>
      <c r="L198" s="153"/>
      <c r="M198" s="153"/>
      <c r="N198" s="153"/>
      <c r="O198" s="153"/>
      <c r="P198" s="153"/>
      <c r="Q198" s="153"/>
      <c r="R198" s="153"/>
      <c r="S198" s="153"/>
      <c r="T198" s="153"/>
      <c r="U198" s="153"/>
      <c r="V198" s="153"/>
      <c r="W198" s="153"/>
      <c r="X198" s="153"/>
      <c r="Y198" s="153"/>
      <c r="Z198" s="153"/>
      <c r="AA198" s="153"/>
      <c r="AB198" s="153"/>
      <c r="AC198" s="153"/>
      <c r="AD198" s="153"/>
      <c r="AE198" s="153"/>
      <c r="AF198" s="153"/>
      <c r="AG198" s="153"/>
      <c r="AH198" s="153"/>
      <c r="AI198" s="153"/>
      <c r="AJ198" s="153"/>
      <c r="AK198" s="153"/>
      <c r="AL198" s="153"/>
      <c r="AM198" s="153"/>
      <c r="AN198" s="153"/>
      <c r="AO198" s="153"/>
      <c r="AP198" s="153"/>
      <c r="AQ198" s="153"/>
      <c r="AR198" s="153"/>
    </row>
    <row r="199" spans="1:44" ht="15.75" customHeight="1">
      <c r="A199" s="153"/>
      <c r="B199" s="153"/>
      <c r="C199" s="152"/>
      <c r="D199" s="152"/>
      <c r="E199" s="153"/>
      <c r="F199" s="153"/>
      <c r="G199" s="153"/>
      <c r="H199" s="153"/>
      <c r="I199" s="153"/>
      <c r="J199" s="153"/>
      <c r="K199" s="153"/>
      <c r="L199" s="153"/>
      <c r="M199" s="153"/>
      <c r="N199" s="153"/>
      <c r="O199" s="153"/>
      <c r="P199" s="153"/>
      <c r="Q199" s="153"/>
      <c r="R199" s="153"/>
      <c r="S199" s="153"/>
      <c r="T199" s="153"/>
      <c r="U199" s="153"/>
      <c r="V199" s="153"/>
      <c r="W199" s="153"/>
      <c r="X199" s="153"/>
      <c r="Y199" s="153"/>
      <c r="Z199" s="153"/>
      <c r="AA199" s="153"/>
      <c r="AB199" s="153"/>
      <c r="AC199" s="153"/>
      <c r="AD199" s="153"/>
      <c r="AE199" s="153"/>
      <c r="AF199" s="153"/>
      <c r="AG199" s="153"/>
      <c r="AH199" s="153"/>
      <c r="AI199" s="153"/>
      <c r="AJ199" s="153"/>
      <c r="AK199" s="153"/>
      <c r="AL199" s="153"/>
      <c r="AM199" s="153"/>
      <c r="AN199" s="153"/>
      <c r="AO199" s="153"/>
      <c r="AP199" s="153"/>
      <c r="AQ199" s="153"/>
      <c r="AR199" s="153"/>
    </row>
    <row r="200" spans="1:44" ht="15.75" customHeight="1">
      <c r="A200" s="153"/>
      <c r="B200" s="153"/>
      <c r="C200" s="152"/>
      <c r="D200" s="152"/>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c r="AA200" s="153"/>
      <c r="AB200" s="153"/>
      <c r="AC200" s="153"/>
      <c r="AD200" s="153"/>
      <c r="AE200" s="153"/>
      <c r="AF200" s="153"/>
      <c r="AG200" s="153"/>
      <c r="AH200" s="153"/>
      <c r="AI200" s="153"/>
      <c r="AJ200" s="153"/>
      <c r="AK200" s="153"/>
      <c r="AL200" s="153"/>
      <c r="AM200" s="153"/>
      <c r="AN200" s="153"/>
      <c r="AO200" s="153"/>
      <c r="AP200" s="153"/>
      <c r="AQ200" s="153"/>
      <c r="AR200" s="153"/>
    </row>
    <row r="201" spans="1:44" ht="15.75" customHeight="1">
      <c r="A201" s="153"/>
      <c r="B201" s="153"/>
      <c r="C201" s="152"/>
      <c r="D201" s="152"/>
      <c r="E201" s="153"/>
      <c r="F201" s="153"/>
      <c r="G201" s="153"/>
      <c r="H201" s="153"/>
      <c r="I201" s="153"/>
      <c r="J201" s="153"/>
      <c r="K201" s="153"/>
      <c r="L201" s="153"/>
      <c r="M201" s="153"/>
      <c r="N201" s="153"/>
      <c r="O201" s="153"/>
      <c r="P201" s="153"/>
      <c r="Q201" s="153"/>
      <c r="R201" s="153"/>
      <c r="S201" s="153"/>
      <c r="T201" s="153"/>
      <c r="U201" s="153"/>
      <c r="V201" s="153"/>
      <c r="W201" s="153"/>
      <c r="X201" s="153"/>
      <c r="Y201" s="153"/>
      <c r="Z201" s="153"/>
      <c r="AA201" s="153"/>
      <c r="AB201" s="153"/>
      <c r="AC201" s="153"/>
      <c r="AD201" s="153"/>
      <c r="AE201" s="153"/>
      <c r="AF201" s="153"/>
      <c r="AG201" s="153"/>
      <c r="AH201" s="153"/>
      <c r="AI201" s="153"/>
      <c r="AJ201" s="153"/>
      <c r="AK201" s="153"/>
      <c r="AL201" s="153"/>
      <c r="AM201" s="153"/>
      <c r="AN201" s="153"/>
      <c r="AO201" s="153"/>
      <c r="AP201" s="153"/>
      <c r="AQ201" s="153"/>
      <c r="AR201" s="153"/>
    </row>
    <row r="202" spans="1:44" ht="15.75" customHeight="1">
      <c r="A202" s="153"/>
      <c r="B202" s="153"/>
      <c r="C202" s="152"/>
      <c r="D202" s="152"/>
      <c r="E202" s="153"/>
      <c r="F202" s="153"/>
      <c r="G202" s="153"/>
      <c r="H202" s="153"/>
      <c r="I202" s="153"/>
      <c r="J202" s="153"/>
      <c r="K202" s="153"/>
      <c r="L202" s="153"/>
      <c r="M202" s="153"/>
      <c r="N202" s="153"/>
      <c r="O202" s="153"/>
      <c r="P202" s="153"/>
      <c r="Q202" s="153"/>
      <c r="R202" s="153"/>
      <c r="S202" s="153"/>
      <c r="T202" s="153"/>
      <c r="U202" s="153"/>
      <c r="V202" s="153"/>
      <c r="W202" s="153"/>
      <c r="X202" s="153"/>
      <c r="Y202" s="153"/>
      <c r="Z202" s="153"/>
      <c r="AA202" s="153"/>
      <c r="AB202" s="153"/>
      <c r="AC202" s="153"/>
      <c r="AD202" s="153"/>
      <c r="AE202" s="153"/>
      <c r="AF202" s="153"/>
      <c r="AG202" s="153"/>
      <c r="AH202" s="153"/>
      <c r="AI202" s="153"/>
      <c r="AJ202" s="153"/>
      <c r="AK202" s="153"/>
      <c r="AL202" s="153"/>
      <c r="AM202" s="153"/>
      <c r="AN202" s="153"/>
      <c r="AO202" s="153"/>
      <c r="AP202" s="153"/>
      <c r="AQ202" s="153"/>
      <c r="AR202" s="153"/>
    </row>
    <row r="203" spans="1:44" ht="15.75" customHeight="1">
      <c r="A203" s="153"/>
      <c r="B203" s="153"/>
      <c r="C203" s="152"/>
      <c r="D203" s="152"/>
      <c r="E203" s="153"/>
      <c r="F203" s="153"/>
      <c r="G203" s="153"/>
      <c r="H203" s="153"/>
      <c r="I203" s="153"/>
      <c r="J203" s="153"/>
      <c r="K203" s="153"/>
      <c r="L203" s="153"/>
      <c r="M203" s="153"/>
      <c r="N203" s="153"/>
      <c r="O203" s="153"/>
      <c r="P203" s="153"/>
      <c r="Q203" s="153"/>
      <c r="R203" s="153"/>
      <c r="S203" s="153"/>
      <c r="T203" s="153"/>
      <c r="U203" s="153"/>
      <c r="V203" s="153"/>
      <c r="W203" s="153"/>
      <c r="X203" s="153"/>
      <c r="Y203" s="153"/>
      <c r="Z203" s="153"/>
      <c r="AA203" s="153"/>
      <c r="AB203" s="153"/>
      <c r="AC203" s="153"/>
      <c r="AD203" s="153"/>
      <c r="AE203" s="153"/>
      <c r="AF203" s="153"/>
      <c r="AG203" s="153"/>
      <c r="AH203" s="153"/>
      <c r="AI203" s="153"/>
      <c r="AJ203" s="153"/>
      <c r="AK203" s="153"/>
      <c r="AL203" s="153"/>
      <c r="AM203" s="153"/>
      <c r="AN203" s="153"/>
      <c r="AO203" s="153"/>
      <c r="AP203" s="153"/>
      <c r="AQ203" s="153"/>
      <c r="AR203" s="153"/>
    </row>
    <row r="204" spans="1:44" ht="15.75" customHeight="1">
      <c r="A204" s="153"/>
      <c r="B204" s="153"/>
      <c r="C204" s="152"/>
      <c r="D204" s="152"/>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c r="AA204" s="153"/>
      <c r="AB204" s="153"/>
      <c r="AC204" s="153"/>
      <c r="AD204" s="153"/>
      <c r="AE204" s="153"/>
      <c r="AF204" s="153"/>
      <c r="AG204" s="153"/>
      <c r="AH204" s="153"/>
      <c r="AI204" s="153"/>
      <c r="AJ204" s="153"/>
      <c r="AK204" s="153"/>
      <c r="AL204" s="153"/>
      <c r="AM204" s="153"/>
      <c r="AN204" s="153"/>
      <c r="AO204" s="153"/>
      <c r="AP204" s="153"/>
      <c r="AQ204" s="153"/>
      <c r="AR204" s="153"/>
    </row>
    <row r="205" spans="1:44" ht="15.75" customHeight="1">
      <c r="A205" s="153"/>
      <c r="B205" s="153"/>
      <c r="C205" s="152"/>
      <c r="D205" s="152"/>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c r="AA205" s="153"/>
      <c r="AB205" s="153"/>
      <c r="AC205" s="153"/>
      <c r="AD205" s="153"/>
      <c r="AE205" s="153"/>
      <c r="AF205" s="153"/>
      <c r="AG205" s="153"/>
      <c r="AH205" s="153"/>
      <c r="AI205" s="153"/>
      <c r="AJ205" s="153"/>
      <c r="AK205" s="153"/>
      <c r="AL205" s="153"/>
      <c r="AM205" s="153"/>
      <c r="AN205" s="153"/>
      <c r="AO205" s="153"/>
      <c r="AP205" s="153"/>
      <c r="AQ205" s="153"/>
      <c r="AR205" s="153"/>
    </row>
    <row r="206" spans="1:44" ht="15.75" customHeight="1">
      <c r="A206" s="153"/>
      <c r="B206" s="153"/>
      <c r="C206" s="152"/>
      <c r="D206" s="152"/>
      <c r="E206" s="153"/>
      <c r="F206" s="153"/>
      <c r="G206" s="153"/>
      <c r="H206" s="153"/>
      <c r="I206" s="153"/>
      <c r="J206" s="153"/>
      <c r="K206" s="153"/>
      <c r="L206" s="153"/>
      <c r="M206" s="153"/>
      <c r="N206" s="153"/>
      <c r="O206" s="153"/>
      <c r="P206" s="153"/>
      <c r="Q206" s="153"/>
      <c r="R206" s="153"/>
      <c r="S206" s="153"/>
      <c r="T206" s="153"/>
      <c r="U206" s="153"/>
      <c r="V206" s="153"/>
      <c r="W206" s="153"/>
      <c r="X206" s="153"/>
      <c r="Y206" s="153"/>
      <c r="Z206" s="153"/>
      <c r="AA206" s="153"/>
      <c r="AB206" s="153"/>
      <c r="AC206" s="153"/>
      <c r="AD206" s="153"/>
      <c r="AE206" s="153"/>
      <c r="AF206" s="153"/>
      <c r="AG206" s="153"/>
      <c r="AH206" s="153"/>
      <c r="AI206" s="153"/>
      <c r="AJ206" s="153"/>
      <c r="AK206" s="153"/>
      <c r="AL206" s="153"/>
      <c r="AM206" s="153"/>
      <c r="AN206" s="153"/>
      <c r="AO206" s="153"/>
      <c r="AP206" s="153"/>
      <c r="AQ206" s="153"/>
      <c r="AR206" s="153"/>
    </row>
    <row r="207" spans="1:44" ht="15.75" customHeight="1">
      <c r="A207" s="153"/>
      <c r="B207" s="153"/>
      <c r="C207" s="152"/>
      <c r="D207" s="152"/>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c r="AA207" s="153"/>
      <c r="AB207" s="153"/>
      <c r="AC207" s="153"/>
      <c r="AD207" s="153"/>
      <c r="AE207" s="153"/>
      <c r="AF207" s="153"/>
      <c r="AG207" s="153"/>
      <c r="AH207" s="153"/>
      <c r="AI207" s="153"/>
      <c r="AJ207" s="153"/>
      <c r="AK207" s="153"/>
      <c r="AL207" s="153"/>
      <c r="AM207" s="153"/>
      <c r="AN207" s="153"/>
      <c r="AO207" s="153"/>
      <c r="AP207" s="153"/>
      <c r="AQ207" s="153"/>
      <c r="AR207" s="153"/>
    </row>
    <row r="208" spans="1:44" ht="15.75" customHeight="1">
      <c r="A208" s="153"/>
      <c r="B208" s="153"/>
      <c r="C208" s="152"/>
      <c r="D208" s="152"/>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c r="AA208" s="153"/>
      <c r="AB208" s="153"/>
      <c r="AC208" s="153"/>
      <c r="AD208" s="153"/>
      <c r="AE208" s="153"/>
      <c r="AF208" s="153"/>
      <c r="AG208" s="153"/>
      <c r="AH208" s="153"/>
      <c r="AI208" s="153"/>
      <c r="AJ208" s="153"/>
      <c r="AK208" s="153"/>
      <c r="AL208" s="153"/>
      <c r="AM208" s="153"/>
      <c r="AN208" s="153"/>
      <c r="AO208" s="153"/>
      <c r="AP208" s="153"/>
      <c r="AQ208" s="153"/>
      <c r="AR208" s="153"/>
    </row>
    <row r="209" spans="1:44" ht="15.75" customHeight="1">
      <c r="A209" s="153"/>
      <c r="B209" s="153"/>
      <c r="C209" s="152"/>
      <c r="D209" s="152"/>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c r="AA209" s="153"/>
      <c r="AB209" s="153"/>
      <c r="AC209" s="153"/>
      <c r="AD209" s="153"/>
      <c r="AE209" s="153"/>
      <c r="AF209" s="153"/>
      <c r="AG209" s="153"/>
      <c r="AH209" s="153"/>
      <c r="AI209" s="153"/>
      <c r="AJ209" s="153"/>
      <c r="AK209" s="153"/>
      <c r="AL209" s="153"/>
      <c r="AM209" s="153"/>
      <c r="AN209" s="153"/>
      <c r="AO209" s="153"/>
      <c r="AP209" s="153"/>
      <c r="AQ209" s="153"/>
      <c r="AR209" s="153"/>
    </row>
    <row r="210" spans="1:44" ht="15.75" customHeight="1">
      <c r="A210" s="153"/>
      <c r="B210" s="153"/>
      <c r="C210" s="152"/>
      <c r="D210" s="152"/>
      <c r="E210" s="153"/>
      <c r="F210" s="153"/>
      <c r="G210" s="153"/>
      <c r="H210" s="153"/>
      <c r="I210" s="153"/>
      <c r="J210" s="153"/>
      <c r="K210" s="153"/>
      <c r="L210" s="153"/>
      <c r="M210" s="153"/>
      <c r="N210" s="153"/>
      <c r="O210" s="153"/>
      <c r="P210" s="153"/>
      <c r="Q210" s="153"/>
      <c r="R210" s="153"/>
      <c r="S210" s="153"/>
      <c r="T210" s="153"/>
      <c r="U210" s="153"/>
      <c r="V210" s="153"/>
      <c r="W210" s="153"/>
      <c r="X210" s="153"/>
      <c r="Y210" s="153"/>
      <c r="Z210" s="153"/>
      <c r="AA210" s="153"/>
      <c r="AB210" s="153"/>
      <c r="AC210" s="153"/>
      <c r="AD210" s="153"/>
      <c r="AE210" s="153"/>
      <c r="AF210" s="153"/>
      <c r="AG210" s="153"/>
      <c r="AH210" s="153"/>
      <c r="AI210" s="153"/>
      <c r="AJ210" s="153"/>
      <c r="AK210" s="153"/>
      <c r="AL210" s="153"/>
      <c r="AM210" s="153"/>
      <c r="AN210" s="153"/>
      <c r="AO210" s="153"/>
      <c r="AP210" s="153"/>
      <c r="AQ210" s="153"/>
      <c r="AR210" s="153"/>
    </row>
    <row r="211" spans="1:44" ht="15.75" customHeight="1">
      <c r="A211" s="153"/>
      <c r="B211" s="153"/>
      <c r="C211" s="152"/>
      <c r="D211" s="152"/>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c r="AA211" s="153"/>
      <c r="AB211" s="153"/>
      <c r="AC211" s="153"/>
      <c r="AD211" s="153"/>
      <c r="AE211" s="153"/>
      <c r="AF211" s="153"/>
      <c r="AG211" s="153"/>
      <c r="AH211" s="153"/>
      <c r="AI211" s="153"/>
      <c r="AJ211" s="153"/>
      <c r="AK211" s="153"/>
      <c r="AL211" s="153"/>
      <c r="AM211" s="153"/>
      <c r="AN211" s="153"/>
      <c r="AO211" s="153"/>
      <c r="AP211" s="153"/>
      <c r="AQ211" s="153"/>
      <c r="AR211" s="153"/>
    </row>
    <row r="212" spans="1:44" ht="15.75" customHeight="1">
      <c r="A212" s="153"/>
      <c r="B212" s="153"/>
      <c r="C212" s="152"/>
      <c r="D212" s="152"/>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c r="AA212" s="153"/>
      <c r="AB212" s="153"/>
      <c r="AC212" s="153"/>
      <c r="AD212" s="153"/>
      <c r="AE212" s="153"/>
      <c r="AF212" s="153"/>
      <c r="AG212" s="153"/>
      <c r="AH212" s="153"/>
      <c r="AI212" s="153"/>
      <c r="AJ212" s="153"/>
      <c r="AK212" s="153"/>
      <c r="AL212" s="153"/>
      <c r="AM212" s="153"/>
      <c r="AN212" s="153"/>
      <c r="AO212" s="153"/>
      <c r="AP212" s="153"/>
      <c r="AQ212" s="153"/>
      <c r="AR212" s="153"/>
    </row>
    <row r="213" spans="1:44" ht="15.75" customHeight="1">
      <c r="A213" s="153"/>
      <c r="B213" s="153"/>
      <c r="C213" s="152"/>
      <c r="D213" s="152"/>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c r="AA213" s="153"/>
      <c r="AB213" s="153"/>
      <c r="AC213" s="153"/>
      <c r="AD213" s="153"/>
      <c r="AE213" s="153"/>
      <c r="AF213" s="153"/>
      <c r="AG213" s="153"/>
      <c r="AH213" s="153"/>
      <c r="AI213" s="153"/>
      <c r="AJ213" s="153"/>
      <c r="AK213" s="153"/>
      <c r="AL213" s="153"/>
      <c r="AM213" s="153"/>
      <c r="AN213" s="153"/>
      <c r="AO213" s="153"/>
      <c r="AP213" s="153"/>
      <c r="AQ213" s="153"/>
      <c r="AR213" s="153"/>
    </row>
    <row r="214" spans="1:44" ht="15.75" customHeight="1">
      <c r="A214" s="153"/>
      <c r="B214" s="153"/>
      <c r="C214" s="152"/>
      <c r="D214" s="152"/>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c r="AA214" s="153"/>
      <c r="AB214" s="153"/>
      <c r="AC214" s="153"/>
      <c r="AD214" s="153"/>
      <c r="AE214" s="153"/>
      <c r="AF214" s="153"/>
      <c r="AG214" s="153"/>
      <c r="AH214" s="153"/>
      <c r="AI214" s="153"/>
      <c r="AJ214" s="153"/>
      <c r="AK214" s="153"/>
      <c r="AL214" s="153"/>
      <c r="AM214" s="153"/>
      <c r="AN214" s="153"/>
      <c r="AO214" s="153"/>
      <c r="AP214" s="153"/>
      <c r="AQ214" s="153"/>
      <c r="AR214" s="153"/>
    </row>
    <row r="215" spans="1:44" ht="15.75" customHeight="1">
      <c r="A215" s="153"/>
      <c r="B215" s="153"/>
      <c r="C215" s="152"/>
      <c r="D215" s="152"/>
      <c r="E215" s="153"/>
      <c r="F215" s="153"/>
      <c r="G215" s="153"/>
      <c r="H215" s="153"/>
      <c r="I215" s="153"/>
      <c r="J215" s="153"/>
      <c r="K215" s="153"/>
      <c r="L215" s="153"/>
      <c r="M215" s="153"/>
      <c r="N215" s="153"/>
      <c r="O215" s="153"/>
      <c r="P215" s="153"/>
      <c r="Q215" s="153"/>
      <c r="R215" s="153"/>
      <c r="S215" s="153"/>
      <c r="T215" s="153"/>
      <c r="U215" s="153"/>
      <c r="V215" s="153"/>
      <c r="W215" s="153"/>
      <c r="X215" s="153"/>
      <c r="Y215" s="153"/>
      <c r="Z215" s="153"/>
      <c r="AA215" s="153"/>
      <c r="AB215" s="153"/>
      <c r="AC215" s="153"/>
      <c r="AD215" s="153"/>
      <c r="AE215" s="153"/>
      <c r="AF215" s="153"/>
      <c r="AG215" s="153"/>
      <c r="AH215" s="153"/>
      <c r="AI215" s="153"/>
      <c r="AJ215" s="153"/>
      <c r="AK215" s="153"/>
      <c r="AL215" s="153"/>
      <c r="AM215" s="153"/>
      <c r="AN215" s="153"/>
      <c r="AO215" s="153"/>
      <c r="AP215" s="153"/>
      <c r="AQ215" s="153"/>
      <c r="AR215" s="153"/>
    </row>
    <row r="216" spans="1:44" ht="15.75" customHeight="1">
      <c r="A216" s="153"/>
      <c r="B216" s="153"/>
      <c r="C216" s="152"/>
      <c r="D216" s="152"/>
      <c r="E216" s="153"/>
      <c r="F216" s="153"/>
      <c r="G216" s="153"/>
      <c r="H216" s="153"/>
      <c r="I216" s="153"/>
      <c r="J216" s="153"/>
      <c r="K216" s="153"/>
      <c r="L216" s="153"/>
      <c r="M216" s="153"/>
      <c r="N216" s="153"/>
      <c r="O216" s="153"/>
      <c r="P216" s="153"/>
      <c r="Q216" s="153"/>
      <c r="R216" s="153"/>
      <c r="S216" s="153"/>
      <c r="T216" s="153"/>
      <c r="U216" s="153"/>
      <c r="V216" s="153"/>
      <c r="W216" s="153"/>
      <c r="X216" s="153"/>
      <c r="Y216" s="153"/>
      <c r="Z216" s="153"/>
      <c r="AA216" s="153"/>
      <c r="AB216" s="153"/>
      <c r="AC216" s="153"/>
      <c r="AD216" s="153"/>
      <c r="AE216" s="153"/>
      <c r="AF216" s="153"/>
      <c r="AG216" s="153"/>
      <c r="AH216" s="153"/>
      <c r="AI216" s="153"/>
      <c r="AJ216" s="153"/>
      <c r="AK216" s="153"/>
      <c r="AL216" s="153"/>
      <c r="AM216" s="153"/>
      <c r="AN216" s="153"/>
      <c r="AO216" s="153"/>
      <c r="AP216" s="153"/>
      <c r="AQ216" s="153"/>
      <c r="AR216" s="153"/>
    </row>
    <row r="217" spans="1:44" ht="15.75" customHeight="1">
      <c r="A217" s="153"/>
      <c r="B217" s="153"/>
      <c r="C217" s="152"/>
      <c r="D217" s="152"/>
      <c r="E217" s="153"/>
      <c r="F217" s="153"/>
      <c r="G217" s="153"/>
      <c r="H217" s="153"/>
      <c r="I217" s="153"/>
      <c r="J217" s="153"/>
      <c r="K217" s="153"/>
      <c r="L217" s="153"/>
      <c r="M217" s="153"/>
      <c r="N217" s="153"/>
      <c r="O217" s="153"/>
      <c r="P217" s="153"/>
      <c r="Q217" s="153"/>
      <c r="R217" s="153"/>
      <c r="S217" s="153"/>
      <c r="T217" s="153"/>
      <c r="U217" s="153"/>
      <c r="V217" s="153"/>
      <c r="W217" s="153"/>
      <c r="X217" s="153"/>
      <c r="Y217" s="153"/>
      <c r="Z217" s="153"/>
      <c r="AA217" s="153"/>
      <c r="AB217" s="153"/>
      <c r="AC217" s="153"/>
      <c r="AD217" s="153"/>
      <c r="AE217" s="153"/>
      <c r="AF217" s="153"/>
      <c r="AG217" s="153"/>
      <c r="AH217" s="153"/>
      <c r="AI217" s="153"/>
      <c r="AJ217" s="153"/>
      <c r="AK217" s="153"/>
      <c r="AL217" s="153"/>
      <c r="AM217" s="153"/>
      <c r="AN217" s="153"/>
      <c r="AO217" s="153"/>
      <c r="AP217" s="153"/>
      <c r="AQ217" s="153"/>
      <c r="AR217" s="153"/>
    </row>
    <row r="218" spans="1:44" ht="15.75" customHeight="1">
      <c r="A218" s="153"/>
      <c r="B218" s="153"/>
      <c r="C218" s="152"/>
      <c r="D218" s="152"/>
      <c r="E218" s="153"/>
      <c r="F218" s="153"/>
      <c r="G218" s="153"/>
      <c r="H218" s="153"/>
      <c r="I218" s="153"/>
      <c r="J218" s="153"/>
      <c r="K218" s="153"/>
      <c r="L218" s="153"/>
      <c r="M218" s="153"/>
      <c r="N218" s="153"/>
      <c r="O218" s="153"/>
      <c r="P218" s="153"/>
      <c r="Q218" s="153"/>
      <c r="R218" s="153"/>
      <c r="S218" s="153"/>
      <c r="T218" s="153"/>
      <c r="U218" s="153"/>
      <c r="V218" s="153"/>
      <c r="W218" s="153"/>
      <c r="X218" s="153"/>
      <c r="Y218" s="153"/>
      <c r="Z218" s="153"/>
      <c r="AA218" s="153"/>
      <c r="AB218" s="153"/>
      <c r="AC218" s="153"/>
      <c r="AD218" s="153"/>
      <c r="AE218" s="153"/>
      <c r="AF218" s="153"/>
      <c r="AG218" s="153"/>
      <c r="AH218" s="153"/>
      <c r="AI218" s="153"/>
      <c r="AJ218" s="153"/>
      <c r="AK218" s="153"/>
      <c r="AL218" s="153"/>
      <c r="AM218" s="153"/>
      <c r="AN218" s="153"/>
      <c r="AO218" s="153"/>
      <c r="AP218" s="153"/>
      <c r="AQ218" s="153"/>
      <c r="AR218" s="153"/>
    </row>
    <row r="219" spans="1:44" ht="15.75" customHeight="1">
      <c r="A219" s="153"/>
      <c r="B219" s="153"/>
      <c r="C219" s="152"/>
      <c r="D219" s="152"/>
      <c r="E219" s="153"/>
      <c r="F219" s="153"/>
      <c r="G219" s="153"/>
      <c r="H219" s="153"/>
      <c r="I219" s="153"/>
      <c r="J219" s="153"/>
      <c r="K219" s="153"/>
      <c r="L219" s="153"/>
      <c r="M219" s="153"/>
      <c r="N219" s="153"/>
      <c r="O219" s="153"/>
      <c r="P219" s="153"/>
      <c r="Q219" s="153"/>
      <c r="R219" s="153"/>
      <c r="S219" s="153"/>
      <c r="T219" s="153"/>
      <c r="U219" s="153"/>
      <c r="V219" s="153"/>
      <c r="W219" s="153"/>
      <c r="X219" s="153"/>
      <c r="Y219" s="153"/>
      <c r="Z219" s="153"/>
      <c r="AA219" s="153"/>
      <c r="AB219" s="153"/>
      <c r="AC219" s="153"/>
      <c r="AD219" s="153"/>
      <c r="AE219" s="153"/>
      <c r="AF219" s="153"/>
      <c r="AG219" s="153"/>
      <c r="AH219" s="153"/>
      <c r="AI219" s="153"/>
      <c r="AJ219" s="153"/>
      <c r="AK219" s="153"/>
      <c r="AL219" s="153"/>
      <c r="AM219" s="153"/>
      <c r="AN219" s="153"/>
      <c r="AO219" s="153"/>
      <c r="AP219" s="153"/>
      <c r="AQ219" s="153"/>
      <c r="AR219" s="153"/>
    </row>
    <row r="220" spans="1:44" ht="15.75" customHeight="1">
      <c r="A220" s="153"/>
      <c r="B220" s="153"/>
      <c r="C220" s="152"/>
      <c r="D220" s="152"/>
      <c r="E220" s="153"/>
      <c r="F220" s="153"/>
      <c r="G220" s="153"/>
      <c r="H220" s="153"/>
      <c r="I220" s="153"/>
      <c r="J220" s="153"/>
      <c r="K220" s="153"/>
      <c r="L220" s="153"/>
      <c r="M220" s="153"/>
      <c r="N220" s="153"/>
      <c r="O220" s="153"/>
      <c r="P220" s="153"/>
      <c r="Q220" s="153"/>
      <c r="R220" s="153"/>
      <c r="S220" s="153"/>
      <c r="T220" s="153"/>
      <c r="U220" s="153"/>
      <c r="V220" s="153"/>
      <c r="W220" s="153"/>
      <c r="X220" s="153"/>
      <c r="Y220" s="153"/>
      <c r="Z220" s="153"/>
      <c r="AA220" s="153"/>
      <c r="AB220" s="153"/>
      <c r="AC220" s="153"/>
      <c r="AD220" s="153"/>
      <c r="AE220" s="153"/>
      <c r="AF220" s="153"/>
      <c r="AG220" s="153"/>
      <c r="AH220" s="153"/>
      <c r="AI220" s="153"/>
      <c r="AJ220" s="153"/>
      <c r="AK220" s="153"/>
      <c r="AL220" s="153"/>
      <c r="AM220" s="153"/>
      <c r="AN220" s="153"/>
      <c r="AO220" s="153"/>
      <c r="AP220" s="153"/>
      <c r="AQ220" s="153"/>
      <c r="AR220" s="153"/>
    </row>
    <row r="221" spans="1:44" ht="15.75" customHeight="1">
      <c r="A221" s="153"/>
      <c r="B221" s="153"/>
      <c r="C221" s="152"/>
      <c r="D221" s="152"/>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c r="AA221" s="153"/>
      <c r="AB221" s="153"/>
      <c r="AC221" s="153"/>
      <c r="AD221" s="153"/>
      <c r="AE221" s="153"/>
      <c r="AF221" s="153"/>
      <c r="AG221" s="153"/>
      <c r="AH221" s="153"/>
      <c r="AI221" s="153"/>
      <c r="AJ221" s="153"/>
      <c r="AK221" s="153"/>
      <c r="AL221" s="153"/>
      <c r="AM221" s="153"/>
      <c r="AN221" s="153"/>
      <c r="AO221" s="153"/>
      <c r="AP221" s="153"/>
      <c r="AQ221" s="153"/>
      <c r="AR221" s="153"/>
    </row>
    <row r="222" spans="1:44" ht="15.75" customHeight="1">
      <c r="A222" s="153"/>
      <c r="B222" s="153"/>
      <c r="C222" s="152"/>
      <c r="D222" s="152"/>
      <c r="E222" s="153"/>
      <c r="F222" s="153"/>
      <c r="G222" s="153"/>
      <c r="H222" s="153"/>
      <c r="I222" s="153"/>
      <c r="J222" s="153"/>
      <c r="K222" s="153"/>
      <c r="L222" s="153"/>
      <c r="M222" s="153"/>
      <c r="N222" s="153"/>
      <c r="O222" s="153"/>
      <c r="P222" s="153"/>
      <c r="Q222" s="153"/>
      <c r="R222" s="153"/>
      <c r="S222" s="153"/>
      <c r="T222" s="153"/>
      <c r="U222" s="153"/>
      <c r="V222" s="153"/>
      <c r="W222" s="153"/>
      <c r="X222" s="153"/>
      <c r="Y222" s="153"/>
      <c r="Z222" s="153"/>
      <c r="AA222" s="153"/>
      <c r="AB222" s="153"/>
      <c r="AC222" s="153"/>
      <c r="AD222" s="153"/>
      <c r="AE222" s="153"/>
      <c r="AF222" s="153"/>
      <c r="AG222" s="153"/>
      <c r="AH222" s="153"/>
      <c r="AI222" s="153"/>
      <c r="AJ222" s="153"/>
      <c r="AK222" s="153"/>
      <c r="AL222" s="153"/>
      <c r="AM222" s="153"/>
      <c r="AN222" s="153"/>
      <c r="AO222" s="153"/>
      <c r="AP222" s="153"/>
      <c r="AQ222" s="153"/>
      <c r="AR222" s="153"/>
    </row>
    <row r="223" spans="1:44" ht="15.75" customHeight="1">
      <c r="A223" s="153"/>
      <c r="B223" s="153"/>
      <c r="C223" s="152"/>
      <c r="D223" s="152"/>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c r="AA223" s="153"/>
      <c r="AB223" s="153"/>
      <c r="AC223" s="153"/>
      <c r="AD223" s="153"/>
      <c r="AE223" s="153"/>
      <c r="AF223" s="153"/>
      <c r="AG223" s="153"/>
      <c r="AH223" s="153"/>
      <c r="AI223" s="153"/>
      <c r="AJ223" s="153"/>
      <c r="AK223" s="153"/>
      <c r="AL223" s="153"/>
      <c r="AM223" s="153"/>
      <c r="AN223" s="153"/>
      <c r="AO223" s="153"/>
      <c r="AP223" s="153"/>
      <c r="AQ223" s="153"/>
      <c r="AR223" s="153"/>
    </row>
    <row r="224" spans="1:44" ht="15.75" customHeight="1">
      <c r="A224" s="153"/>
      <c r="B224" s="153"/>
      <c r="C224" s="152"/>
      <c r="D224" s="152"/>
      <c r="E224" s="153"/>
      <c r="F224" s="153"/>
      <c r="G224" s="153"/>
      <c r="H224" s="153"/>
      <c r="I224" s="153"/>
      <c r="J224" s="153"/>
      <c r="K224" s="153"/>
      <c r="L224" s="153"/>
      <c r="M224" s="153"/>
      <c r="N224" s="153"/>
      <c r="O224" s="153"/>
      <c r="P224" s="153"/>
      <c r="Q224" s="153"/>
      <c r="R224" s="153"/>
      <c r="S224" s="153"/>
      <c r="T224" s="153"/>
      <c r="U224" s="153"/>
      <c r="V224" s="153"/>
      <c r="W224" s="153"/>
      <c r="X224" s="153"/>
      <c r="Y224" s="153"/>
      <c r="Z224" s="153"/>
      <c r="AA224" s="153"/>
      <c r="AB224" s="153"/>
      <c r="AC224" s="153"/>
      <c r="AD224" s="153"/>
      <c r="AE224" s="153"/>
      <c r="AF224" s="153"/>
      <c r="AG224" s="153"/>
      <c r="AH224" s="153"/>
      <c r="AI224" s="153"/>
      <c r="AJ224" s="153"/>
      <c r="AK224" s="153"/>
      <c r="AL224" s="153"/>
      <c r="AM224" s="153"/>
      <c r="AN224" s="153"/>
      <c r="AO224" s="153"/>
      <c r="AP224" s="153"/>
      <c r="AQ224" s="153"/>
      <c r="AR224" s="153"/>
    </row>
    <row r="225" spans="1:44" ht="15.75" customHeight="1">
      <c r="A225" s="153"/>
      <c r="B225" s="153"/>
      <c r="C225" s="152"/>
      <c r="D225" s="152"/>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c r="AA225" s="153"/>
      <c r="AB225" s="153"/>
      <c r="AC225" s="153"/>
      <c r="AD225" s="153"/>
      <c r="AE225" s="153"/>
      <c r="AF225" s="153"/>
      <c r="AG225" s="153"/>
      <c r="AH225" s="153"/>
      <c r="AI225" s="153"/>
      <c r="AJ225" s="153"/>
      <c r="AK225" s="153"/>
      <c r="AL225" s="153"/>
      <c r="AM225" s="153"/>
      <c r="AN225" s="153"/>
      <c r="AO225" s="153"/>
      <c r="AP225" s="153"/>
      <c r="AQ225" s="153"/>
      <c r="AR225" s="153"/>
    </row>
    <row r="226" spans="1:44" ht="15.75" customHeight="1">
      <c r="A226" s="153"/>
      <c r="B226" s="153"/>
      <c r="C226" s="152"/>
      <c r="D226" s="152"/>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c r="AA226" s="153"/>
      <c r="AB226" s="153"/>
      <c r="AC226" s="153"/>
      <c r="AD226" s="153"/>
      <c r="AE226" s="153"/>
      <c r="AF226" s="153"/>
      <c r="AG226" s="153"/>
      <c r="AH226" s="153"/>
      <c r="AI226" s="153"/>
      <c r="AJ226" s="153"/>
      <c r="AK226" s="153"/>
      <c r="AL226" s="153"/>
      <c r="AM226" s="153"/>
      <c r="AN226" s="153"/>
      <c r="AO226" s="153"/>
      <c r="AP226" s="153"/>
      <c r="AQ226" s="153"/>
      <c r="AR226" s="153"/>
    </row>
    <row r="227" spans="1:44" ht="15.75" customHeight="1">
      <c r="A227" s="153"/>
      <c r="B227" s="153"/>
      <c r="C227" s="152"/>
      <c r="D227" s="152"/>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c r="AA227" s="153"/>
      <c r="AB227" s="153"/>
      <c r="AC227" s="153"/>
      <c r="AD227" s="153"/>
      <c r="AE227" s="153"/>
      <c r="AF227" s="153"/>
      <c r="AG227" s="153"/>
      <c r="AH227" s="153"/>
      <c r="AI227" s="153"/>
      <c r="AJ227" s="153"/>
      <c r="AK227" s="153"/>
      <c r="AL227" s="153"/>
      <c r="AM227" s="153"/>
      <c r="AN227" s="153"/>
      <c r="AO227" s="153"/>
      <c r="AP227" s="153"/>
      <c r="AQ227" s="153"/>
      <c r="AR227" s="153"/>
    </row>
    <row r="228" spans="1:44" ht="15.75" customHeight="1">
      <c r="A228" s="153"/>
      <c r="B228" s="153"/>
      <c r="C228" s="152"/>
      <c r="D228" s="152"/>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c r="AA228" s="153"/>
      <c r="AB228" s="153"/>
      <c r="AC228" s="153"/>
      <c r="AD228" s="153"/>
      <c r="AE228" s="153"/>
      <c r="AF228" s="153"/>
      <c r="AG228" s="153"/>
      <c r="AH228" s="153"/>
      <c r="AI228" s="153"/>
      <c r="AJ228" s="153"/>
      <c r="AK228" s="153"/>
      <c r="AL228" s="153"/>
      <c r="AM228" s="153"/>
      <c r="AN228" s="153"/>
      <c r="AO228" s="153"/>
      <c r="AP228" s="153"/>
      <c r="AQ228" s="153"/>
      <c r="AR228" s="153"/>
    </row>
    <row r="229" spans="1:44" ht="15.75" customHeight="1">
      <c r="A229" s="153"/>
      <c r="B229" s="153"/>
      <c r="C229" s="152"/>
      <c r="D229" s="152"/>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c r="AA229" s="153"/>
      <c r="AB229" s="153"/>
      <c r="AC229" s="153"/>
      <c r="AD229" s="153"/>
      <c r="AE229" s="153"/>
      <c r="AF229" s="153"/>
      <c r="AG229" s="153"/>
      <c r="AH229" s="153"/>
      <c r="AI229" s="153"/>
      <c r="AJ229" s="153"/>
      <c r="AK229" s="153"/>
      <c r="AL229" s="153"/>
      <c r="AM229" s="153"/>
      <c r="AN229" s="153"/>
      <c r="AO229" s="153"/>
      <c r="AP229" s="153"/>
      <c r="AQ229" s="153"/>
      <c r="AR229" s="153"/>
    </row>
    <row r="230" spans="1:44" ht="15.75" customHeight="1">
      <c r="A230" s="153"/>
      <c r="B230" s="153"/>
      <c r="C230" s="152"/>
      <c r="D230" s="152"/>
      <c r="E230" s="153"/>
      <c r="F230" s="153"/>
      <c r="G230" s="153"/>
      <c r="H230" s="153"/>
      <c r="I230" s="153"/>
      <c r="J230" s="153"/>
      <c r="K230" s="153"/>
      <c r="L230" s="153"/>
      <c r="M230" s="153"/>
      <c r="N230" s="153"/>
      <c r="O230" s="153"/>
      <c r="P230" s="153"/>
      <c r="Q230" s="153"/>
      <c r="R230" s="153"/>
      <c r="S230" s="153"/>
      <c r="T230" s="153"/>
      <c r="U230" s="153"/>
      <c r="V230" s="153"/>
      <c r="W230" s="153"/>
      <c r="X230" s="153"/>
      <c r="Y230" s="153"/>
      <c r="Z230" s="153"/>
      <c r="AA230" s="153"/>
      <c r="AB230" s="153"/>
      <c r="AC230" s="153"/>
      <c r="AD230" s="153"/>
      <c r="AE230" s="153"/>
      <c r="AF230" s="153"/>
      <c r="AG230" s="153"/>
      <c r="AH230" s="153"/>
      <c r="AI230" s="153"/>
      <c r="AJ230" s="153"/>
      <c r="AK230" s="153"/>
      <c r="AL230" s="153"/>
      <c r="AM230" s="153"/>
      <c r="AN230" s="153"/>
      <c r="AO230" s="153"/>
      <c r="AP230" s="153"/>
      <c r="AQ230" s="153"/>
      <c r="AR230" s="153"/>
    </row>
    <row r="231" spans="1:44" ht="15.75" customHeight="1">
      <c r="A231" s="153"/>
      <c r="B231" s="153"/>
      <c r="C231" s="152"/>
      <c r="D231" s="152"/>
      <c r="E231" s="153"/>
      <c r="F231" s="153"/>
      <c r="G231" s="153"/>
      <c r="H231" s="153"/>
      <c r="I231" s="153"/>
      <c r="J231" s="153"/>
      <c r="K231" s="153"/>
      <c r="L231" s="153"/>
      <c r="M231" s="153"/>
      <c r="N231" s="153"/>
      <c r="O231" s="153"/>
      <c r="P231" s="153"/>
      <c r="Q231" s="153"/>
      <c r="R231" s="153"/>
      <c r="S231" s="153"/>
      <c r="T231" s="153"/>
      <c r="U231" s="153"/>
      <c r="V231" s="153"/>
      <c r="W231" s="153"/>
      <c r="X231" s="153"/>
      <c r="Y231" s="153"/>
      <c r="Z231" s="153"/>
      <c r="AA231" s="153"/>
      <c r="AB231" s="153"/>
      <c r="AC231" s="153"/>
      <c r="AD231" s="153"/>
      <c r="AE231" s="153"/>
      <c r="AF231" s="153"/>
      <c r="AG231" s="153"/>
      <c r="AH231" s="153"/>
      <c r="AI231" s="153"/>
      <c r="AJ231" s="153"/>
      <c r="AK231" s="153"/>
      <c r="AL231" s="153"/>
      <c r="AM231" s="153"/>
      <c r="AN231" s="153"/>
      <c r="AO231" s="153"/>
      <c r="AP231" s="153"/>
      <c r="AQ231" s="153"/>
      <c r="AR231" s="153"/>
    </row>
    <row r="232" spans="1:44" ht="15.75" customHeight="1">
      <c r="A232" s="153"/>
      <c r="B232" s="153"/>
      <c r="C232" s="152"/>
      <c r="D232" s="152"/>
      <c r="E232" s="153"/>
      <c r="F232" s="153"/>
      <c r="G232" s="153"/>
      <c r="H232" s="153"/>
      <c r="I232" s="153"/>
      <c r="J232" s="153"/>
      <c r="K232" s="153"/>
      <c r="L232" s="153"/>
      <c r="M232" s="153"/>
      <c r="N232" s="153"/>
      <c r="O232" s="153"/>
      <c r="P232" s="153"/>
      <c r="Q232" s="153"/>
      <c r="R232" s="153"/>
      <c r="S232" s="153"/>
      <c r="T232" s="153"/>
      <c r="U232" s="153"/>
      <c r="V232" s="153"/>
      <c r="W232" s="153"/>
      <c r="X232" s="153"/>
      <c r="Y232" s="153"/>
      <c r="Z232" s="153"/>
      <c r="AA232" s="153"/>
      <c r="AB232" s="153"/>
      <c r="AC232" s="153"/>
      <c r="AD232" s="153"/>
      <c r="AE232" s="153"/>
      <c r="AF232" s="153"/>
      <c r="AG232" s="153"/>
      <c r="AH232" s="153"/>
      <c r="AI232" s="153"/>
      <c r="AJ232" s="153"/>
      <c r="AK232" s="153"/>
      <c r="AL232" s="153"/>
      <c r="AM232" s="153"/>
      <c r="AN232" s="153"/>
      <c r="AO232" s="153"/>
      <c r="AP232" s="153"/>
      <c r="AQ232" s="153"/>
      <c r="AR232" s="153"/>
    </row>
    <row r="233" spans="1:44" ht="15.75" customHeight="1">
      <c r="A233" s="153"/>
      <c r="B233" s="153"/>
      <c r="C233" s="152"/>
      <c r="D233" s="152"/>
      <c r="E233" s="153"/>
      <c r="F233" s="153"/>
      <c r="G233" s="153"/>
      <c r="H233" s="153"/>
      <c r="I233" s="153"/>
      <c r="J233" s="153"/>
      <c r="K233" s="153"/>
      <c r="L233" s="153"/>
      <c r="M233" s="153"/>
      <c r="N233" s="153"/>
      <c r="O233" s="153"/>
      <c r="P233" s="153"/>
      <c r="Q233" s="153"/>
      <c r="R233" s="153"/>
      <c r="S233" s="153"/>
      <c r="T233" s="153"/>
      <c r="U233" s="153"/>
      <c r="V233" s="153"/>
      <c r="W233" s="153"/>
      <c r="X233" s="153"/>
      <c r="Y233" s="153"/>
      <c r="Z233" s="153"/>
      <c r="AA233" s="153"/>
      <c r="AB233" s="153"/>
      <c r="AC233" s="153"/>
      <c r="AD233" s="153"/>
      <c r="AE233" s="153"/>
      <c r="AF233" s="153"/>
      <c r="AG233" s="153"/>
      <c r="AH233" s="153"/>
      <c r="AI233" s="153"/>
      <c r="AJ233" s="153"/>
      <c r="AK233" s="153"/>
      <c r="AL233" s="153"/>
      <c r="AM233" s="153"/>
      <c r="AN233" s="153"/>
      <c r="AO233" s="153"/>
      <c r="AP233" s="153"/>
      <c r="AQ233" s="153"/>
      <c r="AR233" s="153"/>
    </row>
    <row r="234" spans="1:44" ht="15.75" customHeight="1">
      <c r="A234" s="153"/>
      <c r="B234" s="153"/>
      <c r="C234" s="152"/>
      <c r="D234" s="152"/>
      <c r="E234" s="153"/>
      <c r="F234" s="153"/>
      <c r="G234" s="153"/>
      <c r="H234" s="153"/>
      <c r="I234" s="153"/>
      <c r="J234" s="153"/>
      <c r="K234" s="153"/>
      <c r="L234" s="153"/>
      <c r="M234" s="153"/>
      <c r="N234" s="153"/>
      <c r="O234" s="153"/>
      <c r="P234" s="153"/>
      <c r="Q234" s="153"/>
      <c r="R234" s="153"/>
      <c r="S234" s="153"/>
      <c r="T234" s="153"/>
      <c r="U234" s="153"/>
      <c r="V234" s="153"/>
      <c r="W234" s="153"/>
      <c r="X234" s="153"/>
      <c r="Y234" s="153"/>
      <c r="Z234" s="153"/>
      <c r="AA234" s="153"/>
      <c r="AB234" s="153"/>
      <c r="AC234" s="153"/>
      <c r="AD234" s="153"/>
      <c r="AE234" s="153"/>
      <c r="AF234" s="153"/>
      <c r="AG234" s="153"/>
      <c r="AH234" s="153"/>
      <c r="AI234" s="153"/>
      <c r="AJ234" s="153"/>
      <c r="AK234" s="153"/>
      <c r="AL234" s="153"/>
      <c r="AM234" s="153"/>
      <c r="AN234" s="153"/>
      <c r="AO234" s="153"/>
      <c r="AP234" s="153"/>
      <c r="AQ234" s="153"/>
      <c r="AR234" s="153"/>
    </row>
    <row r="235" spans="1:44" ht="15.75" customHeight="1">
      <c r="A235" s="153"/>
      <c r="B235" s="153"/>
      <c r="C235" s="152"/>
      <c r="D235" s="152"/>
      <c r="E235" s="153"/>
      <c r="F235" s="153"/>
      <c r="G235" s="153"/>
      <c r="H235" s="153"/>
      <c r="I235" s="153"/>
      <c r="J235" s="153"/>
      <c r="K235" s="153"/>
      <c r="L235" s="153"/>
      <c r="M235" s="153"/>
      <c r="N235" s="153"/>
      <c r="O235" s="153"/>
      <c r="P235" s="153"/>
      <c r="Q235" s="153"/>
      <c r="R235" s="153"/>
      <c r="S235" s="153"/>
      <c r="T235" s="153"/>
      <c r="U235" s="153"/>
      <c r="V235" s="153"/>
      <c r="W235" s="153"/>
      <c r="X235" s="153"/>
      <c r="Y235" s="153"/>
      <c r="Z235" s="153"/>
      <c r="AA235" s="153"/>
      <c r="AB235" s="153"/>
      <c r="AC235" s="153"/>
      <c r="AD235" s="153"/>
      <c r="AE235" s="153"/>
      <c r="AF235" s="153"/>
      <c r="AG235" s="153"/>
      <c r="AH235" s="153"/>
      <c r="AI235" s="153"/>
      <c r="AJ235" s="153"/>
      <c r="AK235" s="153"/>
      <c r="AL235" s="153"/>
      <c r="AM235" s="153"/>
      <c r="AN235" s="153"/>
      <c r="AO235" s="153"/>
      <c r="AP235" s="153"/>
      <c r="AQ235" s="153"/>
      <c r="AR235" s="153"/>
    </row>
    <row r="236" spans="1:44" ht="15.75" customHeight="1">
      <c r="A236" s="153"/>
      <c r="B236" s="153"/>
      <c r="C236" s="152"/>
      <c r="D236" s="152"/>
      <c r="E236" s="153"/>
      <c r="F236" s="153"/>
      <c r="G236" s="153"/>
      <c r="H236" s="153"/>
      <c r="I236" s="153"/>
      <c r="J236" s="153"/>
      <c r="K236" s="153"/>
      <c r="L236" s="153"/>
      <c r="M236" s="153"/>
      <c r="N236" s="153"/>
      <c r="O236" s="153"/>
      <c r="P236" s="153"/>
      <c r="Q236" s="153"/>
      <c r="R236" s="153"/>
      <c r="S236" s="153"/>
      <c r="T236" s="153"/>
      <c r="U236" s="153"/>
      <c r="V236" s="153"/>
      <c r="W236" s="153"/>
      <c r="X236" s="153"/>
      <c r="Y236" s="153"/>
      <c r="Z236" s="153"/>
      <c r="AA236" s="153"/>
      <c r="AB236" s="153"/>
      <c r="AC236" s="153"/>
      <c r="AD236" s="153"/>
      <c r="AE236" s="153"/>
      <c r="AF236" s="153"/>
      <c r="AG236" s="153"/>
      <c r="AH236" s="153"/>
      <c r="AI236" s="153"/>
      <c r="AJ236" s="153"/>
      <c r="AK236" s="153"/>
      <c r="AL236" s="153"/>
      <c r="AM236" s="153"/>
      <c r="AN236" s="153"/>
      <c r="AO236" s="153"/>
      <c r="AP236" s="153"/>
      <c r="AQ236" s="153"/>
      <c r="AR236" s="153"/>
    </row>
    <row r="237" spans="1:44" ht="15.75" customHeight="1">
      <c r="A237" s="153"/>
      <c r="B237" s="153"/>
      <c r="C237" s="152"/>
      <c r="D237" s="152"/>
      <c r="E237" s="153"/>
      <c r="F237" s="153"/>
      <c r="G237" s="153"/>
      <c r="H237" s="153"/>
      <c r="I237" s="153"/>
      <c r="J237" s="153"/>
      <c r="K237" s="153"/>
      <c r="L237" s="153"/>
      <c r="M237" s="153"/>
      <c r="N237" s="153"/>
      <c r="O237" s="153"/>
      <c r="P237" s="153"/>
      <c r="Q237" s="153"/>
      <c r="R237" s="153"/>
      <c r="S237" s="153"/>
      <c r="T237" s="153"/>
      <c r="U237" s="153"/>
      <c r="V237" s="153"/>
      <c r="W237" s="153"/>
      <c r="X237" s="153"/>
      <c r="Y237" s="153"/>
      <c r="Z237" s="153"/>
      <c r="AA237" s="153"/>
      <c r="AB237" s="153"/>
      <c r="AC237" s="153"/>
      <c r="AD237" s="153"/>
      <c r="AE237" s="153"/>
      <c r="AF237" s="153"/>
      <c r="AG237" s="153"/>
      <c r="AH237" s="153"/>
      <c r="AI237" s="153"/>
      <c r="AJ237" s="153"/>
      <c r="AK237" s="153"/>
      <c r="AL237" s="153"/>
      <c r="AM237" s="153"/>
      <c r="AN237" s="153"/>
      <c r="AO237" s="153"/>
      <c r="AP237" s="153"/>
      <c r="AQ237" s="153"/>
      <c r="AR237" s="153"/>
    </row>
    <row r="238" spans="1:44" ht="15.75" customHeight="1">
      <c r="A238" s="153"/>
      <c r="B238" s="153"/>
      <c r="C238" s="152"/>
      <c r="D238" s="152"/>
      <c r="E238" s="153"/>
      <c r="F238" s="153"/>
      <c r="G238" s="153"/>
      <c r="H238" s="153"/>
      <c r="I238" s="153"/>
      <c r="J238" s="153"/>
      <c r="K238" s="153"/>
      <c r="L238" s="153"/>
      <c r="M238" s="153"/>
      <c r="N238" s="153"/>
      <c r="O238" s="153"/>
      <c r="P238" s="153"/>
      <c r="Q238" s="153"/>
      <c r="R238" s="153"/>
      <c r="S238" s="153"/>
      <c r="T238" s="153"/>
      <c r="U238" s="153"/>
      <c r="V238" s="153"/>
      <c r="W238" s="153"/>
      <c r="X238" s="153"/>
      <c r="Y238" s="153"/>
      <c r="Z238" s="153"/>
      <c r="AA238" s="153"/>
      <c r="AB238" s="153"/>
      <c r="AC238" s="153"/>
      <c r="AD238" s="153"/>
      <c r="AE238" s="153"/>
      <c r="AF238" s="153"/>
      <c r="AG238" s="153"/>
      <c r="AH238" s="153"/>
      <c r="AI238" s="153"/>
      <c r="AJ238" s="153"/>
      <c r="AK238" s="153"/>
      <c r="AL238" s="153"/>
      <c r="AM238" s="153"/>
      <c r="AN238" s="153"/>
      <c r="AO238" s="153"/>
      <c r="AP238" s="153"/>
      <c r="AQ238" s="153"/>
      <c r="AR238" s="153"/>
    </row>
    <row r="239" spans="1:44" ht="15.75" customHeight="1"/>
    <row r="240" spans="1:4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C26:D26"/>
    <mergeCell ref="C27:D27"/>
    <mergeCell ref="C28:D28"/>
    <mergeCell ref="C37:D37"/>
    <mergeCell ref="C38:D38"/>
    <mergeCell ref="C29:D29"/>
    <mergeCell ref="C30:D30"/>
    <mergeCell ref="C32:D32"/>
    <mergeCell ref="C33:D33"/>
    <mergeCell ref="C34:D34"/>
    <mergeCell ref="C35:D35"/>
    <mergeCell ref="C36:D36"/>
    <mergeCell ref="C21:D21"/>
    <mergeCell ref="C22:D22"/>
    <mergeCell ref="C23:D23"/>
    <mergeCell ref="C24:D24"/>
    <mergeCell ref="C25:D25"/>
    <mergeCell ref="C16:D16"/>
    <mergeCell ref="C17:D17"/>
    <mergeCell ref="C18:D18"/>
    <mergeCell ref="C19:D19"/>
    <mergeCell ref="C20:D20"/>
    <mergeCell ref="C11:D11"/>
    <mergeCell ref="C12:D12"/>
    <mergeCell ref="C13:D13"/>
    <mergeCell ref="C14:D14"/>
    <mergeCell ref="C15:D15"/>
    <mergeCell ref="N6:O6"/>
    <mergeCell ref="P6:Q6"/>
    <mergeCell ref="C8:D8"/>
    <mergeCell ref="C9:D9"/>
    <mergeCell ref="C10:D10"/>
    <mergeCell ref="C4:G4"/>
    <mergeCell ref="E6:F6"/>
    <mergeCell ref="G6:H6"/>
    <mergeCell ref="I6:J6"/>
    <mergeCell ref="K6:M6"/>
    <mergeCell ref="AH6:AI6"/>
    <mergeCell ref="AJ6:AK6"/>
    <mergeCell ref="AL6:AN6"/>
    <mergeCell ref="AO6:AQ6"/>
    <mergeCell ref="R6:S6"/>
    <mergeCell ref="T6:V6"/>
    <mergeCell ref="W6:X6"/>
    <mergeCell ref="Y6:Z6"/>
    <mergeCell ref="AA6:AB6"/>
    <mergeCell ref="AC6:AE6"/>
    <mergeCell ref="AF6:AG6"/>
  </mergeCells>
  <conditionalFormatting sqref="M9:M29 V9:V29 AE9:AE29 AN9:AN29 AQ9:AQ29">
    <cfRule type="cellIs" dxfId="3" priority="1" operator="lessThan">
      <formula>0</formula>
    </cfRule>
  </conditionalFormatting>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1000"/>
  <sheetViews>
    <sheetView showGridLines="0" workbookViewId="0"/>
  </sheetViews>
  <sheetFormatPr defaultColWidth="12.625" defaultRowHeight="15" customHeight="1"/>
  <cols>
    <col min="1" max="2" width="3.125" customWidth="1"/>
    <col min="3" max="3" width="26.125" customWidth="1"/>
    <col min="4" max="4" width="24.375" customWidth="1"/>
    <col min="5" max="43" width="11" customWidth="1"/>
    <col min="44" max="44" width="3.125" customWidth="1"/>
  </cols>
  <sheetData>
    <row r="1" spans="1:44">
      <c r="A1" s="92"/>
      <c r="B1" s="92"/>
      <c r="C1" s="9"/>
      <c r="D1" s="3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c r="A2" s="92"/>
      <c r="B2" s="93"/>
      <c r="C2" s="94"/>
      <c r="D2" s="33"/>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5"/>
    </row>
    <row r="3" spans="1:44" ht="46.5" customHeight="1">
      <c r="A3" s="92"/>
      <c r="B3" s="97"/>
      <c r="C3" s="98"/>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c r="AP3" s="157"/>
      <c r="AQ3" s="157"/>
      <c r="AR3" s="39"/>
    </row>
    <row r="4" spans="1:44" ht="31.5" customHeight="1">
      <c r="A4" s="1"/>
      <c r="B4" s="36"/>
      <c r="C4" s="276" t="s">
        <v>135</v>
      </c>
      <c r="D4" s="267"/>
      <c r="E4" s="267"/>
      <c r="F4" s="267"/>
      <c r="G4" s="267"/>
      <c r="H4" s="267"/>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39"/>
    </row>
    <row r="5" spans="1:44" ht="31.5" customHeight="1">
      <c r="A5" s="1"/>
      <c r="B5" s="36"/>
      <c r="C5" s="40"/>
      <c r="D5" s="40"/>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39"/>
    </row>
    <row r="6" spans="1:44">
      <c r="A6" s="1"/>
      <c r="B6" s="36"/>
      <c r="C6" s="103"/>
      <c r="D6" s="103"/>
      <c r="E6" s="283" t="s">
        <v>15</v>
      </c>
      <c r="F6" s="280"/>
      <c r="G6" s="283" t="s">
        <v>16</v>
      </c>
      <c r="H6" s="280"/>
      <c r="I6" s="283" t="s">
        <v>17</v>
      </c>
      <c r="J6" s="280"/>
      <c r="K6" s="284" t="s">
        <v>18</v>
      </c>
      <c r="L6" s="282"/>
      <c r="M6" s="280"/>
      <c r="N6" s="283" t="s">
        <v>19</v>
      </c>
      <c r="O6" s="280"/>
      <c r="P6" s="283" t="s">
        <v>20</v>
      </c>
      <c r="Q6" s="280"/>
      <c r="R6" s="283" t="s">
        <v>21</v>
      </c>
      <c r="S6" s="280"/>
      <c r="T6" s="284" t="s">
        <v>22</v>
      </c>
      <c r="U6" s="282"/>
      <c r="V6" s="280"/>
      <c r="W6" s="283" t="s">
        <v>23</v>
      </c>
      <c r="X6" s="280"/>
      <c r="Y6" s="283" t="s">
        <v>24</v>
      </c>
      <c r="Z6" s="280"/>
      <c r="AA6" s="283" t="s">
        <v>25</v>
      </c>
      <c r="AB6" s="280"/>
      <c r="AC6" s="284" t="s">
        <v>26</v>
      </c>
      <c r="AD6" s="282"/>
      <c r="AE6" s="280"/>
      <c r="AF6" s="283" t="s">
        <v>27</v>
      </c>
      <c r="AG6" s="280"/>
      <c r="AH6" s="283" t="s">
        <v>28</v>
      </c>
      <c r="AI6" s="280"/>
      <c r="AJ6" s="283" t="s">
        <v>29</v>
      </c>
      <c r="AK6" s="280"/>
      <c r="AL6" s="284" t="s">
        <v>30</v>
      </c>
      <c r="AM6" s="282"/>
      <c r="AN6" s="280"/>
      <c r="AO6" s="284" t="s">
        <v>48</v>
      </c>
      <c r="AP6" s="282"/>
      <c r="AQ6" s="282"/>
      <c r="AR6" s="39"/>
    </row>
    <row r="7" spans="1:44" ht="30" customHeight="1">
      <c r="A7" s="31"/>
      <c r="B7" s="231"/>
      <c r="C7" s="162"/>
      <c r="D7" s="162"/>
      <c r="E7" s="163" t="s">
        <v>32</v>
      </c>
      <c r="F7" s="164" t="s">
        <v>33</v>
      </c>
      <c r="G7" s="163" t="s">
        <v>32</v>
      </c>
      <c r="H7" s="164" t="s">
        <v>33</v>
      </c>
      <c r="I7" s="163" t="s">
        <v>32</v>
      </c>
      <c r="J7" s="164" t="s">
        <v>33</v>
      </c>
      <c r="K7" s="165" t="s">
        <v>32</v>
      </c>
      <c r="L7" s="166" t="s">
        <v>33</v>
      </c>
      <c r="M7" s="167" t="s">
        <v>34</v>
      </c>
      <c r="N7" s="163" t="s">
        <v>32</v>
      </c>
      <c r="O7" s="164" t="s">
        <v>33</v>
      </c>
      <c r="P7" s="163" t="s">
        <v>32</v>
      </c>
      <c r="Q7" s="164" t="s">
        <v>33</v>
      </c>
      <c r="R7" s="163" t="s">
        <v>32</v>
      </c>
      <c r="S7" s="164" t="s">
        <v>33</v>
      </c>
      <c r="T7" s="165" t="s">
        <v>32</v>
      </c>
      <c r="U7" s="166" t="s">
        <v>33</v>
      </c>
      <c r="V7" s="167" t="s">
        <v>34</v>
      </c>
      <c r="W7" s="163" t="s">
        <v>32</v>
      </c>
      <c r="X7" s="164" t="s">
        <v>33</v>
      </c>
      <c r="Y7" s="163" t="s">
        <v>32</v>
      </c>
      <c r="Z7" s="164" t="s">
        <v>33</v>
      </c>
      <c r="AA7" s="163" t="s">
        <v>32</v>
      </c>
      <c r="AB7" s="164" t="s">
        <v>33</v>
      </c>
      <c r="AC7" s="165" t="s">
        <v>32</v>
      </c>
      <c r="AD7" s="166" t="s">
        <v>33</v>
      </c>
      <c r="AE7" s="167" t="s">
        <v>34</v>
      </c>
      <c r="AF7" s="163" t="s">
        <v>32</v>
      </c>
      <c r="AG7" s="164" t="s">
        <v>33</v>
      </c>
      <c r="AH7" s="163" t="s">
        <v>32</v>
      </c>
      <c r="AI7" s="164" t="s">
        <v>33</v>
      </c>
      <c r="AJ7" s="163" t="s">
        <v>32</v>
      </c>
      <c r="AK7" s="164" t="s">
        <v>33</v>
      </c>
      <c r="AL7" s="165" t="s">
        <v>32</v>
      </c>
      <c r="AM7" s="166" t="s">
        <v>33</v>
      </c>
      <c r="AN7" s="167" t="s">
        <v>34</v>
      </c>
      <c r="AO7" s="165" t="s">
        <v>32</v>
      </c>
      <c r="AP7" s="166" t="s">
        <v>33</v>
      </c>
      <c r="AQ7" s="168" t="s">
        <v>34</v>
      </c>
      <c r="AR7" s="39"/>
    </row>
    <row r="8" spans="1:44">
      <c r="A8" s="1"/>
      <c r="B8" s="36"/>
      <c r="C8" s="309" t="s">
        <v>69</v>
      </c>
      <c r="D8" s="316"/>
      <c r="E8" s="216"/>
      <c r="F8" s="217"/>
      <c r="G8" s="216"/>
      <c r="H8" s="217"/>
      <c r="I8" s="216"/>
      <c r="J8" s="217"/>
      <c r="K8" s="197"/>
      <c r="L8" s="198"/>
      <c r="M8" s="199"/>
      <c r="N8" s="216"/>
      <c r="O8" s="217"/>
      <c r="P8" s="216"/>
      <c r="Q8" s="217"/>
      <c r="R8" s="216"/>
      <c r="S8" s="217"/>
      <c r="T8" s="195"/>
      <c r="U8" s="200"/>
      <c r="V8" s="196"/>
      <c r="W8" s="216"/>
      <c r="X8" s="217"/>
      <c r="Y8" s="216"/>
      <c r="Z8" s="217"/>
      <c r="AA8" s="216"/>
      <c r="AB8" s="200"/>
      <c r="AC8" s="195"/>
      <c r="AD8" s="200"/>
      <c r="AE8" s="196"/>
      <c r="AF8" s="216"/>
      <c r="AG8" s="217"/>
      <c r="AH8" s="216"/>
      <c r="AI8" s="217"/>
      <c r="AJ8" s="216"/>
      <c r="AK8" s="200"/>
      <c r="AL8" s="195"/>
      <c r="AM8" s="200"/>
      <c r="AN8" s="196"/>
      <c r="AO8" s="200"/>
      <c r="AP8" s="200"/>
      <c r="AQ8" s="200"/>
      <c r="AR8" s="39"/>
    </row>
    <row r="9" spans="1:44" ht="14.25">
      <c r="A9" s="1"/>
      <c r="B9" s="36"/>
      <c r="C9" s="300" t="s">
        <v>136</v>
      </c>
      <c r="D9" s="267"/>
      <c r="E9" s="76">
        <v>100</v>
      </c>
      <c r="F9" s="78">
        <v>100</v>
      </c>
      <c r="G9" s="76">
        <v>100</v>
      </c>
      <c r="H9" s="78">
        <v>100</v>
      </c>
      <c r="I9" s="76">
        <v>100</v>
      </c>
      <c r="J9" s="78">
        <v>100</v>
      </c>
      <c r="K9" s="76">
        <f t="shared" ref="K9:L9" si="0">SUM(E9+G9+I9)</f>
        <v>300</v>
      </c>
      <c r="L9" s="77">
        <f t="shared" si="0"/>
        <v>300</v>
      </c>
      <c r="M9" s="78">
        <f t="shared" ref="M9:M14" si="1">K9-L9</f>
        <v>0</v>
      </c>
      <c r="N9" s="76"/>
      <c r="O9" s="78"/>
      <c r="P9" s="76"/>
      <c r="Q9" s="78"/>
      <c r="R9" s="76"/>
      <c r="S9" s="78"/>
      <c r="T9" s="76">
        <f t="shared" ref="T9:U9" si="2">SUM(N9+P9+R9)</f>
        <v>0</v>
      </c>
      <c r="U9" s="77">
        <f t="shared" si="2"/>
        <v>0</v>
      </c>
      <c r="V9" s="78">
        <f t="shared" ref="V9:V14" si="3">T9-U9</f>
        <v>0</v>
      </c>
      <c r="W9" s="76"/>
      <c r="X9" s="78"/>
      <c r="Y9" s="76"/>
      <c r="Z9" s="78"/>
      <c r="AA9" s="76"/>
      <c r="AB9" s="78"/>
      <c r="AC9" s="76">
        <f t="shared" ref="AC9:AD9" si="4">SUM(W9+Y9+AA9)</f>
        <v>0</v>
      </c>
      <c r="AD9" s="77">
        <f t="shared" si="4"/>
        <v>0</v>
      </c>
      <c r="AE9" s="78">
        <f t="shared" ref="AE9:AE14" si="5">AC9-AD9</f>
        <v>0</v>
      </c>
      <c r="AF9" s="76"/>
      <c r="AG9" s="78"/>
      <c r="AH9" s="76"/>
      <c r="AI9" s="78"/>
      <c r="AJ9" s="76"/>
      <c r="AK9" s="78"/>
      <c r="AL9" s="76">
        <f t="shared" ref="AL9:AM9" si="6">SUM(AF9+AH9+AJ9)</f>
        <v>0</v>
      </c>
      <c r="AM9" s="77">
        <f t="shared" si="6"/>
        <v>0</v>
      </c>
      <c r="AN9" s="78">
        <f t="shared" ref="AN9:AN14" si="7">AL9-AM9</f>
        <v>0</v>
      </c>
      <c r="AO9" s="76">
        <f t="shared" ref="AO9:AP9" si="8">SUM(K9+T9+AC9+AL9)</f>
        <v>300</v>
      </c>
      <c r="AP9" s="77">
        <f t="shared" si="8"/>
        <v>300</v>
      </c>
      <c r="AQ9" s="77">
        <f t="shared" ref="AQ9:AQ14" si="9">AO9-AP9</f>
        <v>0</v>
      </c>
      <c r="AR9" s="39"/>
    </row>
    <row r="10" spans="1:44" ht="14.25">
      <c r="A10" s="1"/>
      <c r="B10" s="36"/>
      <c r="C10" s="300" t="s">
        <v>137</v>
      </c>
      <c r="D10" s="267"/>
      <c r="E10" s="76">
        <v>100</v>
      </c>
      <c r="F10" s="78">
        <v>100</v>
      </c>
      <c r="G10" s="76">
        <v>100</v>
      </c>
      <c r="H10" s="78">
        <v>100</v>
      </c>
      <c r="I10" s="76">
        <v>100</v>
      </c>
      <c r="J10" s="78">
        <v>100</v>
      </c>
      <c r="K10" s="76">
        <f t="shared" ref="K10:L10" si="10">SUM(E10+G10+I10)</f>
        <v>300</v>
      </c>
      <c r="L10" s="77">
        <f t="shared" si="10"/>
        <v>300</v>
      </c>
      <c r="M10" s="78">
        <f t="shared" si="1"/>
        <v>0</v>
      </c>
      <c r="N10" s="76"/>
      <c r="O10" s="78"/>
      <c r="P10" s="76"/>
      <c r="Q10" s="78"/>
      <c r="R10" s="76"/>
      <c r="S10" s="78"/>
      <c r="T10" s="76">
        <f t="shared" ref="T10:U10" si="11">SUM(N10+P10+R10)</f>
        <v>0</v>
      </c>
      <c r="U10" s="77">
        <f t="shared" si="11"/>
        <v>0</v>
      </c>
      <c r="V10" s="78">
        <f t="shared" si="3"/>
        <v>0</v>
      </c>
      <c r="W10" s="76"/>
      <c r="X10" s="78"/>
      <c r="Y10" s="76"/>
      <c r="Z10" s="78"/>
      <c r="AA10" s="76"/>
      <c r="AB10" s="78"/>
      <c r="AC10" s="76">
        <f t="shared" ref="AC10:AD10" si="12">SUM(W10+Y10+AA10)</f>
        <v>0</v>
      </c>
      <c r="AD10" s="77">
        <f t="shared" si="12"/>
        <v>0</v>
      </c>
      <c r="AE10" s="78">
        <f t="shared" si="5"/>
        <v>0</v>
      </c>
      <c r="AF10" s="76"/>
      <c r="AG10" s="78"/>
      <c r="AH10" s="76"/>
      <c r="AI10" s="78"/>
      <c r="AJ10" s="76"/>
      <c r="AK10" s="78"/>
      <c r="AL10" s="76">
        <f t="shared" ref="AL10:AM10" si="13">SUM(AF10+AH10+AJ10)</f>
        <v>0</v>
      </c>
      <c r="AM10" s="77">
        <f t="shared" si="13"/>
        <v>0</v>
      </c>
      <c r="AN10" s="78">
        <f t="shared" si="7"/>
        <v>0</v>
      </c>
      <c r="AO10" s="76">
        <f t="shared" ref="AO10:AP10" si="14">SUM(K10+T10+AC10+AL10)</f>
        <v>300</v>
      </c>
      <c r="AP10" s="77">
        <f t="shared" si="14"/>
        <v>300</v>
      </c>
      <c r="AQ10" s="77">
        <f t="shared" si="9"/>
        <v>0</v>
      </c>
      <c r="AR10" s="39"/>
    </row>
    <row r="11" spans="1:44" ht="14.25">
      <c r="A11" s="1"/>
      <c r="B11" s="36"/>
      <c r="C11" s="300" t="s">
        <v>138</v>
      </c>
      <c r="D11" s="267"/>
      <c r="E11" s="76">
        <v>100</v>
      </c>
      <c r="F11" s="78">
        <v>100</v>
      </c>
      <c r="G11" s="76">
        <v>100</v>
      </c>
      <c r="H11" s="78">
        <v>100</v>
      </c>
      <c r="I11" s="76">
        <v>100</v>
      </c>
      <c r="J11" s="78">
        <v>100</v>
      </c>
      <c r="K11" s="76">
        <f t="shared" ref="K11:L11" si="15">SUM(E11+G11+I11)</f>
        <v>300</v>
      </c>
      <c r="L11" s="77">
        <f t="shared" si="15"/>
        <v>300</v>
      </c>
      <c r="M11" s="78">
        <f t="shared" si="1"/>
        <v>0</v>
      </c>
      <c r="N11" s="76"/>
      <c r="O11" s="78"/>
      <c r="P11" s="76"/>
      <c r="Q11" s="78"/>
      <c r="R11" s="76"/>
      <c r="S11" s="78"/>
      <c r="T11" s="76">
        <f t="shared" ref="T11:U11" si="16">SUM(N11+P11+R11)</f>
        <v>0</v>
      </c>
      <c r="U11" s="77">
        <f t="shared" si="16"/>
        <v>0</v>
      </c>
      <c r="V11" s="78">
        <f t="shared" si="3"/>
        <v>0</v>
      </c>
      <c r="W11" s="76"/>
      <c r="X11" s="78"/>
      <c r="Y11" s="76"/>
      <c r="Z11" s="78"/>
      <c r="AA11" s="76"/>
      <c r="AB11" s="78"/>
      <c r="AC11" s="76">
        <f t="shared" ref="AC11:AD11" si="17">SUM(W11+Y11+AA11)</f>
        <v>0</v>
      </c>
      <c r="AD11" s="77">
        <f t="shared" si="17"/>
        <v>0</v>
      </c>
      <c r="AE11" s="78">
        <f t="shared" si="5"/>
        <v>0</v>
      </c>
      <c r="AF11" s="76"/>
      <c r="AG11" s="78"/>
      <c r="AH11" s="76"/>
      <c r="AI11" s="78"/>
      <c r="AJ11" s="76"/>
      <c r="AK11" s="78"/>
      <c r="AL11" s="76">
        <f t="shared" ref="AL11:AM11" si="18">SUM(AF11+AH11+AJ11)</f>
        <v>0</v>
      </c>
      <c r="AM11" s="77">
        <f t="shared" si="18"/>
        <v>0</v>
      </c>
      <c r="AN11" s="78">
        <f t="shared" si="7"/>
        <v>0</v>
      </c>
      <c r="AO11" s="76">
        <f t="shared" ref="AO11:AP11" si="19">SUM(K11+T11+AC11+AL11)</f>
        <v>300</v>
      </c>
      <c r="AP11" s="77">
        <f t="shared" si="19"/>
        <v>300</v>
      </c>
      <c r="AQ11" s="77">
        <f t="shared" si="9"/>
        <v>0</v>
      </c>
      <c r="AR11" s="39"/>
    </row>
    <row r="12" spans="1:44" ht="14.25">
      <c r="A12" s="1"/>
      <c r="B12" s="36"/>
      <c r="C12" s="300" t="s">
        <v>139</v>
      </c>
      <c r="D12" s="267"/>
      <c r="E12" s="76">
        <v>100</v>
      </c>
      <c r="F12" s="78">
        <v>100</v>
      </c>
      <c r="G12" s="76">
        <v>100</v>
      </c>
      <c r="H12" s="78">
        <v>100</v>
      </c>
      <c r="I12" s="76">
        <v>100</v>
      </c>
      <c r="J12" s="78">
        <v>100</v>
      </c>
      <c r="K12" s="76">
        <f t="shared" ref="K12:L12" si="20">SUM(E12+G12+I12)</f>
        <v>300</v>
      </c>
      <c r="L12" s="77">
        <f t="shared" si="20"/>
        <v>300</v>
      </c>
      <c r="M12" s="78">
        <f t="shared" si="1"/>
        <v>0</v>
      </c>
      <c r="N12" s="76"/>
      <c r="O12" s="78"/>
      <c r="P12" s="76"/>
      <c r="Q12" s="78"/>
      <c r="R12" s="76"/>
      <c r="S12" s="78"/>
      <c r="T12" s="76">
        <f t="shared" ref="T12:U12" si="21">SUM(N12+P12+R12)</f>
        <v>0</v>
      </c>
      <c r="U12" s="77">
        <f t="shared" si="21"/>
        <v>0</v>
      </c>
      <c r="V12" s="78">
        <f t="shared" si="3"/>
        <v>0</v>
      </c>
      <c r="W12" s="76"/>
      <c r="X12" s="78"/>
      <c r="Y12" s="76"/>
      <c r="Z12" s="78"/>
      <c r="AA12" s="76"/>
      <c r="AB12" s="78"/>
      <c r="AC12" s="76">
        <f t="shared" ref="AC12:AD12" si="22">SUM(W12+Y12+AA12)</f>
        <v>0</v>
      </c>
      <c r="AD12" s="77">
        <f t="shared" si="22"/>
        <v>0</v>
      </c>
      <c r="AE12" s="78">
        <f t="shared" si="5"/>
        <v>0</v>
      </c>
      <c r="AF12" s="76"/>
      <c r="AG12" s="78"/>
      <c r="AH12" s="76"/>
      <c r="AI12" s="78"/>
      <c r="AJ12" s="76"/>
      <c r="AK12" s="78"/>
      <c r="AL12" s="76">
        <f t="shared" ref="AL12:AM12" si="23">SUM(AF12+AH12+AJ12)</f>
        <v>0</v>
      </c>
      <c r="AM12" s="77">
        <f t="shared" si="23"/>
        <v>0</v>
      </c>
      <c r="AN12" s="78">
        <f t="shared" si="7"/>
        <v>0</v>
      </c>
      <c r="AO12" s="76">
        <f t="shared" ref="AO12:AP12" si="24">SUM(K12+T12+AC12+AL12)</f>
        <v>300</v>
      </c>
      <c r="AP12" s="77">
        <f t="shared" si="24"/>
        <v>300</v>
      </c>
      <c r="AQ12" s="77">
        <f t="shared" si="9"/>
        <v>0</v>
      </c>
      <c r="AR12" s="39"/>
    </row>
    <row r="13" spans="1:44" ht="14.25">
      <c r="A13" s="1"/>
      <c r="B13" s="36"/>
      <c r="C13" s="300" t="s">
        <v>140</v>
      </c>
      <c r="D13" s="267"/>
      <c r="E13" s="76">
        <v>100</v>
      </c>
      <c r="F13" s="78">
        <v>100</v>
      </c>
      <c r="G13" s="76">
        <v>100</v>
      </c>
      <c r="H13" s="78">
        <v>100</v>
      </c>
      <c r="I13" s="76">
        <v>100</v>
      </c>
      <c r="J13" s="78">
        <v>100</v>
      </c>
      <c r="K13" s="76">
        <f t="shared" ref="K13:L13" si="25">SUM(E13+G13+I13)</f>
        <v>300</v>
      </c>
      <c r="L13" s="77">
        <f t="shared" si="25"/>
        <v>300</v>
      </c>
      <c r="M13" s="78">
        <f t="shared" si="1"/>
        <v>0</v>
      </c>
      <c r="N13" s="76"/>
      <c r="O13" s="78"/>
      <c r="P13" s="76"/>
      <c r="Q13" s="78"/>
      <c r="R13" s="76"/>
      <c r="S13" s="78"/>
      <c r="T13" s="76">
        <f t="shared" ref="T13:U13" si="26">SUM(N13+P13+R13)</f>
        <v>0</v>
      </c>
      <c r="U13" s="77">
        <f t="shared" si="26"/>
        <v>0</v>
      </c>
      <c r="V13" s="78">
        <f t="shared" si="3"/>
        <v>0</v>
      </c>
      <c r="W13" s="76"/>
      <c r="X13" s="78"/>
      <c r="Y13" s="76"/>
      <c r="Z13" s="78"/>
      <c r="AA13" s="76"/>
      <c r="AB13" s="78"/>
      <c r="AC13" s="76">
        <f t="shared" ref="AC13:AD13" si="27">SUM(W13+Y13+AA13)</f>
        <v>0</v>
      </c>
      <c r="AD13" s="77">
        <f t="shared" si="27"/>
        <v>0</v>
      </c>
      <c r="AE13" s="78">
        <f t="shared" si="5"/>
        <v>0</v>
      </c>
      <c r="AF13" s="76"/>
      <c r="AG13" s="78"/>
      <c r="AH13" s="76"/>
      <c r="AI13" s="78"/>
      <c r="AJ13" s="76"/>
      <c r="AK13" s="78"/>
      <c r="AL13" s="76">
        <f t="shared" ref="AL13:AM13" si="28">SUM(AF13+AH13+AJ13)</f>
        <v>0</v>
      </c>
      <c r="AM13" s="77">
        <f t="shared" si="28"/>
        <v>0</v>
      </c>
      <c r="AN13" s="78">
        <f t="shared" si="7"/>
        <v>0</v>
      </c>
      <c r="AO13" s="76">
        <f t="shared" ref="AO13:AP13" si="29">SUM(K13+T13+AC13+AL13)</f>
        <v>300</v>
      </c>
      <c r="AP13" s="77">
        <f t="shared" si="29"/>
        <v>300</v>
      </c>
      <c r="AQ13" s="77">
        <f t="shared" si="9"/>
        <v>0</v>
      </c>
      <c r="AR13" s="39"/>
    </row>
    <row r="14" spans="1:44" ht="14.25">
      <c r="A14" s="1"/>
      <c r="B14" s="36"/>
      <c r="C14" s="300" t="s">
        <v>141</v>
      </c>
      <c r="D14" s="267"/>
      <c r="E14" s="76">
        <v>100</v>
      </c>
      <c r="F14" s="78">
        <v>100</v>
      </c>
      <c r="G14" s="76">
        <v>100</v>
      </c>
      <c r="H14" s="78">
        <v>100</v>
      </c>
      <c r="I14" s="76">
        <v>100</v>
      </c>
      <c r="J14" s="78">
        <v>100</v>
      </c>
      <c r="K14" s="76">
        <f t="shared" ref="K14:L14" si="30">SUM(E14+G14+I14)</f>
        <v>300</v>
      </c>
      <c r="L14" s="77">
        <f t="shared" si="30"/>
        <v>300</v>
      </c>
      <c r="M14" s="78">
        <f t="shared" si="1"/>
        <v>0</v>
      </c>
      <c r="N14" s="76"/>
      <c r="O14" s="78"/>
      <c r="P14" s="76"/>
      <c r="Q14" s="78"/>
      <c r="R14" s="76"/>
      <c r="S14" s="78"/>
      <c r="T14" s="76">
        <f t="shared" ref="T14:U14" si="31">SUM(N14+P14+R14)</f>
        <v>0</v>
      </c>
      <c r="U14" s="77">
        <f t="shared" si="31"/>
        <v>0</v>
      </c>
      <c r="V14" s="78">
        <f t="shared" si="3"/>
        <v>0</v>
      </c>
      <c r="W14" s="76"/>
      <c r="X14" s="78"/>
      <c r="Y14" s="76"/>
      <c r="Z14" s="78"/>
      <c r="AA14" s="76"/>
      <c r="AB14" s="78"/>
      <c r="AC14" s="76">
        <f t="shared" ref="AC14:AD14" si="32">SUM(W14+Y14+AA14)</f>
        <v>0</v>
      </c>
      <c r="AD14" s="77">
        <f t="shared" si="32"/>
        <v>0</v>
      </c>
      <c r="AE14" s="78">
        <f t="shared" si="5"/>
        <v>0</v>
      </c>
      <c r="AF14" s="76"/>
      <c r="AG14" s="78"/>
      <c r="AH14" s="76"/>
      <c r="AI14" s="78"/>
      <c r="AJ14" s="76"/>
      <c r="AK14" s="78"/>
      <c r="AL14" s="76">
        <f t="shared" ref="AL14:AM14" si="33">SUM(AF14+AH14+AJ14)</f>
        <v>0</v>
      </c>
      <c r="AM14" s="77">
        <f t="shared" si="33"/>
        <v>0</v>
      </c>
      <c r="AN14" s="78">
        <f t="shared" si="7"/>
        <v>0</v>
      </c>
      <c r="AO14" s="76">
        <f t="shared" ref="AO14:AP14" si="34">SUM(K14+T14+AC14+AL14)</f>
        <v>300</v>
      </c>
      <c r="AP14" s="77">
        <f t="shared" si="34"/>
        <v>300</v>
      </c>
      <c r="AQ14" s="77">
        <f t="shared" si="9"/>
        <v>0</v>
      </c>
      <c r="AR14" s="39"/>
    </row>
    <row r="15" spans="1:44">
      <c r="A15" s="1"/>
      <c r="B15" s="36"/>
      <c r="C15" s="301" t="s">
        <v>142</v>
      </c>
      <c r="D15" s="318"/>
      <c r="E15" s="220"/>
      <c r="F15" s="221"/>
      <c r="G15" s="220"/>
      <c r="H15" s="221"/>
      <c r="I15" s="220"/>
      <c r="J15" s="221"/>
      <c r="K15" s="180"/>
      <c r="L15" s="182"/>
      <c r="M15" s="181"/>
      <c r="N15" s="220"/>
      <c r="O15" s="221"/>
      <c r="P15" s="220"/>
      <c r="Q15" s="221"/>
      <c r="R15" s="220"/>
      <c r="S15" s="221"/>
      <c r="T15" s="180"/>
      <c r="U15" s="182"/>
      <c r="V15" s="181"/>
      <c r="W15" s="220"/>
      <c r="X15" s="221"/>
      <c r="Y15" s="220"/>
      <c r="Z15" s="221"/>
      <c r="AA15" s="220"/>
      <c r="AB15" s="182"/>
      <c r="AC15" s="180"/>
      <c r="AD15" s="182"/>
      <c r="AE15" s="181"/>
      <c r="AF15" s="220"/>
      <c r="AG15" s="221"/>
      <c r="AH15" s="220"/>
      <c r="AI15" s="221"/>
      <c r="AJ15" s="220"/>
      <c r="AK15" s="182"/>
      <c r="AL15" s="180"/>
      <c r="AM15" s="182"/>
      <c r="AN15" s="181"/>
      <c r="AO15" s="182"/>
      <c r="AP15" s="182"/>
      <c r="AQ15" s="182"/>
      <c r="AR15" s="39"/>
    </row>
    <row r="16" spans="1:44" ht="14.25">
      <c r="A16" s="1"/>
      <c r="B16" s="36"/>
      <c r="C16" s="300" t="s">
        <v>143</v>
      </c>
      <c r="D16" s="267"/>
      <c r="E16" s="76">
        <v>100</v>
      </c>
      <c r="F16" s="78">
        <v>100</v>
      </c>
      <c r="G16" s="76">
        <v>100</v>
      </c>
      <c r="H16" s="78">
        <v>100</v>
      </c>
      <c r="I16" s="76">
        <v>100</v>
      </c>
      <c r="J16" s="78">
        <v>100</v>
      </c>
      <c r="K16" s="76">
        <f t="shared" ref="K16:L16" si="35">SUM(E16+G16+I16)</f>
        <v>300</v>
      </c>
      <c r="L16" s="77">
        <f t="shared" si="35"/>
        <v>300</v>
      </c>
      <c r="M16" s="78">
        <f t="shared" ref="M16:M18" si="36">K16-L16</f>
        <v>0</v>
      </c>
      <c r="N16" s="76"/>
      <c r="O16" s="78"/>
      <c r="P16" s="76"/>
      <c r="Q16" s="78"/>
      <c r="R16" s="76"/>
      <c r="S16" s="78"/>
      <c r="T16" s="76">
        <f t="shared" ref="T16:U16" si="37">SUM(N16+P16+R16)</f>
        <v>0</v>
      </c>
      <c r="U16" s="77">
        <f t="shared" si="37"/>
        <v>0</v>
      </c>
      <c r="V16" s="78">
        <f t="shared" ref="V16:V18" si="38">T16-U16</f>
        <v>0</v>
      </c>
      <c r="W16" s="76"/>
      <c r="X16" s="78"/>
      <c r="Y16" s="76"/>
      <c r="Z16" s="78"/>
      <c r="AA16" s="76"/>
      <c r="AB16" s="78"/>
      <c r="AC16" s="76">
        <f t="shared" ref="AC16:AD16" si="39">SUM(W16+Y16+AA16)</f>
        <v>0</v>
      </c>
      <c r="AD16" s="77">
        <f t="shared" si="39"/>
        <v>0</v>
      </c>
      <c r="AE16" s="78">
        <f t="shared" ref="AE16:AE18" si="40">AC16-AD16</f>
        <v>0</v>
      </c>
      <c r="AF16" s="76"/>
      <c r="AG16" s="78"/>
      <c r="AH16" s="76"/>
      <c r="AI16" s="78"/>
      <c r="AJ16" s="76"/>
      <c r="AK16" s="78"/>
      <c r="AL16" s="76">
        <f t="shared" ref="AL16:AM16" si="41">SUM(AF16+AH16+AJ16)</f>
        <v>0</v>
      </c>
      <c r="AM16" s="77">
        <f t="shared" si="41"/>
        <v>0</v>
      </c>
      <c r="AN16" s="78">
        <f t="shared" ref="AN16:AN18" si="42">AL16-AM16</f>
        <v>0</v>
      </c>
      <c r="AO16" s="76">
        <f t="shared" ref="AO16:AP16" si="43">SUM(K16+T16+AC16+AL16)</f>
        <v>300</v>
      </c>
      <c r="AP16" s="77">
        <f t="shared" si="43"/>
        <v>300</v>
      </c>
      <c r="AQ16" s="77">
        <f t="shared" ref="AQ16:AQ18" si="44">AO16-AP16</f>
        <v>0</v>
      </c>
      <c r="AR16" s="39"/>
    </row>
    <row r="17" spans="1:44" ht="14.25">
      <c r="A17" s="1"/>
      <c r="B17" s="36"/>
      <c r="C17" s="300" t="s">
        <v>144</v>
      </c>
      <c r="D17" s="267"/>
      <c r="E17" s="76">
        <v>100</v>
      </c>
      <c r="F17" s="78">
        <v>100</v>
      </c>
      <c r="G17" s="76">
        <v>100</v>
      </c>
      <c r="H17" s="78">
        <v>100</v>
      </c>
      <c r="I17" s="76">
        <v>100</v>
      </c>
      <c r="J17" s="78">
        <v>100</v>
      </c>
      <c r="K17" s="76">
        <f t="shared" ref="K17:L17" si="45">SUM(E17+G17+I17)</f>
        <v>300</v>
      </c>
      <c r="L17" s="77">
        <f t="shared" si="45"/>
        <v>300</v>
      </c>
      <c r="M17" s="78">
        <f t="shared" si="36"/>
        <v>0</v>
      </c>
      <c r="N17" s="76"/>
      <c r="O17" s="78"/>
      <c r="P17" s="76"/>
      <c r="Q17" s="78"/>
      <c r="R17" s="76"/>
      <c r="S17" s="78"/>
      <c r="T17" s="76">
        <f t="shared" ref="T17:U17" si="46">SUM(N17+P17+R17)</f>
        <v>0</v>
      </c>
      <c r="U17" s="77">
        <f t="shared" si="46"/>
        <v>0</v>
      </c>
      <c r="V17" s="78">
        <f t="shared" si="38"/>
        <v>0</v>
      </c>
      <c r="W17" s="76"/>
      <c r="X17" s="78"/>
      <c r="Y17" s="76"/>
      <c r="Z17" s="78"/>
      <c r="AA17" s="76"/>
      <c r="AB17" s="78"/>
      <c r="AC17" s="76">
        <f t="shared" ref="AC17:AD17" si="47">SUM(W17+Y17+AA17)</f>
        <v>0</v>
      </c>
      <c r="AD17" s="77">
        <f t="shared" si="47"/>
        <v>0</v>
      </c>
      <c r="AE17" s="78">
        <f t="shared" si="40"/>
        <v>0</v>
      </c>
      <c r="AF17" s="76"/>
      <c r="AG17" s="78"/>
      <c r="AH17" s="76"/>
      <c r="AI17" s="78"/>
      <c r="AJ17" s="76"/>
      <c r="AK17" s="78"/>
      <c r="AL17" s="76">
        <f t="shared" ref="AL17:AM17" si="48">SUM(AF17+AH17+AJ17)</f>
        <v>0</v>
      </c>
      <c r="AM17" s="77">
        <f t="shared" si="48"/>
        <v>0</v>
      </c>
      <c r="AN17" s="78">
        <f t="shared" si="42"/>
        <v>0</v>
      </c>
      <c r="AO17" s="76">
        <f t="shared" ref="AO17:AP17" si="49">SUM(K17+T17+AC17+AL17)</f>
        <v>300</v>
      </c>
      <c r="AP17" s="77">
        <f t="shared" si="49"/>
        <v>300</v>
      </c>
      <c r="AQ17" s="77">
        <f t="shared" si="44"/>
        <v>0</v>
      </c>
      <c r="AR17" s="39"/>
    </row>
    <row r="18" spans="1:44" ht="14.25">
      <c r="A18" s="1"/>
      <c r="B18" s="36"/>
      <c r="C18" s="300" t="s">
        <v>145</v>
      </c>
      <c r="D18" s="267"/>
      <c r="E18" s="76">
        <v>100</v>
      </c>
      <c r="F18" s="78">
        <v>100</v>
      </c>
      <c r="G18" s="76">
        <v>100</v>
      </c>
      <c r="H18" s="78">
        <v>100</v>
      </c>
      <c r="I18" s="76">
        <v>100</v>
      </c>
      <c r="J18" s="78">
        <v>100</v>
      </c>
      <c r="K18" s="76">
        <f t="shared" ref="K18:L18" si="50">SUM(E18+G18+I18)</f>
        <v>300</v>
      </c>
      <c r="L18" s="77">
        <f t="shared" si="50"/>
        <v>300</v>
      </c>
      <c r="M18" s="78">
        <f t="shared" si="36"/>
        <v>0</v>
      </c>
      <c r="N18" s="76"/>
      <c r="O18" s="78"/>
      <c r="P18" s="76"/>
      <c r="Q18" s="78"/>
      <c r="R18" s="76"/>
      <c r="S18" s="78"/>
      <c r="T18" s="76">
        <f t="shared" ref="T18:U18" si="51">SUM(N18+P18+R18)</f>
        <v>0</v>
      </c>
      <c r="U18" s="77">
        <f t="shared" si="51"/>
        <v>0</v>
      </c>
      <c r="V18" s="78">
        <f t="shared" si="38"/>
        <v>0</v>
      </c>
      <c r="W18" s="76"/>
      <c r="X18" s="78"/>
      <c r="Y18" s="76"/>
      <c r="Z18" s="78"/>
      <c r="AA18" s="76"/>
      <c r="AB18" s="78"/>
      <c r="AC18" s="76">
        <f t="shared" ref="AC18:AD18" si="52">SUM(W18+Y18+AA18)</f>
        <v>0</v>
      </c>
      <c r="AD18" s="77">
        <f t="shared" si="52"/>
        <v>0</v>
      </c>
      <c r="AE18" s="78">
        <f t="shared" si="40"/>
        <v>0</v>
      </c>
      <c r="AF18" s="76"/>
      <c r="AG18" s="78"/>
      <c r="AH18" s="76"/>
      <c r="AI18" s="78"/>
      <c r="AJ18" s="76"/>
      <c r="AK18" s="78"/>
      <c r="AL18" s="76">
        <f t="shared" ref="AL18:AM18" si="53">SUM(AF18+AH18+AJ18)</f>
        <v>0</v>
      </c>
      <c r="AM18" s="77">
        <f t="shared" si="53"/>
        <v>0</v>
      </c>
      <c r="AN18" s="78">
        <f t="shared" si="42"/>
        <v>0</v>
      </c>
      <c r="AO18" s="76">
        <f t="shared" ref="AO18:AP18" si="54">SUM(K18+T18+AC18+AL18)</f>
        <v>300</v>
      </c>
      <c r="AP18" s="77">
        <f t="shared" si="54"/>
        <v>300</v>
      </c>
      <c r="AQ18" s="77">
        <f t="shared" si="44"/>
        <v>0</v>
      </c>
      <c r="AR18" s="39"/>
    </row>
    <row r="19" spans="1:44">
      <c r="A19" s="1"/>
      <c r="B19" s="36"/>
      <c r="C19" s="310" t="s">
        <v>146</v>
      </c>
      <c r="D19" s="318"/>
      <c r="E19" s="222"/>
      <c r="F19" s="223"/>
      <c r="G19" s="222"/>
      <c r="H19" s="223"/>
      <c r="I19" s="222"/>
      <c r="J19" s="223"/>
      <c r="K19" s="201"/>
      <c r="L19" s="203"/>
      <c r="M19" s="202"/>
      <c r="N19" s="222"/>
      <c r="O19" s="223"/>
      <c r="P19" s="222"/>
      <c r="Q19" s="223"/>
      <c r="R19" s="222"/>
      <c r="S19" s="223"/>
      <c r="T19" s="201"/>
      <c r="U19" s="203"/>
      <c r="V19" s="202"/>
      <c r="W19" s="222"/>
      <c r="X19" s="223"/>
      <c r="Y19" s="222"/>
      <c r="Z19" s="223"/>
      <c r="AA19" s="222"/>
      <c r="AB19" s="203"/>
      <c r="AC19" s="201"/>
      <c r="AD19" s="203"/>
      <c r="AE19" s="202"/>
      <c r="AF19" s="222"/>
      <c r="AG19" s="223"/>
      <c r="AH19" s="222"/>
      <c r="AI19" s="223"/>
      <c r="AJ19" s="222"/>
      <c r="AK19" s="203"/>
      <c r="AL19" s="201"/>
      <c r="AM19" s="203"/>
      <c r="AN19" s="202"/>
      <c r="AO19" s="203"/>
      <c r="AP19" s="203"/>
      <c r="AQ19" s="203"/>
      <c r="AR19" s="39"/>
    </row>
    <row r="20" spans="1:44" ht="14.25">
      <c r="A20" s="1"/>
      <c r="B20" s="36"/>
      <c r="C20" s="300" t="s">
        <v>147</v>
      </c>
      <c r="D20" s="267"/>
      <c r="E20" s="76">
        <v>100</v>
      </c>
      <c r="F20" s="78">
        <v>100</v>
      </c>
      <c r="G20" s="76">
        <v>100</v>
      </c>
      <c r="H20" s="78">
        <v>100</v>
      </c>
      <c r="I20" s="76">
        <v>100</v>
      </c>
      <c r="J20" s="78">
        <v>100</v>
      </c>
      <c r="K20" s="76">
        <f t="shared" ref="K20:L20" si="55">SUM(E20+G20+I20)</f>
        <v>300</v>
      </c>
      <c r="L20" s="77">
        <f t="shared" si="55"/>
        <v>300</v>
      </c>
      <c r="M20" s="78">
        <f t="shared" ref="M20:M23" si="56">K20-L20</f>
        <v>0</v>
      </c>
      <c r="N20" s="76"/>
      <c r="O20" s="78"/>
      <c r="P20" s="76"/>
      <c r="Q20" s="78"/>
      <c r="R20" s="76"/>
      <c r="S20" s="78"/>
      <c r="T20" s="76">
        <f t="shared" ref="T20:U20" si="57">SUM(N20+P20+R20)</f>
        <v>0</v>
      </c>
      <c r="U20" s="77">
        <f t="shared" si="57"/>
        <v>0</v>
      </c>
      <c r="V20" s="78">
        <f t="shared" ref="V20:V23" si="58">T20-U20</f>
        <v>0</v>
      </c>
      <c r="W20" s="76"/>
      <c r="X20" s="78"/>
      <c r="Y20" s="76"/>
      <c r="Z20" s="78"/>
      <c r="AA20" s="76"/>
      <c r="AB20" s="78"/>
      <c r="AC20" s="76">
        <f t="shared" ref="AC20:AD20" si="59">SUM(W20+Y20+AA20)</f>
        <v>0</v>
      </c>
      <c r="AD20" s="77">
        <f t="shared" si="59"/>
        <v>0</v>
      </c>
      <c r="AE20" s="78">
        <f t="shared" ref="AE20:AE23" si="60">AC20-AD20</f>
        <v>0</v>
      </c>
      <c r="AF20" s="76"/>
      <c r="AG20" s="78"/>
      <c r="AH20" s="76"/>
      <c r="AI20" s="78"/>
      <c r="AJ20" s="76"/>
      <c r="AK20" s="78"/>
      <c r="AL20" s="76">
        <f t="shared" ref="AL20:AM20" si="61">SUM(AF20+AH20+AJ20)</f>
        <v>0</v>
      </c>
      <c r="AM20" s="77">
        <f t="shared" si="61"/>
        <v>0</v>
      </c>
      <c r="AN20" s="78">
        <f t="shared" ref="AN20:AN23" si="62">AL20-AM20</f>
        <v>0</v>
      </c>
      <c r="AO20" s="76">
        <f t="shared" ref="AO20:AP20" si="63">SUM(K20+T20+AC20+AL20)</f>
        <v>300</v>
      </c>
      <c r="AP20" s="77">
        <f t="shared" si="63"/>
        <v>300</v>
      </c>
      <c r="AQ20" s="77">
        <f t="shared" ref="AQ20:AQ23" si="64">AO20-AP20</f>
        <v>0</v>
      </c>
      <c r="AR20" s="39"/>
    </row>
    <row r="21" spans="1:44" ht="15.75" customHeight="1">
      <c r="A21" s="1"/>
      <c r="B21" s="36"/>
      <c r="C21" s="300" t="s">
        <v>148</v>
      </c>
      <c r="D21" s="267"/>
      <c r="E21" s="76">
        <v>100</v>
      </c>
      <c r="F21" s="78">
        <v>100</v>
      </c>
      <c r="G21" s="76">
        <v>100</v>
      </c>
      <c r="H21" s="78">
        <v>100</v>
      </c>
      <c r="I21" s="76">
        <v>100</v>
      </c>
      <c r="J21" s="78">
        <v>100</v>
      </c>
      <c r="K21" s="76">
        <f t="shared" ref="K21:L21" si="65">SUM(E21+G21+I21)</f>
        <v>300</v>
      </c>
      <c r="L21" s="77">
        <f t="shared" si="65"/>
        <v>300</v>
      </c>
      <c r="M21" s="78">
        <f t="shared" si="56"/>
        <v>0</v>
      </c>
      <c r="N21" s="76"/>
      <c r="O21" s="78"/>
      <c r="P21" s="76"/>
      <c r="Q21" s="78"/>
      <c r="R21" s="76"/>
      <c r="S21" s="78"/>
      <c r="T21" s="76">
        <f t="shared" ref="T21:U21" si="66">SUM(N21+P21+R21)</f>
        <v>0</v>
      </c>
      <c r="U21" s="77">
        <f t="shared" si="66"/>
        <v>0</v>
      </c>
      <c r="V21" s="78">
        <f t="shared" si="58"/>
        <v>0</v>
      </c>
      <c r="W21" s="76"/>
      <c r="X21" s="78"/>
      <c r="Y21" s="76"/>
      <c r="Z21" s="78"/>
      <c r="AA21" s="76"/>
      <c r="AB21" s="78"/>
      <c r="AC21" s="76">
        <f t="shared" ref="AC21:AD21" si="67">SUM(W21+Y21+AA21)</f>
        <v>0</v>
      </c>
      <c r="AD21" s="77">
        <f t="shared" si="67"/>
        <v>0</v>
      </c>
      <c r="AE21" s="78">
        <f t="shared" si="60"/>
        <v>0</v>
      </c>
      <c r="AF21" s="76"/>
      <c r="AG21" s="78"/>
      <c r="AH21" s="76"/>
      <c r="AI21" s="78"/>
      <c r="AJ21" s="76"/>
      <c r="AK21" s="78"/>
      <c r="AL21" s="76">
        <f t="shared" ref="AL21:AM21" si="68">SUM(AF21+AH21+AJ21)</f>
        <v>0</v>
      </c>
      <c r="AM21" s="77">
        <f t="shared" si="68"/>
        <v>0</v>
      </c>
      <c r="AN21" s="78">
        <f t="shared" si="62"/>
        <v>0</v>
      </c>
      <c r="AO21" s="76">
        <f t="shared" ref="AO21:AP21" si="69">SUM(K21+T21+AC21+AL21)</f>
        <v>300</v>
      </c>
      <c r="AP21" s="77">
        <f t="shared" si="69"/>
        <v>300</v>
      </c>
      <c r="AQ21" s="77">
        <f t="shared" si="64"/>
        <v>0</v>
      </c>
      <c r="AR21" s="39"/>
    </row>
    <row r="22" spans="1:44" ht="15.75" customHeight="1">
      <c r="A22" s="1"/>
      <c r="B22" s="36"/>
      <c r="C22" s="300" t="s">
        <v>149</v>
      </c>
      <c r="D22" s="267"/>
      <c r="E22" s="76">
        <v>100</v>
      </c>
      <c r="F22" s="78">
        <v>100</v>
      </c>
      <c r="G22" s="76">
        <v>100</v>
      </c>
      <c r="H22" s="78">
        <v>100</v>
      </c>
      <c r="I22" s="76">
        <v>100</v>
      </c>
      <c r="J22" s="78">
        <v>100</v>
      </c>
      <c r="K22" s="76">
        <f t="shared" ref="K22:L22" si="70">SUM(E22+G22+I22)</f>
        <v>300</v>
      </c>
      <c r="L22" s="77">
        <f t="shared" si="70"/>
        <v>300</v>
      </c>
      <c r="M22" s="78">
        <f t="shared" si="56"/>
        <v>0</v>
      </c>
      <c r="N22" s="76"/>
      <c r="O22" s="78"/>
      <c r="P22" s="76"/>
      <c r="Q22" s="78"/>
      <c r="R22" s="76"/>
      <c r="S22" s="78"/>
      <c r="T22" s="76">
        <f t="shared" ref="T22:U22" si="71">SUM(N22+P22+R22)</f>
        <v>0</v>
      </c>
      <c r="U22" s="77">
        <f t="shared" si="71"/>
        <v>0</v>
      </c>
      <c r="V22" s="78">
        <f t="shared" si="58"/>
        <v>0</v>
      </c>
      <c r="W22" s="76"/>
      <c r="X22" s="78"/>
      <c r="Y22" s="76"/>
      <c r="Z22" s="78"/>
      <c r="AA22" s="76"/>
      <c r="AB22" s="78"/>
      <c r="AC22" s="76">
        <f t="shared" ref="AC22:AD22" si="72">SUM(W22+Y22+AA22)</f>
        <v>0</v>
      </c>
      <c r="AD22" s="77">
        <f t="shared" si="72"/>
        <v>0</v>
      </c>
      <c r="AE22" s="78">
        <f t="shared" si="60"/>
        <v>0</v>
      </c>
      <c r="AF22" s="76"/>
      <c r="AG22" s="78"/>
      <c r="AH22" s="76"/>
      <c r="AI22" s="78"/>
      <c r="AJ22" s="76"/>
      <c r="AK22" s="78"/>
      <c r="AL22" s="76">
        <f t="shared" ref="AL22:AM22" si="73">SUM(AF22+AH22+AJ22)</f>
        <v>0</v>
      </c>
      <c r="AM22" s="77">
        <f t="shared" si="73"/>
        <v>0</v>
      </c>
      <c r="AN22" s="78">
        <f t="shared" si="62"/>
        <v>0</v>
      </c>
      <c r="AO22" s="76">
        <f t="shared" ref="AO22:AP22" si="74">SUM(K22+T22+AC22+AL22)</f>
        <v>300</v>
      </c>
      <c r="AP22" s="77">
        <f t="shared" si="74"/>
        <v>300</v>
      </c>
      <c r="AQ22" s="77">
        <f t="shared" si="64"/>
        <v>0</v>
      </c>
      <c r="AR22" s="39"/>
    </row>
    <row r="23" spans="1:44" ht="15.75" customHeight="1">
      <c r="A23" s="1"/>
      <c r="B23" s="36"/>
      <c r="C23" s="300" t="s">
        <v>150</v>
      </c>
      <c r="D23" s="267"/>
      <c r="E23" s="76">
        <v>100</v>
      </c>
      <c r="F23" s="78">
        <v>100</v>
      </c>
      <c r="G23" s="76">
        <v>100</v>
      </c>
      <c r="H23" s="78">
        <v>100</v>
      </c>
      <c r="I23" s="76">
        <v>100</v>
      </c>
      <c r="J23" s="78">
        <v>100</v>
      </c>
      <c r="K23" s="76">
        <f t="shared" ref="K23:L23" si="75">SUM(E23+G23+I23)</f>
        <v>300</v>
      </c>
      <c r="L23" s="77">
        <f t="shared" si="75"/>
        <v>300</v>
      </c>
      <c r="M23" s="78">
        <f t="shared" si="56"/>
        <v>0</v>
      </c>
      <c r="N23" s="76"/>
      <c r="O23" s="78"/>
      <c r="P23" s="76"/>
      <c r="Q23" s="78"/>
      <c r="R23" s="76"/>
      <c r="S23" s="78"/>
      <c r="T23" s="76">
        <f t="shared" ref="T23:U23" si="76">SUM(N23+P23+R23)</f>
        <v>0</v>
      </c>
      <c r="U23" s="77">
        <f t="shared" si="76"/>
        <v>0</v>
      </c>
      <c r="V23" s="78">
        <f t="shared" si="58"/>
        <v>0</v>
      </c>
      <c r="W23" s="76"/>
      <c r="X23" s="78"/>
      <c r="Y23" s="76"/>
      <c r="Z23" s="78"/>
      <c r="AA23" s="76"/>
      <c r="AB23" s="78"/>
      <c r="AC23" s="76">
        <f t="shared" ref="AC23:AD23" si="77">SUM(W23+Y23+AA23)</f>
        <v>0</v>
      </c>
      <c r="AD23" s="77">
        <f t="shared" si="77"/>
        <v>0</v>
      </c>
      <c r="AE23" s="78">
        <f t="shared" si="60"/>
        <v>0</v>
      </c>
      <c r="AF23" s="76"/>
      <c r="AG23" s="78"/>
      <c r="AH23" s="76"/>
      <c r="AI23" s="78"/>
      <c r="AJ23" s="76"/>
      <c r="AK23" s="78"/>
      <c r="AL23" s="76">
        <f t="shared" ref="AL23:AM23" si="78">SUM(AF23+AH23+AJ23)</f>
        <v>0</v>
      </c>
      <c r="AM23" s="77">
        <f t="shared" si="78"/>
        <v>0</v>
      </c>
      <c r="AN23" s="78">
        <f t="shared" si="62"/>
        <v>0</v>
      </c>
      <c r="AO23" s="76">
        <f t="shared" ref="AO23:AP23" si="79">SUM(K23+T23+AC23+AL23)</f>
        <v>300</v>
      </c>
      <c r="AP23" s="77">
        <f t="shared" si="79"/>
        <v>300</v>
      </c>
      <c r="AQ23" s="77">
        <f t="shared" si="64"/>
        <v>0</v>
      </c>
      <c r="AR23" s="39"/>
    </row>
    <row r="24" spans="1:44" ht="15.75" customHeight="1">
      <c r="A24" s="1"/>
      <c r="B24" s="36"/>
      <c r="C24" s="311" t="s">
        <v>151</v>
      </c>
      <c r="D24" s="318"/>
      <c r="E24" s="224"/>
      <c r="F24" s="225"/>
      <c r="G24" s="224"/>
      <c r="H24" s="225"/>
      <c r="I24" s="224"/>
      <c r="J24" s="225"/>
      <c r="K24" s="204"/>
      <c r="L24" s="206"/>
      <c r="M24" s="205"/>
      <c r="N24" s="224"/>
      <c r="O24" s="225"/>
      <c r="P24" s="224"/>
      <c r="Q24" s="225"/>
      <c r="R24" s="224"/>
      <c r="S24" s="225"/>
      <c r="T24" s="204"/>
      <c r="U24" s="206"/>
      <c r="V24" s="205"/>
      <c r="W24" s="224"/>
      <c r="X24" s="225"/>
      <c r="Y24" s="224"/>
      <c r="Z24" s="225"/>
      <c r="AA24" s="224"/>
      <c r="AB24" s="206"/>
      <c r="AC24" s="204"/>
      <c r="AD24" s="206"/>
      <c r="AE24" s="205"/>
      <c r="AF24" s="224"/>
      <c r="AG24" s="225"/>
      <c r="AH24" s="224"/>
      <c r="AI24" s="225"/>
      <c r="AJ24" s="224"/>
      <c r="AK24" s="206"/>
      <c r="AL24" s="204"/>
      <c r="AM24" s="206"/>
      <c r="AN24" s="205"/>
      <c r="AO24" s="206"/>
      <c r="AP24" s="206"/>
      <c r="AQ24" s="206"/>
      <c r="AR24" s="39"/>
    </row>
    <row r="25" spans="1:44" ht="15.75" customHeight="1">
      <c r="A25" s="1"/>
      <c r="B25" s="36"/>
      <c r="C25" s="300" t="s">
        <v>152</v>
      </c>
      <c r="D25" s="267"/>
      <c r="E25" s="76">
        <v>100</v>
      </c>
      <c r="F25" s="78">
        <v>100</v>
      </c>
      <c r="G25" s="76">
        <v>100</v>
      </c>
      <c r="H25" s="78">
        <v>100</v>
      </c>
      <c r="I25" s="76">
        <v>100</v>
      </c>
      <c r="J25" s="78">
        <v>100</v>
      </c>
      <c r="K25" s="76">
        <f t="shared" ref="K25:L25" si="80">SUM(E25+G25+I25)</f>
        <v>300</v>
      </c>
      <c r="L25" s="77">
        <f t="shared" si="80"/>
        <v>300</v>
      </c>
      <c r="M25" s="78">
        <f t="shared" ref="M25:M29" si="81">K25-L25</f>
        <v>0</v>
      </c>
      <c r="N25" s="76"/>
      <c r="O25" s="78"/>
      <c r="P25" s="76"/>
      <c r="Q25" s="78"/>
      <c r="R25" s="76"/>
      <c r="S25" s="78"/>
      <c r="T25" s="76">
        <f t="shared" ref="T25:U25" si="82">SUM(N25+P25+R25)</f>
        <v>0</v>
      </c>
      <c r="U25" s="77">
        <f t="shared" si="82"/>
        <v>0</v>
      </c>
      <c r="V25" s="78">
        <f t="shared" ref="V25:V29" si="83">T25-U25</f>
        <v>0</v>
      </c>
      <c r="W25" s="76"/>
      <c r="X25" s="78"/>
      <c r="Y25" s="76"/>
      <c r="Z25" s="78"/>
      <c r="AA25" s="76"/>
      <c r="AB25" s="78"/>
      <c r="AC25" s="76">
        <f t="shared" ref="AC25:AD25" si="84">SUM(W25+Y25+AA25)</f>
        <v>0</v>
      </c>
      <c r="AD25" s="77">
        <f t="shared" si="84"/>
        <v>0</v>
      </c>
      <c r="AE25" s="78">
        <f t="shared" ref="AE25:AE29" si="85">AC25-AD25</f>
        <v>0</v>
      </c>
      <c r="AF25" s="76"/>
      <c r="AG25" s="78"/>
      <c r="AH25" s="76"/>
      <c r="AI25" s="78"/>
      <c r="AJ25" s="76"/>
      <c r="AK25" s="78"/>
      <c r="AL25" s="76">
        <f t="shared" ref="AL25:AM25" si="86">SUM(AF25+AH25+AJ25)</f>
        <v>0</v>
      </c>
      <c r="AM25" s="77">
        <f t="shared" si="86"/>
        <v>0</v>
      </c>
      <c r="AN25" s="78">
        <f t="shared" ref="AN25:AN29" si="87">AL25-AM25</f>
        <v>0</v>
      </c>
      <c r="AO25" s="76">
        <f t="shared" ref="AO25:AP25" si="88">SUM(K25+T25+AC25+AL25)</f>
        <v>300</v>
      </c>
      <c r="AP25" s="77">
        <f t="shared" si="88"/>
        <v>300</v>
      </c>
      <c r="AQ25" s="77">
        <f t="shared" ref="AQ25:AQ29" si="89">AO25-AP25</f>
        <v>0</v>
      </c>
      <c r="AR25" s="39"/>
    </row>
    <row r="26" spans="1:44" ht="15.75" customHeight="1">
      <c r="A26" s="1"/>
      <c r="B26" s="36"/>
      <c r="C26" s="300" t="s">
        <v>153</v>
      </c>
      <c r="D26" s="267"/>
      <c r="E26" s="76">
        <v>100</v>
      </c>
      <c r="F26" s="78">
        <v>100</v>
      </c>
      <c r="G26" s="76">
        <v>100</v>
      </c>
      <c r="H26" s="78">
        <v>100</v>
      </c>
      <c r="I26" s="76">
        <v>100</v>
      </c>
      <c r="J26" s="78">
        <v>100</v>
      </c>
      <c r="K26" s="76">
        <f t="shared" ref="K26:L26" si="90">SUM(E26+G26+I26)</f>
        <v>300</v>
      </c>
      <c r="L26" s="77">
        <f t="shared" si="90"/>
        <v>300</v>
      </c>
      <c r="M26" s="78">
        <f t="shared" si="81"/>
        <v>0</v>
      </c>
      <c r="N26" s="76"/>
      <c r="O26" s="78"/>
      <c r="P26" s="76"/>
      <c r="Q26" s="78"/>
      <c r="R26" s="76"/>
      <c r="S26" s="78"/>
      <c r="T26" s="76">
        <f t="shared" ref="T26:U26" si="91">SUM(N26+P26+R26)</f>
        <v>0</v>
      </c>
      <c r="U26" s="77">
        <f t="shared" si="91"/>
        <v>0</v>
      </c>
      <c r="V26" s="78">
        <f t="shared" si="83"/>
        <v>0</v>
      </c>
      <c r="W26" s="76"/>
      <c r="X26" s="78"/>
      <c r="Y26" s="76"/>
      <c r="Z26" s="78"/>
      <c r="AA26" s="76"/>
      <c r="AB26" s="78"/>
      <c r="AC26" s="76">
        <f t="shared" ref="AC26:AD26" si="92">SUM(W26+Y26+AA26)</f>
        <v>0</v>
      </c>
      <c r="AD26" s="77">
        <f t="shared" si="92"/>
        <v>0</v>
      </c>
      <c r="AE26" s="78">
        <f t="shared" si="85"/>
        <v>0</v>
      </c>
      <c r="AF26" s="76"/>
      <c r="AG26" s="78"/>
      <c r="AH26" s="76"/>
      <c r="AI26" s="78"/>
      <c r="AJ26" s="76"/>
      <c r="AK26" s="78"/>
      <c r="AL26" s="76">
        <f t="shared" ref="AL26:AM26" si="93">SUM(AF26+AH26+AJ26)</f>
        <v>0</v>
      </c>
      <c r="AM26" s="77">
        <f t="shared" si="93"/>
        <v>0</v>
      </c>
      <c r="AN26" s="78">
        <f t="shared" si="87"/>
        <v>0</v>
      </c>
      <c r="AO26" s="76">
        <f t="shared" ref="AO26:AP26" si="94">SUM(K26+T26+AC26+AL26)</f>
        <v>300</v>
      </c>
      <c r="AP26" s="77">
        <f t="shared" si="94"/>
        <v>300</v>
      </c>
      <c r="AQ26" s="77">
        <f t="shared" si="89"/>
        <v>0</v>
      </c>
      <c r="AR26" s="39"/>
    </row>
    <row r="27" spans="1:44" ht="15.75" customHeight="1">
      <c r="A27" s="1"/>
      <c r="B27" s="36"/>
      <c r="C27" s="300" t="s">
        <v>154</v>
      </c>
      <c r="D27" s="267"/>
      <c r="E27" s="76">
        <v>100</v>
      </c>
      <c r="F27" s="78">
        <v>100</v>
      </c>
      <c r="G27" s="76">
        <v>100</v>
      </c>
      <c r="H27" s="78">
        <v>100</v>
      </c>
      <c r="I27" s="76">
        <v>100</v>
      </c>
      <c r="J27" s="78">
        <v>100</v>
      </c>
      <c r="K27" s="76">
        <f t="shared" ref="K27:L27" si="95">SUM(E27+G27+I27)</f>
        <v>300</v>
      </c>
      <c r="L27" s="77">
        <f t="shared" si="95"/>
        <v>300</v>
      </c>
      <c r="M27" s="78">
        <f t="shared" si="81"/>
        <v>0</v>
      </c>
      <c r="N27" s="76"/>
      <c r="O27" s="78"/>
      <c r="P27" s="76"/>
      <c r="Q27" s="78"/>
      <c r="R27" s="76"/>
      <c r="S27" s="78"/>
      <c r="T27" s="76">
        <f t="shared" ref="T27:U27" si="96">SUM(N27+P27+R27)</f>
        <v>0</v>
      </c>
      <c r="U27" s="77">
        <f t="shared" si="96"/>
        <v>0</v>
      </c>
      <c r="V27" s="78">
        <f t="shared" si="83"/>
        <v>0</v>
      </c>
      <c r="W27" s="76"/>
      <c r="X27" s="78"/>
      <c r="Y27" s="76"/>
      <c r="Z27" s="78"/>
      <c r="AA27" s="76"/>
      <c r="AB27" s="78"/>
      <c r="AC27" s="76">
        <f t="shared" ref="AC27:AD27" si="97">SUM(W27+Y27+AA27)</f>
        <v>0</v>
      </c>
      <c r="AD27" s="77">
        <f t="shared" si="97"/>
        <v>0</v>
      </c>
      <c r="AE27" s="78">
        <f t="shared" si="85"/>
        <v>0</v>
      </c>
      <c r="AF27" s="76"/>
      <c r="AG27" s="78"/>
      <c r="AH27" s="76"/>
      <c r="AI27" s="78"/>
      <c r="AJ27" s="76"/>
      <c r="AK27" s="78"/>
      <c r="AL27" s="76">
        <f t="shared" ref="AL27:AM27" si="98">SUM(AF27+AH27+AJ27)</f>
        <v>0</v>
      </c>
      <c r="AM27" s="77">
        <f t="shared" si="98"/>
        <v>0</v>
      </c>
      <c r="AN27" s="78">
        <f t="shared" si="87"/>
        <v>0</v>
      </c>
      <c r="AO27" s="76">
        <f t="shared" ref="AO27:AP27" si="99">SUM(K27+T27+AC27+AL27)</f>
        <v>300</v>
      </c>
      <c r="AP27" s="77">
        <f t="shared" si="99"/>
        <v>300</v>
      </c>
      <c r="AQ27" s="77">
        <f t="shared" si="89"/>
        <v>0</v>
      </c>
      <c r="AR27" s="39"/>
    </row>
    <row r="28" spans="1:44" ht="15.75" customHeight="1">
      <c r="A28" s="1"/>
      <c r="B28" s="36"/>
      <c r="C28" s="300" t="s">
        <v>155</v>
      </c>
      <c r="D28" s="267"/>
      <c r="E28" s="76">
        <v>100</v>
      </c>
      <c r="F28" s="78">
        <v>100</v>
      </c>
      <c r="G28" s="76">
        <v>100</v>
      </c>
      <c r="H28" s="78">
        <v>100</v>
      </c>
      <c r="I28" s="76">
        <v>100</v>
      </c>
      <c r="J28" s="78">
        <v>100</v>
      </c>
      <c r="K28" s="76">
        <f t="shared" ref="K28:L28" si="100">SUM(E28+G28+I28)</f>
        <v>300</v>
      </c>
      <c r="L28" s="77">
        <f t="shared" si="100"/>
        <v>300</v>
      </c>
      <c r="M28" s="78">
        <f t="shared" si="81"/>
        <v>0</v>
      </c>
      <c r="N28" s="76"/>
      <c r="O28" s="78"/>
      <c r="P28" s="76"/>
      <c r="Q28" s="78"/>
      <c r="R28" s="76"/>
      <c r="S28" s="78"/>
      <c r="T28" s="76">
        <f t="shared" ref="T28:U28" si="101">SUM(N28+P28+R28)</f>
        <v>0</v>
      </c>
      <c r="U28" s="77">
        <f t="shared" si="101"/>
        <v>0</v>
      </c>
      <c r="V28" s="78">
        <f t="shared" si="83"/>
        <v>0</v>
      </c>
      <c r="W28" s="76"/>
      <c r="X28" s="78"/>
      <c r="Y28" s="76"/>
      <c r="Z28" s="78"/>
      <c r="AA28" s="76"/>
      <c r="AB28" s="78"/>
      <c r="AC28" s="76">
        <f t="shared" ref="AC28:AD28" si="102">SUM(W28+Y28+AA28)</f>
        <v>0</v>
      </c>
      <c r="AD28" s="77">
        <f t="shared" si="102"/>
        <v>0</v>
      </c>
      <c r="AE28" s="78">
        <f t="shared" si="85"/>
        <v>0</v>
      </c>
      <c r="AF28" s="76"/>
      <c r="AG28" s="78"/>
      <c r="AH28" s="76"/>
      <c r="AI28" s="78"/>
      <c r="AJ28" s="76"/>
      <c r="AK28" s="78"/>
      <c r="AL28" s="76">
        <f t="shared" ref="AL28:AM28" si="103">SUM(AF28+AH28+AJ28)</f>
        <v>0</v>
      </c>
      <c r="AM28" s="77">
        <f t="shared" si="103"/>
        <v>0</v>
      </c>
      <c r="AN28" s="78">
        <f t="shared" si="87"/>
        <v>0</v>
      </c>
      <c r="AO28" s="76">
        <f t="shared" ref="AO28:AP28" si="104">SUM(K28+T28+AC28+AL28)</f>
        <v>300</v>
      </c>
      <c r="AP28" s="77">
        <f t="shared" si="104"/>
        <v>300</v>
      </c>
      <c r="AQ28" s="77">
        <f t="shared" si="89"/>
        <v>0</v>
      </c>
      <c r="AR28" s="39"/>
    </row>
    <row r="29" spans="1:44" ht="15.75" customHeight="1">
      <c r="A29" s="1"/>
      <c r="B29" s="36"/>
      <c r="C29" s="300" t="s">
        <v>156</v>
      </c>
      <c r="D29" s="267"/>
      <c r="E29" s="76">
        <v>100</v>
      </c>
      <c r="F29" s="78">
        <v>100</v>
      </c>
      <c r="G29" s="76">
        <v>100</v>
      </c>
      <c r="H29" s="78">
        <v>100</v>
      </c>
      <c r="I29" s="76">
        <v>100</v>
      </c>
      <c r="J29" s="78">
        <v>100</v>
      </c>
      <c r="K29" s="76">
        <f t="shared" ref="K29:L29" si="105">SUM(E29+G29+I29)</f>
        <v>300</v>
      </c>
      <c r="L29" s="77">
        <f t="shared" si="105"/>
        <v>300</v>
      </c>
      <c r="M29" s="78">
        <f t="shared" si="81"/>
        <v>0</v>
      </c>
      <c r="N29" s="76"/>
      <c r="O29" s="78"/>
      <c r="P29" s="76"/>
      <c r="Q29" s="78"/>
      <c r="R29" s="76"/>
      <c r="S29" s="78"/>
      <c r="T29" s="76">
        <f t="shared" ref="T29:U29" si="106">SUM(N29+P29+R29)</f>
        <v>0</v>
      </c>
      <c r="U29" s="77">
        <f t="shared" si="106"/>
        <v>0</v>
      </c>
      <c r="V29" s="78">
        <f t="shared" si="83"/>
        <v>0</v>
      </c>
      <c r="W29" s="76"/>
      <c r="X29" s="78"/>
      <c r="Y29" s="76"/>
      <c r="Z29" s="78"/>
      <c r="AA29" s="76"/>
      <c r="AB29" s="78"/>
      <c r="AC29" s="76">
        <f t="shared" ref="AC29:AD29" si="107">SUM(W29+Y29+AA29)</f>
        <v>0</v>
      </c>
      <c r="AD29" s="77">
        <f t="shared" si="107"/>
        <v>0</v>
      </c>
      <c r="AE29" s="78">
        <f t="shared" si="85"/>
        <v>0</v>
      </c>
      <c r="AF29" s="76"/>
      <c r="AG29" s="78"/>
      <c r="AH29" s="76"/>
      <c r="AI29" s="78"/>
      <c r="AJ29" s="76"/>
      <c r="AK29" s="78"/>
      <c r="AL29" s="76">
        <f t="shared" ref="AL29:AM29" si="108">SUM(AF29+AH29+AJ29)</f>
        <v>0</v>
      </c>
      <c r="AM29" s="77">
        <f t="shared" si="108"/>
        <v>0</v>
      </c>
      <c r="AN29" s="78">
        <f t="shared" si="87"/>
        <v>0</v>
      </c>
      <c r="AO29" s="76">
        <f t="shared" ref="AO29:AP29" si="109">SUM(K29+T29+AC29+AL29)</f>
        <v>300</v>
      </c>
      <c r="AP29" s="77">
        <f t="shared" si="109"/>
        <v>300</v>
      </c>
      <c r="AQ29" s="77">
        <f t="shared" si="89"/>
        <v>0</v>
      </c>
      <c r="AR29" s="39"/>
    </row>
    <row r="30" spans="1:44" ht="15.75" customHeight="1">
      <c r="A30" s="1"/>
      <c r="B30" s="36"/>
      <c r="C30" s="315" t="s">
        <v>157</v>
      </c>
      <c r="D30" s="318"/>
      <c r="E30" s="226"/>
      <c r="F30" s="209"/>
      <c r="G30" s="226"/>
      <c r="H30" s="209"/>
      <c r="I30" s="226"/>
      <c r="J30" s="209"/>
      <c r="K30" s="207"/>
      <c r="L30" s="209"/>
      <c r="M30" s="208"/>
      <c r="N30" s="209"/>
      <c r="O30" s="209"/>
      <c r="P30" s="226"/>
      <c r="Q30" s="209"/>
      <c r="R30" s="226"/>
      <c r="S30" s="209"/>
      <c r="T30" s="207"/>
      <c r="U30" s="209"/>
      <c r="V30" s="208"/>
      <c r="W30" s="209"/>
      <c r="X30" s="209"/>
      <c r="Y30" s="226"/>
      <c r="Z30" s="209"/>
      <c r="AA30" s="226"/>
      <c r="AB30" s="208"/>
      <c r="AC30" s="209"/>
      <c r="AD30" s="209"/>
      <c r="AE30" s="208"/>
      <c r="AF30" s="209"/>
      <c r="AG30" s="209"/>
      <c r="AH30" s="226"/>
      <c r="AI30" s="209"/>
      <c r="AJ30" s="226"/>
      <c r="AK30" s="208"/>
      <c r="AL30" s="209"/>
      <c r="AM30" s="209"/>
      <c r="AN30" s="208"/>
      <c r="AO30" s="209"/>
      <c r="AP30" s="209"/>
      <c r="AQ30" s="209"/>
      <c r="AR30" s="39"/>
    </row>
    <row r="31" spans="1:44" ht="15.75" customHeight="1">
      <c r="A31" s="1"/>
      <c r="B31" s="36"/>
      <c r="C31" s="300" t="s">
        <v>158</v>
      </c>
      <c r="D31" s="267"/>
      <c r="E31" s="76">
        <v>100</v>
      </c>
      <c r="F31" s="78">
        <v>100</v>
      </c>
      <c r="G31" s="76">
        <v>100</v>
      </c>
      <c r="H31" s="78">
        <v>100</v>
      </c>
      <c r="I31" s="76">
        <v>100</v>
      </c>
      <c r="J31" s="78">
        <v>100</v>
      </c>
      <c r="K31" s="76">
        <f t="shared" ref="K31:L31" si="110">SUM(E31+G31+I31)</f>
        <v>300</v>
      </c>
      <c r="L31" s="77">
        <f t="shared" si="110"/>
        <v>300</v>
      </c>
      <c r="M31" s="78">
        <f t="shared" ref="M31:M35" si="111">K31-L31</f>
        <v>0</v>
      </c>
      <c r="N31" s="76"/>
      <c r="O31" s="78"/>
      <c r="P31" s="76"/>
      <c r="Q31" s="78"/>
      <c r="R31" s="76"/>
      <c r="S31" s="78"/>
      <c r="T31" s="76">
        <f t="shared" ref="T31:U31" si="112">SUM(N31+P31+R31)</f>
        <v>0</v>
      </c>
      <c r="U31" s="77">
        <f t="shared" si="112"/>
        <v>0</v>
      </c>
      <c r="V31" s="78">
        <f t="shared" ref="V31:V35" si="113">T31-U31</f>
        <v>0</v>
      </c>
      <c r="W31" s="76"/>
      <c r="X31" s="78"/>
      <c r="Y31" s="76"/>
      <c r="Z31" s="78"/>
      <c r="AA31" s="76"/>
      <c r="AB31" s="78"/>
      <c r="AC31" s="76">
        <f t="shared" ref="AC31:AD31" si="114">SUM(W31+Y31+AA31)</f>
        <v>0</v>
      </c>
      <c r="AD31" s="77">
        <f t="shared" si="114"/>
        <v>0</v>
      </c>
      <c r="AE31" s="78">
        <f t="shared" ref="AE31:AE35" si="115">AC31-AD31</f>
        <v>0</v>
      </c>
      <c r="AF31" s="76"/>
      <c r="AG31" s="78"/>
      <c r="AH31" s="76"/>
      <c r="AI31" s="78"/>
      <c r="AJ31" s="76"/>
      <c r="AK31" s="78"/>
      <c r="AL31" s="76">
        <f t="shared" ref="AL31:AM31" si="116">SUM(AF31+AH31+AJ31)</f>
        <v>0</v>
      </c>
      <c r="AM31" s="77">
        <f t="shared" si="116"/>
        <v>0</v>
      </c>
      <c r="AN31" s="78">
        <f t="shared" ref="AN31:AN35" si="117">AL31-AM31</f>
        <v>0</v>
      </c>
      <c r="AO31" s="76">
        <f t="shared" ref="AO31:AP31" si="118">SUM(K31+T31+AC31+AL31)</f>
        <v>300</v>
      </c>
      <c r="AP31" s="77">
        <f t="shared" si="118"/>
        <v>300</v>
      </c>
      <c r="AQ31" s="77">
        <f t="shared" ref="AQ31:AQ35" si="119">AO31-AP31</f>
        <v>0</v>
      </c>
      <c r="AR31" s="39"/>
    </row>
    <row r="32" spans="1:44" ht="15.75" customHeight="1">
      <c r="A32" s="1"/>
      <c r="B32" s="36"/>
      <c r="C32" s="300" t="s">
        <v>159</v>
      </c>
      <c r="D32" s="267"/>
      <c r="E32" s="76">
        <v>100</v>
      </c>
      <c r="F32" s="78">
        <v>100</v>
      </c>
      <c r="G32" s="76">
        <v>100</v>
      </c>
      <c r="H32" s="78">
        <v>100</v>
      </c>
      <c r="I32" s="76">
        <v>100</v>
      </c>
      <c r="J32" s="78">
        <v>100</v>
      </c>
      <c r="K32" s="76">
        <f t="shared" ref="K32:L32" si="120">SUM(E32+G32+I32)</f>
        <v>300</v>
      </c>
      <c r="L32" s="77">
        <f t="shared" si="120"/>
        <v>300</v>
      </c>
      <c r="M32" s="78">
        <f t="shared" si="111"/>
        <v>0</v>
      </c>
      <c r="N32" s="76"/>
      <c r="O32" s="78"/>
      <c r="P32" s="76"/>
      <c r="Q32" s="78"/>
      <c r="R32" s="76"/>
      <c r="S32" s="78"/>
      <c r="T32" s="76">
        <f t="shared" ref="T32:U32" si="121">SUM(N32+P32+R32)</f>
        <v>0</v>
      </c>
      <c r="U32" s="77">
        <f t="shared" si="121"/>
        <v>0</v>
      </c>
      <c r="V32" s="78">
        <f t="shared" si="113"/>
        <v>0</v>
      </c>
      <c r="W32" s="76"/>
      <c r="X32" s="78"/>
      <c r="Y32" s="76"/>
      <c r="Z32" s="78"/>
      <c r="AA32" s="76"/>
      <c r="AB32" s="78"/>
      <c r="AC32" s="76">
        <f t="shared" ref="AC32:AD32" si="122">SUM(W32+Y32+AA32)</f>
        <v>0</v>
      </c>
      <c r="AD32" s="77">
        <f t="shared" si="122"/>
        <v>0</v>
      </c>
      <c r="AE32" s="78">
        <f t="shared" si="115"/>
        <v>0</v>
      </c>
      <c r="AF32" s="76"/>
      <c r="AG32" s="78"/>
      <c r="AH32" s="76"/>
      <c r="AI32" s="78"/>
      <c r="AJ32" s="76"/>
      <c r="AK32" s="78"/>
      <c r="AL32" s="76">
        <f t="shared" ref="AL32:AM32" si="123">SUM(AF32+AH32+AJ32)</f>
        <v>0</v>
      </c>
      <c r="AM32" s="77">
        <f t="shared" si="123"/>
        <v>0</v>
      </c>
      <c r="AN32" s="78">
        <f t="shared" si="117"/>
        <v>0</v>
      </c>
      <c r="AO32" s="76">
        <f t="shared" ref="AO32:AP32" si="124">SUM(K32+T32+AC32+AL32)</f>
        <v>300</v>
      </c>
      <c r="AP32" s="77">
        <f t="shared" si="124"/>
        <v>300</v>
      </c>
      <c r="AQ32" s="77">
        <f t="shared" si="119"/>
        <v>0</v>
      </c>
      <c r="AR32" s="39"/>
    </row>
    <row r="33" spans="1:44" ht="15.75" customHeight="1">
      <c r="A33" s="1"/>
      <c r="B33" s="36"/>
      <c r="C33" s="300" t="s">
        <v>160</v>
      </c>
      <c r="D33" s="267"/>
      <c r="E33" s="76">
        <v>100</v>
      </c>
      <c r="F33" s="78">
        <v>100</v>
      </c>
      <c r="G33" s="76">
        <v>100</v>
      </c>
      <c r="H33" s="78">
        <v>100</v>
      </c>
      <c r="I33" s="76">
        <v>100</v>
      </c>
      <c r="J33" s="78">
        <v>100</v>
      </c>
      <c r="K33" s="76">
        <f t="shared" ref="K33:L33" si="125">SUM(E33+G33+I33)</f>
        <v>300</v>
      </c>
      <c r="L33" s="77">
        <f t="shared" si="125"/>
        <v>300</v>
      </c>
      <c r="M33" s="78">
        <f t="shared" si="111"/>
        <v>0</v>
      </c>
      <c r="N33" s="76"/>
      <c r="O33" s="78"/>
      <c r="P33" s="76"/>
      <c r="Q33" s="78"/>
      <c r="R33" s="76"/>
      <c r="S33" s="78"/>
      <c r="T33" s="76">
        <f t="shared" ref="T33:U33" si="126">SUM(N33+P33+R33)</f>
        <v>0</v>
      </c>
      <c r="U33" s="77">
        <f t="shared" si="126"/>
        <v>0</v>
      </c>
      <c r="V33" s="78">
        <f t="shared" si="113"/>
        <v>0</v>
      </c>
      <c r="W33" s="76"/>
      <c r="X33" s="78"/>
      <c r="Y33" s="76"/>
      <c r="Z33" s="78"/>
      <c r="AA33" s="76"/>
      <c r="AB33" s="78"/>
      <c r="AC33" s="76">
        <f t="shared" ref="AC33:AD33" si="127">SUM(W33+Y33+AA33)</f>
        <v>0</v>
      </c>
      <c r="AD33" s="77">
        <f t="shared" si="127"/>
        <v>0</v>
      </c>
      <c r="AE33" s="78">
        <f t="shared" si="115"/>
        <v>0</v>
      </c>
      <c r="AF33" s="76"/>
      <c r="AG33" s="78"/>
      <c r="AH33" s="76"/>
      <c r="AI33" s="78"/>
      <c r="AJ33" s="76"/>
      <c r="AK33" s="78"/>
      <c r="AL33" s="76">
        <f t="shared" ref="AL33:AM33" si="128">SUM(AF33+AH33+AJ33)</f>
        <v>0</v>
      </c>
      <c r="AM33" s="77">
        <f t="shared" si="128"/>
        <v>0</v>
      </c>
      <c r="AN33" s="78">
        <f t="shared" si="117"/>
        <v>0</v>
      </c>
      <c r="AO33" s="76">
        <f t="shared" ref="AO33:AP33" si="129">SUM(K33+T33+AC33+AL33)</f>
        <v>300</v>
      </c>
      <c r="AP33" s="77">
        <f t="shared" si="129"/>
        <v>300</v>
      </c>
      <c r="AQ33" s="77">
        <f t="shared" si="119"/>
        <v>0</v>
      </c>
      <c r="AR33" s="39"/>
    </row>
    <row r="34" spans="1:44" ht="15.75" customHeight="1">
      <c r="A34" s="1"/>
      <c r="B34" s="36"/>
      <c r="C34" s="300" t="s">
        <v>161</v>
      </c>
      <c r="D34" s="267"/>
      <c r="E34" s="76">
        <v>100</v>
      </c>
      <c r="F34" s="78">
        <v>100</v>
      </c>
      <c r="G34" s="76">
        <v>100</v>
      </c>
      <c r="H34" s="78">
        <v>100</v>
      </c>
      <c r="I34" s="76">
        <v>100</v>
      </c>
      <c r="J34" s="78">
        <v>100</v>
      </c>
      <c r="K34" s="76">
        <f t="shared" ref="K34:L34" si="130">SUM(E34+G34+I34)</f>
        <v>300</v>
      </c>
      <c r="L34" s="77">
        <f t="shared" si="130"/>
        <v>300</v>
      </c>
      <c r="M34" s="78">
        <f t="shared" si="111"/>
        <v>0</v>
      </c>
      <c r="N34" s="76"/>
      <c r="O34" s="78"/>
      <c r="P34" s="76"/>
      <c r="Q34" s="78"/>
      <c r="R34" s="76"/>
      <c r="S34" s="78"/>
      <c r="T34" s="76">
        <f t="shared" ref="T34:T35" si="131">SUM(N34+P34+R34)</f>
        <v>0</v>
      </c>
      <c r="U34" s="77">
        <v>0</v>
      </c>
      <c r="V34" s="78">
        <f t="shared" si="113"/>
        <v>0</v>
      </c>
      <c r="W34" s="76"/>
      <c r="X34" s="78"/>
      <c r="Y34" s="76"/>
      <c r="Z34" s="78"/>
      <c r="AA34" s="76"/>
      <c r="AB34" s="78"/>
      <c r="AC34" s="76">
        <f t="shared" ref="AC34:AD34" si="132">SUM(W34+Y34+AA34)</f>
        <v>0</v>
      </c>
      <c r="AD34" s="77">
        <f t="shared" si="132"/>
        <v>0</v>
      </c>
      <c r="AE34" s="78">
        <f t="shared" si="115"/>
        <v>0</v>
      </c>
      <c r="AF34" s="76"/>
      <c r="AG34" s="78"/>
      <c r="AH34" s="76"/>
      <c r="AI34" s="78"/>
      <c r="AJ34" s="76"/>
      <c r="AK34" s="78"/>
      <c r="AL34" s="76">
        <f t="shared" ref="AL34:AM34" si="133">SUM(AF34+AH34+AJ34)</f>
        <v>0</v>
      </c>
      <c r="AM34" s="77">
        <f t="shared" si="133"/>
        <v>0</v>
      </c>
      <c r="AN34" s="78">
        <f t="shared" si="117"/>
        <v>0</v>
      </c>
      <c r="AO34" s="76">
        <f t="shared" ref="AO34:AP34" si="134">SUM(K34+T34+AC34+AL34)</f>
        <v>300</v>
      </c>
      <c r="AP34" s="77">
        <f t="shared" si="134"/>
        <v>300</v>
      </c>
      <c r="AQ34" s="77">
        <f t="shared" si="119"/>
        <v>0</v>
      </c>
      <c r="AR34" s="39"/>
    </row>
    <row r="35" spans="1:44" ht="15.75" customHeight="1">
      <c r="A35" s="1"/>
      <c r="B35" s="36"/>
      <c r="C35" s="306" t="s">
        <v>162</v>
      </c>
      <c r="D35" s="307"/>
      <c r="E35" s="80">
        <v>100</v>
      </c>
      <c r="F35" s="82">
        <v>100</v>
      </c>
      <c r="G35" s="80">
        <v>100</v>
      </c>
      <c r="H35" s="82">
        <v>100</v>
      </c>
      <c r="I35" s="80">
        <v>100</v>
      </c>
      <c r="J35" s="82">
        <v>100</v>
      </c>
      <c r="K35" s="80">
        <f t="shared" ref="K35:L35" si="135">SUM(E35+G35+I35)</f>
        <v>300</v>
      </c>
      <c r="L35" s="81">
        <f t="shared" si="135"/>
        <v>300</v>
      </c>
      <c r="M35" s="82">
        <f t="shared" si="111"/>
        <v>0</v>
      </c>
      <c r="N35" s="80"/>
      <c r="O35" s="82"/>
      <c r="P35" s="80"/>
      <c r="Q35" s="82"/>
      <c r="R35" s="80"/>
      <c r="S35" s="82"/>
      <c r="T35" s="80">
        <f t="shared" si="131"/>
        <v>0</v>
      </c>
      <c r="U35" s="81">
        <v>0</v>
      </c>
      <c r="V35" s="82">
        <f t="shared" si="113"/>
        <v>0</v>
      </c>
      <c r="W35" s="80"/>
      <c r="X35" s="82"/>
      <c r="Y35" s="80"/>
      <c r="Z35" s="82"/>
      <c r="AA35" s="80"/>
      <c r="AB35" s="82"/>
      <c r="AC35" s="80">
        <f t="shared" ref="AC35:AD35" si="136">SUM(W35+Y35+AA35)</f>
        <v>0</v>
      </c>
      <c r="AD35" s="81">
        <f t="shared" si="136"/>
        <v>0</v>
      </c>
      <c r="AE35" s="82">
        <f t="shared" si="115"/>
        <v>0</v>
      </c>
      <c r="AF35" s="80"/>
      <c r="AG35" s="82"/>
      <c r="AH35" s="80"/>
      <c r="AI35" s="82"/>
      <c r="AJ35" s="80"/>
      <c r="AK35" s="82"/>
      <c r="AL35" s="80">
        <f t="shared" ref="AL35:AM35" si="137">SUM(AF35+AH35+AJ35)</f>
        <v>0</v>
      </c>
      <c r="AM35" s="81">
        <f t="shared" si="137"/>
        <v>0</v>
      </c>
      <c r="AN35" s="82">
        <f t="shared" si="117"/>
        <v>0</v>
      </c>
      <c r="AO35" s="80">
        <f t="shared" ref="AO35:AP35" si="138">SUM(K35+T35+AC35+AL35)</f>
        <v>300</v>
      </c>
      <c r="AP35" s="81">
        <f t="shared" si="138"/>
        <v>300</v>
      </c>
      <c r="AQ35" s="81">
        <f t="shared" si="119"/>
        <v>0</v>
      </c>
      <c r="AR35" s="39"/>
    </row>
    <row r="36" spans="1:44" ht="15.75" customHeight="1">
      <c r="A36" s="1"/>
      <c r="B36" s="36"/>
      <c r="C36" s="292" t="s">
        <v>42</v>
      </c>
      <c r="D36" s="296"/>
      <c r="E36" s="84">
        <f t="shared" ref="E36:AQ36" si="139">SUM(E9:E14,E16:E18,E20:E23,E25:E29,E31:E35)</f>
        <v>2300</v>
      </c>
      <c r="F36" s="85">
        <f t="shared" si="139"/>
        <v>2300</v>
      </c>
      <c r="G36" s="189">
        <f t="shared" si="139"/>
        <v>2300</v>
      </c>
      <c r="H36" s="85">
        <f t="shared" si="139"/>
        <v>2300</v>
      </c>
      <c r="I36" s="189">
        <f t="shared" si="139"/>
        <v>2300</v>
      </c>
      <c r="J36" s="85">
        <f t="shared" si="139"/>
        <v>2300</v>
      </c>
      <c r="K36" s="135">
        <f t="shared" si="139"/>
        <v>6900</v>
      </c>
      <c r="L36" s="136">
        <f t="shared" si="139"/>
        <v>6900</v>
      </c>
      <c r="M36" s="137">
        <f t="shared" si="139"/>
        <v>0</v>
      </c>
      <c r="N36" s="85">
        <f t="shared" si="139"/>
        <v>0</v>
      </c>
      <c r="O36" s="85">
        <f t="shared" si="139"/>
        <v>0</v>
      </c>
      <c r="P36" s="189">
        <f t="shared" si="139"/>
        <v>0</v>
      </c>
      <c r="Q36" s="85">
        <f t="shared" si="139"/>
        <v>0</v>
      </c>
      <c r="R36" s="189">
        <f t="shared" si="139"/>
        <v>0</v>
      </c>
      <c r="S36" s="85">
        <f t="shared" si="139"/>
        <v>0</v>
      </c>
      <c r="T36" s="135">
        <f t="shared" si="139"/>
        <v>0</v>
      </c>
      <c r="U36" s="136">
        <f t="shared" si="139"/>
        <v>0</v>
      </c>
      <c r="V36" s="137">
        <f t="shared" si="139"/>
        <v>0</v>
      </c>
      <c r="W36" s="85">
        <f t="shared" si="139"/>
        <v>0</v>
      </c>
      <c r="X36" s="85">
        <f t="shared" si="139"/>
        <v>0</v>
      </c>
      <c r="Y36" s="189">
        <f t="shared" si="139"/>
        <v>0</v>
      </c>
      <c r="Z36" s="85">
        <f t="shared" si="139"/>
        <v>0</v>
      </c>
      <c r="AA36" s="189">
        <f t="shared" si="139"/>
        <v>0</v>
      </c>
      <c r="AB36" s="86">
        <f t="shared" si="139"/>
        <v>0</v>
      </c>
      <c r="AC36" s="135">
        <f t="shared" si="139"/>
        <v>0</v>
      </c>
      <c r="AD36" s="136">
        <f t="shared" si="139"/>
        <v>0</v>
      </c>
      <c r="AE36" s="137">
        <f t="shared" si="139"/>
        <v>0</v>
      </c>
      <c r="AF36" s="85">
        <f t="shared" si="139"/>
        <v>0</v>
      </c>
      <c r="AG36" s="85">
        <f t="shared" si="139"/>
        <v>0</v>
      </c>
      <c r="AH36" s="189">
        <f t="shared" si="139"/>
        <v>0</v>
      </c>
      <c r="AI36" s="85">
        <f t="shared" si="139"/>
        <v>0</v>
      </c>
      <c r="AJ36" s="189">
        <f t="shared" si="139"/>
        <v>0</v>
      </c>
      <c r="AK36" s="86">
        <f t="shared" si="139"/>
        <v>0</v>
      </c>
      <c r="AL36" s="135">
        <f t="shared" si="139"/>
        <v>0</v>
      </c>
      <c r="AM36" s="136">
        <f t="shared" si="139"/>
        <v>0</v>
      </c>
      <c r="AN36" s="137">
        <f t="shared" si="139"/>
        <v>0</v>
      </c>
      <c r="AO36" s="135">
        <f t="shared" si="139"/>
        <v>6900</v>
      </c>
      <c r="AP36" s="136">
        <f t="shared" si="139"/>
        <v>6900</v>
      </c>
      <c r="AQ36" s="136">
        <f t="shared" si="139"/>
        <v>0</v>
      </c>
      <c r="AR36" s="39"/>
    </row>
    <row r="37" spans="1:44" ht="31.5" customHeight="1">
      <c r="A37" s="1"/>
      <c r="B37" s="36"/>
      <c r="C37" s="31"/>
      <c r="D37" s="3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39"/>
    </row>
    <row r="38" spans="1:44" ht="37.5" customHeight="1">
      <c r="A38" s="1"/>
      <c r="B38" s="36"/>
      <c r="C38" s="297" t="s">
        <v>163</v>
      </c>
      <c r="D38" s="293"/>
      <c r="E38" s="228" t="s">
        <v>32</v>
      </c>
      <c r="F38" s="229" t="s">
        <v>33</v>
      </c>
      <c r="G38" s="230" t="s">
        <v>34</v>
      </c>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39"/>
    </row>
    <row r="39" spans="1:44" ht="15.75" customHeight="1">
      <c r="A39" s="1"/>
      <c r="B39" s="36"/>
      <c r="C39" s="309" t="s">
        <v>69</v>
      </c>
      <c r="D39" s="316"/>
      <c r="E39" s="210">
        <f t="shared" ref="E39:F39" si="140">SUM(AO9:AO14)</f>
        <v>1800</v>
      </c>
      <c r="F39" s="211">
        <f t="shared" si="140"/>
        <v>1800</v>
      </c>
      <c r="G39" s="211">
        <f t="shared" ref="G39:G44" si="141">E39-F39</f>
        <v>0</v>
      </c>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39"/>
    </row>
    <row r="40" spans="1:44" ht="15.75" customHeight="1">
      <c r="A40" s="1"/>
      <c r="B40" s="36"/>
      <c r="C40" s="301" t="s">
        <v>142</v>
      </c>
      <c r="D40" s="318"/>
      <c r="E40" s="76">
        <f t="shared" ref="E40:F40" si="142">SUM(AO16:AO18)</f>
        <v>900</v>
      </c>
      <c r="F40" s="77">
        <f t="shared" si="142"/>
        <v>900</v>
      </c>
      <c r="G40" s="77">
        <f t="shared" si="141"/>
        <v>0</v>
      </c>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39"/>
    </row>
    <row r="41" spans="1:44" ht="15.75" customHeight="1">
      <c r="A41" s="1"/>
      <c r="B41" s="36"/>
      <c r="C41" s="310" t="s">
        <v>146</v>
      </c>
      <c r="D41" s="318"/>
      <c r="E41" s="76">
        <f t="shared" ref="E41:F41" si="143">SUM(AO20:AO23)</f>
        <v>1200</v>
      </c>
      <c r="F41" s="77">
        <f t="shared" si="143"/>
        <v>1200</v>
      </c>
      <c r="G41" s="77">
        <f t="shared" si="141"/>
        <v>0</v>
      </c>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39"/>
    </row>
    <row r="42" spans="1:44" ht="15.75" customHeight="1">
      <c r="A42" s="1"/>
      <c r="B42" s="36"/>
      <c r="C42" s="311" t="s">
        <v>151</v>
      </c>
      <c r="D42" s="318"/>
      <c r="E42" s="76">
        <f t="shared" ref="E42:F42" si="144">SUM(AO25:AO29)</f>
        <v>1500</v>
      </c>
      <c r="F42" s="77">
        <f t="shared" si="144"/>
        <v>1500</v>
      </c>
      <c r="G42" s="77">
        <f t="shared" si="141"/>
        <v>0</v>
      </c>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39"/>
    </row>
    <row r="43" spans="1:44" ht="15.75" customHeight="1">
      <c r="A43" s="1"/>
      <c r="B43" s="36"/>
      <c r="C43" s="315" t="s">
        <v>157</v>
      </c>
      <c r="D43" s="318"/>
      <c r="E43" s="80">
        <f t="shared" ref="E43:F43" si="145">SUM(AO31:AO35)</f>
        <v>1500</v>
      </c>
      <c r="F43" s="81">
        <f t="shared" si="145"/>
        <v>1500</v>
      </c>
      <c r="G43" s="81">
        <f t="shared" si="141"/>
        <v>0</v>
      </c>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39"/>
    </row>
    <row r="44" spans="1:44" ht="15.75" customHeight="1">
      <c r="A44" s="1"/>
      <c r="B44" s="36"/>
      <c r="C44" s="292" t="s">
        <v>42</v>
      </c>
      <c r="D44" s="293"/>
      <c r="E44" s="84">
        <f t="shared" ref="E44:F44" si="146">SUM(E39:E43)</f>
        <v>6900</v>
      </c>
      <c r="F44" s="85">
        <f t="shared" si="146"/>
        <v>6900</v>
      </c>
      <c r="G44" s="85">
        <f t="shared" si="141"/>
        <v>0</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39"/>
    </row>
    <row r="45" spans="1:44" ht="15.75" customHeight="1">
      <c r="A45" s="1"/>
      <c r="B45" s="36"/>
      <c r="C45" s="31"/>
      <c r="D45" s="3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39"/>
    </row>
    <row r="46" spans="1:44" ht="15.75" customHeight="1">
      <c r="A46" s="1"/>
      <c r="B46" s="36"/>
      <c r="C46" s="31"/>
      <c r="D46" s="3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39"/>
    </row>
    <row r="47" spans="1:44" ht="15.75" customHeight="1">
      <c r="A47" s="1"/>
      <c r="B47" s="36"/>
      <c r="C47" s="31"/>
      <c r="D47" s="3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39"/>
    </row>
    <row r="48" spans="1:44" ht="15.75" customHeight="1">
      <c r="A48" s="1"/>
      <c r="B48" s="36"/>
      <c r="C48" s="31"/>
      <c r="D48" s="3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39"/>
    </row>
    <row r="49" spans="1:44" ht="15.75" customHeight="1">
      <c r="A49" s="1"/>
      <c r="B49" s="36"/>
      <c r="C49" s="31"/>
      <c r="D49" s="3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39"/>
    </row>
    <row r="50" spans="1:44" ht="15.75" customHeight="1">
      <c r="A50" s="1"/>
      <c r="B50" s="36"/>
      <c r="C50" s="31"/>
      <c r="D50" s="3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39"/>
    </row>
    <row r="51" spans="1:44" ht="15.75" customHeight="1">
      <c r="A51" s="1"/>
      <c r="B51" s="36"/>
      <c r="C51" s="31"/>
      <c r="D51" s="3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39"/>
    </row>
    <row r="52" spans="1:44" ht="15.75" customHeight="1">
      <c r="A52" s="1"/>
      <c r="B52" s="36"/>
      <c r="C52" s="31"/>
      <c r="D52" s="3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39"/>
    </row>
    <row r="53" spans="1:44" ht="15.75" customHeight="1">
      <c r="A53" s="1"/>
      <c r="B53" s="36"/>
      <c r="C53" s="31"/>
      <c r="D53" s="3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39"/>
    </row>
    <row r="54" spans="1:44" ht="15.75" customHeight="1">
      <c r="A54" s="1"/>
      <c r="B54" s="36"/>
      <c r="C54" s="31"/>
      <c r="D54" s="3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39"/>
    </row>
    <row r="55" spans="1:44" ht="15.75" customHeight="1">
      <c r="A55" s="1"/>
      <c r="B55" s="36"/>
      <c r="C55" s="31"/>
      <c r="D55" s="3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39"/>
    </row>
    <row r="56" spans="1:44" ht="15.75" customHeight="1">
      <c r="A56" s="1"/>
      <c r="B56" s="36"/>
      <c r="C56" s="31"/>
      <c r="D56" s="3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39"/>
    </row>
    <row r="57" spans="1:44" ht="15.75" customHeight="1">
      <c r="A57" s="1"/>
      <c r="B57" s="36"/>
      <c r="C57" s="31"/>
      <c r="D57" s="3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39"/>
    </row>
    <row r="58" spans="1:44" ht="15.75" customHeight="1">
      <c r="A58" s="1"/>
      <c r="B58" s="36"/>
      <c r="C58" s="31"/>
      <c r="D58" s="3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39"/>
    </row>
    <row r="59" spans="1:44" ht="15.75" customHeight="1">
      <c r="A59" s="1"/>
      <c r="B59" s="36"/>
      <c r="C59" s="31"/>
      <c r="D59" s="3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39"/>
    </row>
    <row r="60" spans="1:44" ht="15.75" customHeight="1">
      <c r="A60" s="1"/>
      <c r="B60" s="36"/>
      <c r="C60" s="31"/>
      <c r="D60" s="3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39"/>
    </row>
    <row r="61" spans="1:44" ht="15.75" customHeight="1">
      <c r="A61" s="1"/>
      <c r="B61" s="36"/>
      <c r="C61" s="31"/>
      <c r="D61" s="3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39"/>
    </row>
    <row r="62" spans="1:44" ht="15.75" customHeight="1">
      <c r="A62" s="1"/>
      <c r="B62" s="88"/>
      <c r="C62" s="89"/>
      <c r="D62" s="89"/>
      <c r="E62" s="90"/>
      <c r="F62" s="90"/>
      <c r="G62" s="90"/>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0"/>
      <c r="AM62" s="90"/>
      <c r="AN62" s="90"/>
      <c r="AO62" s="90"/>
      <c r="AP62" s="90"/>
      <c r="AQ62" s="90"/>
      <c r="AR62" s="91"/>
    </row>
    <row r="63" spans="1:44" ht="15.75" customHeight="1">
      <c r="A63" s="1"/>
      <c r="B63" s="1"/>
      <c r="C63" s="31"/>
      <c r="D63" s="3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row>
    <row r="64" spans="1:44" ht="15.75" customHeight="1">
      <c r="A64" s="1"/>
      <c r="B64" s="1"/>
      <c r="C64" s="31"/>
      <c r="D64" s="3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row>
    <row r="65" spans="1:44" ht="15.75" customHeight="1">
      <c r="A65" s="1"/>
      <c r="B65" s="1"/>
      <c r="C65" s="31"/>
      <c r="D65" s="3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row>
    <row r="66" spans="1:44" ht="15.75" customHeight="1">
      <c r="A66" s="1"/>
      <c r="B66" s="1"/>
      <c r="C66" s="31"/>
      <c r="D66" s="3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row>
    <row r="67" spans="1:44" ht="15.75" customHeight="1">
      <c r="A67" s="1"/>
      <c r="B67" s="1"/>
      <c r="C67" s="31"/>
      <c r="D67" s="3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row>
    <row r="68" spans="1:44" ht="15.75" customHeight="1">
      <c r="A68" s="1"/>
      <c r="B68" s="1"/>
      <c r="C68" s="31"/>
      <c r="D68" s="3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row>
    <row r="69" spans="1:44" ht="15.75" customHeight="1">
      <c r="A69" s="1"/>
      <c r="B69" s="1"/>
      <c r="C69" s="31"/>
      <c r="D69" s="3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row>
    <row r="70" spans="1:44" ht="15.75" customHeight="1">
      <c r="A70" s="1"/>
      <c r="B70" s="1"/>
      <c r="C70" s="31"/>
      <c r="D70" s="3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row>
    <row r="71" spans="1:44" ht="15.75" customHeight="1">
      <c r="A71" s="1"/>
      <c r="B71" s="1"/>
      <c r="C71" s="31"/>
      <c r="D71" s="3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row>
    <row r="72" spans="1:44" ht="15.75" customHeight="1">
      <c r="A72" s="1"/>
      <c r="B72" s="1"/>
      <c r="C72" s="31"/>
      <c r="D72" s="3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row>
    <row r="73" spans="1:44" ht="15.75" customHeight="1">
      <c r="A73" s="1"/>
      <c r="B73" s="1"/>
      <c r="C73" s="31"/>
      <c r="D73" s="3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row>
    <row r="74" spans="1:44" ht="15.75" customHeight="1">
      <c r="A74" s="1"/>
      <c r="B74" s="1"/>
      <c r="C74" s="31"/>
      <c r="D74" s="3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row>
    <row r="75" spans="1:44" ht="15.75" customHeight="1">
      <c r="A75" s="1"/>
      <c r="B75" s="1"/>
      <c r="C75" s="31"/>
      <c r="D75" s="3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row>
    <row r="76" spans="1:44" ht="15.75" customHeight="1">
      <c r="A76" s="1"/>
      <c r="B76" s="1"/>
      <c r="C76" s="31"/>
      <c r="D76" s="3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row>
    <row r="77" spans="1:44" ht="15.75" customHeight="1">
      <c r="A77" s="1"/>
      <c r="B77" s="1"/>
      <c r="C77" s="31"/>
      <c r="D77" s="3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row>
    <row r="78" spans="1:44" ht="15.75" customHeight="1">
      <c r="A78" s="1"/>
      <c r="B78" s="1"/>
      <c r="C78" s="31"/>
      <c r="D78" s="3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row>
    <row r="79" spans="1:44" ht="15.75" customHeight="1">
      <c r="A79" s="1"/>
      <c r="B79" s="1"/>
      <c r="C79" s="31"/>
      <c r="D79" s="3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row>
    <row r="80" spans="1:44" ht="15.75" customHeight="1">
      <c r="A80" s="1"/>
      <c r="B80" s="1"/>
      <c r="C80" s="31"/>
      <c r="D80" s="3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row>
    <row r="81" spans="1:44" ht="15.75" customHeight="1">
      <c r="A81" s="1"/>
      <c r="B81" s="1"/>
      <c r="C81" s="31"/>
      <c r="D81" s="3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row>
    <row r="82" spans="1:44" ht="15.75" customHeight="1">
      <c r="A82" s="1"/>
      <c r="B82" s="1"/>
      <c r="C82" s="31"/>
      <c r="D82" s="3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row>
    <row r="83" spans="1:44" ht="15.75" customHeight="1">
      <c r="A83" s="1"/>
      <c r="B83" s="1"/>
      <c r="C83" s="31"/>
      <c r="D83" s="3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row>
    <row r="84" spans="1:44" ht="15.75" customHeight="1">
      <c r="A84" s="1"/>
      <c r="B84" s="1"/>
      <c r="C84" s="31"/>
      <c r="D84" s="3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row>
    <row r="85" spans="1:44" ht="15.75" customHeight="1">
      <c r="A85" s="1"/>
      <c r="B85" s="1"/>
      <c r="C85" s="31"/>
      <c r="D85" s="3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row>
    <row r="86" spans="1:44" ht="15.75" customHeight="1">
      <c r="A86" s="1"/>
      <c r="B86" s="1"/>
      <c r="C86" s="31"/>
      <c r="D86" s="3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row>
    <row r="87" spans="1:44" ht="15.75" customHeight="1">
      <c r="A87" s="1"/>
      <c r="B87" s="1"/>
      <c r="C87" s="31"/>
      <c r="D87" s="3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row>
    <row r="88" spans="1:44" ht="15.75" customHeight="1">
      <c r="A88" s="1"/>
      <c r="B88" s="1"/>
      <c r="C88" s="31"/>
      <c r="D88" s="3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row>
    <row r="89" spans="1:44" ht="15.75" customHeight="1">
      <c r="A89" s="1"/>
      <c r="B89" s="1"/>
      <c r="C89" s="31"/>
      <c r="D89" s="3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row>
    <row r="90" spans="1:44" ht="15.75" customHeight="1">
      <c r="A90" s="1"/>
      <c r="B90" s="1"/>
      <c r="C90" s="31"/>
      <c r="D90" s="3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row>
    <row r="91" spans="1:44" ht="15.75" customHeight="1">
      <c r="A91" s="1"/>
      <c r="B91" s="1"/>
      <c r="C91" s="31"/>
      <c r="D91" s="3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row>
    <row r="92" spans="1:44" ht="15.75" customHeight="1">
      <c r="A92" s="1"/>
      <c r="B92" s="1"/>
      <c r="C92" s="31"/>
      <c r="D92" s="3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row>
    <row r="93" spans="1:44" ht="15.75" customHeight="1">
      <c r="A93" s="1"/>
      <c r="B93" s="1"/>
      <c r="C93" s="31"/>
      <c r="D93" s="3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row>
    <row r="94" spans="1:44" ht="15.75" customHeight="1">
      <c r="A94" s="1"/>
      <c r="B94" s="1"/>
      <c r="C94" s="31"/>
      <c r="D94" s="3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row>
    <row r="95" spans="1:44" ht="15.75" customHeight="1">
      <c r="A95" s="1"/>
      <c r="B95" s="1"/>
      <c r="C95" s="31"/>
      <c r="D95" s="3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row>
    <row r="96" spans="1:44" ht="15.75" customHeight="1">
      <c r="A96" s="1"/>
      <c r="B96" s="1"/>
      <c r="C96" s="31"/>
      <c r="D96" s="3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row>
    <row r="97" spans="1:44" ht="15.75" customHeight="1">
      <c r="A97" s="1"/>
      <c r="B97" s="1"/>
      <c r="C97" s="31"/>
      <c r="D97" s="3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row>
    <row r="98" spans="1:44" ht="15.75" customHeight="1">
      <c r="A98" s="1"/>
      <c r="B98" s="1"/>
      <c r="C98" s="31"/>
      <c r="D98" s="3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row>
    <row r="99" spans="1:44" ht="15.75" customHeight="1">
      <c r="A99" s="1"/>
      <c r="B99" s="1"/>
      <c r="C99" s="31"/>
      <c r="D99" s="3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row>
    <row r="100" spans="1:44" ht="15.75" customHeight="1">
      <c r="A100" s="1"/>
      <c r="B100" s="1"/>
      <c r="C100" s="31"/>
      <c r="D100" s="3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row>
    <row r="101" spans="1:44" ht="15.75" customHeight="1">
      <c r="A101" s="1"/>
      <c r="B101" s="1"/>
      <c r="C101" s="31"/>
      <c r="D101" s="3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row>
    <row r="102" spans="1:44" ht="15.75" customHeight="1">
      <c r="A102" s="1"/>
      <c r="B102" s="1"/>
      <c r="C102" s="31"/>
      <c r="D102" s="3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row>
    <row r="103" spans="1:44" ht="15.75" customHeight="1">
      <c r="A103" s="1"/>
      <c r="B103" s="1"/>
      <c r="C103" s="31"/>
      <c r="D103" s="3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row>
    <row r="104" spans="1:44" ht="15.75" customHeight="1">
      <c r="A104" s="1"/>
      <c r="B104" s="1"/>
      <c r="C104" s="31"/>
      <c r="D104" s="3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row>
    <row r="105" spans="1:44" ht="15.75" customHeight="1">
      <c r="A105" s="1"/>
      <c r="B105" s="1"/>
      <c r="C105" s="31"/>
      <c r="D105" s="3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row>
    <row r="106" spans="1:44" ht="15.75" customHeight="1">
      <c r="A106" s="1"/>
      <c r="B106" s="1"/>
      <c r="C106" s="31"/>
      <c r="D106" s="3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row>
    <row r="107" spans="1:44" ht="15.75" customHeight="1">
      <c r="A107" s="1"/>
      <c r="B107" s="1"/>
      <c r="C107" s="31"/>
      <c r="D107" s="3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row>
    <row r="108" spans="1:44" ht="15.75" customHeight="1">
      <c r="A108" s="1"/>
      <c r="B108" s="1"/>
      <c r="C108" s="31"/>
      <c r="D108" s="3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row>
    <row r="109" spans="1:44" ht="15.75" customHeight="1">
      <c r="A109" s="1"/>
      <c r="B109" s="1"/>
      <c r="C109" s="31"/>
      <c r="D109" s="3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row>
    <row r="110" spans="1:44" ht="15.75" customHeight="1">
      <c r="A110" s="1"/>
      <c r="B110" s="1"/>
      <c r="C110" s="31"/>
      <c r="D110" s="3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row>
    <row r="111" spans="1:44" ht="15.75" customHeight="1">
      <c r="A111" s="1"/>
      <c r="B111" s="1"/>
      <c r="C111" s="31"/>
      <c r="D111" s="3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row>
    <row r="112" spans="1:44" ht="15.75" customHeight="1">
      <c r="A112" s="1"/>
      <c r="B112" s="1"/>
      <c r="C112" s="31"/>
      <c r="D112" s="3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row>
    <row r="113" spans="1:44" ht="15.75" customHeight="1">
      <c r="A113" s="1"/>
      <c r="B113" s="1"/>
      <c r="C113" s="31"/>
      <c r="D113" s="3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row>
    <row r="114" spans="1:44" ht="15.75" customHeight="1">
      <c r="A114" s="1"/>
      <c r="B114" s="1"/>
      <c r="C114" s="31"/>
      <c r="D114" s="3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row>
    <row r="115" spans="1:44" ht="15.75" customHeight="1">
      <c r="A115" s="1"/>
      <c r="B115" s="1"/>
      <c r="C115" s="31"/>
      <c r="D115" s="3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row>
    <row r="116" spans="1:44" ht="15.75" customHeight="1">
      <c r="A116" s="1"/>
      <c r="B116" s="1"/>
      <c r="C116" s="31"/>
      <c r="D116" s="3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row>
    <row r="117" spans="1:44" ht="15.75" customHeight="1">
      <c r="A117" s="1"/>
      <c r="B117" s="1"/>
      <c r="C117" s="31"/>
      <c r="D117" s="3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row>
    <row r="118" spans="1:44" ht="15.75" customHeight="1">
      <c r="A118" s="1"/>
      <c r="B118" s="1"/>
      <c r="C118" s="31"/>
      <c r="D118" s="3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row>
    <row r="119" spans="1:44" ht="15.75" customHeight="1">
      <c r="A119" s="1"/>
      <c r="B119" s="1"/>
      <c r="C119" s="31"/>
      <c r="D119" s="3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row>
    <row r="120" spans="1:44" ht="15.75" customHeight="1">
      <c r="A120" s="1"/>
      <c r="B120" s="1"/>
      <c r="C120" s="31"/>
      <c r="D120" s="3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row>
    <row r="121" spans="1:44" ht="15.75" customHeight="1">
      <c r="A121" s="1"/>
      <c r="B121" s="1"/>
      <c r="C121" s="31"/>
      <c r="D121" s="3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row>
    <row r="122" spans="1:44" ht="15.75" customHeight="1">
      <c r="A122" s="1"/>
      <c r="B122" s="1"/>
      <c r="C122" s="31"/>
      <c r="D122" s="3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row>
    <row r="123" spans="1:44" ht="15.75" customHeight="1">
      <c r="A123" s="1"/>
      <c r="B123" s="1"/>
      <c r="C123" s="31"/>
      <c r="D123" s="3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row>
    <row r="124" spans="1:44" ht="15.75" customHeight="1">
      <c r="A124" s="1"/>
      <c r="B124" s="1"/>
      <c r="C124" s="31"/>
      <c r="D124" s="3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row>
    <row r="125" spans="1:44" ht="15.75" customHeight="1">
      <c r="A125" s="1"/>
      <c r="B125" s="1"/>
      <c r="C125" s="31"/>
      <c r="D125" s="3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row>
    <row r="126" spans="1:44" ht="15.75" customHeight="1">
      <c r="A126" s="1"/>
      <c r="B126" s="1"/>
      <c r="C126" s="31"/>
      <c r="D126" s="3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row>
    <row r="127" spans="1:44" ht="15.75" customHeight="1">
      <c r="A127" s="1"/>
      <c r="B127" s="1"/>
      <c r="C127" s="31"/>
      <c r="D127" s="3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row>
    <row r="128" spans="1:44" ht="15.75" customHeight="1">
      <c r="A128" s="1"/>
      <c r="B128" s="1"/>
      <c r="C128" s="31"/>
      <c r="D128" s="3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row>
    <row r="129" spans="1:44" ht="15.75" customHeight="1">
      <c r="A129" s="1"/>
      <c r="B129" s="1"/>
      <c r="C129" s="31"/>
      <c r="D129" s="3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row>
    <row r="130" spans="1:44" ht="15.75" customHeight="1">
      <c r="A130" s="1"/>
      <c r="B130" s="1"/>
      <c r="C130" s="31"/>
      <c r="D130" s="3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row>
    <row r="131" spans="1:44" ht="15.75" customHeight="1">
      <c r="A131" s="1"/>
      <c r="B131" s="1"/>
      <c r="C131" s="31"/>
      <c r="D131" s="3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row>
    <row r="132" spans="1:44" ht="15.75" customHeight="1">
      <c r="A132" s="1"/>
      <c r="B132" s="1"/>
      <c r="C132" s="31"/>
      <c r="D132" s="3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row>
    <row r="133" spans="1:44" ht="15.75" customHeight="1">
      <c r="A133" s="1"/>
      <c r="B133" s="1"/>
      <c r="C133" s="31"/>
      <c r="D133" s="3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row>
    <row r="134" spans="1:44" ht="15.75" customHeight="1">
      <c r="A134" s="1"/>
      <c r="B134" s="1"/>
      <c r="C134" s="31"/>
      <c r="D134" s="3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row>
    <row r="135" spans="1:44" ht="15.75" customHeight="1">
      <c r="A135" s="1"/>
      <c r="B135" s="1"/>
      <c r="C135" s="31"/>
      <c r="D135" s="3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row>
    <row r="136" spans="1:44" ht="15.75" customHeight="1">
      <c r="A136" s="1"/>
      <c r="B136" s="1"/>
      <c r="C136" s="31"/>
      <c r="D136" s="3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row>
    <row r="137" spans="1:44" ht="15.75" customHeight="1">
      <c r="A137" s="1"/>
      <c r="B137" s="1"/>
      <c r="C137" s="31"/>
      <c r="D137" s="3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row>
    <row r="138" spans="1:44" ht="15.75" customHeight="1">
      <c r="A138" s="1"/>
      <c r="B138" s="1"/>
      <c r="C138" s="31"/>
      <c r="D138" s="3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row>
    <row r="139" spans="1:44" ht="15.75" customHeight="1">
      <c r="A139" s="1"/>
      <c r="B139" s="1"/>
      <c r="C139" s="31"/>
      <c r="D139" s="3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row>
    <row r="140" spans="1:44" ht="15.75" customHeight="1">
      <c r="A140" s="1"/>
      <c r="B140" s="1"/>
      <c r="C140" s="31"/>
      <c r="D140" s="3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row>
    <row r="141" spans="1:44" ht="15.75" customHeight="1">
      <c r="A141" s="1"/>
      <c r="B141" s="1"/>
      <c r="C141" s="31"/>
      <c r="D141" s="3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row>
    <row r="142" spans="1:44" ht="15.75" customHeight="1">
      <c r="A142" s="1"/>
      <c r="B142" s="1"/>
      <c r="C142" s="31"/>
      <c r="D142" s="3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row>
    <row r="143" spans="1:44" ht="15.75" customHeight="1">
      <c r="A143" s="1"/>
      <c r="B143" s="1"/>
      <c r="C143" s="31"/>
      <c r="D143" s="3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row>
    <row r="144" spans="1:44" ht="15.75" customHeight="1">
      <c r="A144" s="1"/>
      <c r="B144" s="1"/>
      <c r="C144" s="31"/>
      <c r="D144" s="3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row>
    <row r="145" spans="1:44" ht="15.75" customHeight="1">
      <c r="A145" s="1"/>
      <c r="B145" s="1"/>
      <c r="C145" s="31"/>
      <c r="D145" s="3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row>
    <row r="146" spans="1:44" ht="15.75" customHeight="1">
      <c r="A146" s="1"/>
      <c r="B146" s="1"/>
      <c r="C146" s="31"/>
      <c r="D146" s="3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row>
    <row r="147" spans="1:44" ht="15.75" customHeight="1">
      <c r="A147" s="1"/>
      <c r="B147" s="1"/>
      <c r="C147" s="31"/>
      <c r="D147" s="3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row>
    <row r="148" spans="1:44" ht="15.75" customHeight="1">
      <c r="A148" s="1"/>
      <c r="B148" s="1"/>
      <c r="C148" s="31"/>
      <c r="D148" s="3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row>
    <row r="149" spans="1:44" ht="15.75" customHeight="1">
      <c r="A149" s="1"/>
      <c r="B149" s="1"/>
      <c r="C149" s="31"/>
      <c r="D149" s="3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row>
    <row r="150" spans="1:44" ht="15.75" customHeight="1">
      <c r="A150" s="1"/>
      <c r="B150" s="1"/>
      <c r="C150" s="31"/>
      <c r="D150" s="3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row>
    <row r="151" spans="1:44" ht="15.75" customHeight="1">
      <c r="A151" s="1"/>
      <c r="B151" s="1"/>
      <c r="C151" s="31"/>
      <c r="D151" s="3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row>
    <row r="152" spans="1:44" ht="15.75" customHeight="1">
      <c r="A152" s="1"/>
      <c r="B152" s="1"/>
      <c r="C152" s="31"/>
      <c r="D152" s="3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row>
    <row r="153" spans="1:44" ht="15.75" customHeight="1">
      <c r="A153" s="1"/>
      <c r="B153" s="1"/>
      <c r="C153" s="31"/>
      <c r="D153" s="3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row>
    <row r="154" spans="1:44" ht="15.75" customHeight="1">
      <c r="A154" s="1"/>
      <c r="B154" s="1"/>
      <c r="C154" s="31"/>
      <c r="D154" s="3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row>
    <row r="155" spans="1:44" ht="15.75" customHeight="1">
      <c r="A155" s="1"/>
      <c r="B155" s="1"/>
      <c r="C155" s="31"/>
      <c r="D155" s="3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row>
    <row r="156" spans="1:44" ht="15.75" customHeight="1">
      <c r="A156" s="1"/>
      <c r="B156" s="1"/>
      <c r="C156" s="31"/>
      <c r="D156" s="3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row>
    <row r="157" spans="1:44" ht="15.75" customHeight="1">
      <c r="A157" s="1"/>
      <c r="B157" s="1"/>
      <c r="C157" s="31"/>
      <c r="D157" s="3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row>
    <row r="158" spans="1:44" ht="15.75" customHeight="1">
      <c r="A158" s="1"/>
      <c r="B158" s="1"/>
      <c r="C158" s="31"/>
      <c r="D158" s="3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row>
    <row r="159" spans="1:44" ht="15.75" customHeight="1">
      <c r="A159" s="1"/>
      <c r="B159" s="1"/>
      <c r="C159" s="31"/>
      <c r="D159" s="3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row>
    <row r="160" spans="1:44" ht="15.75" customHeight="1">
      <c r="A160" s="1"/>
      <c r="B160" s="1"/>
      <c r="C160" s="31"/>
      <c r="D160" s="3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row>
    <row r="161" spans="1:44" ht="15.75" customHeight="1">
      <c r="A161" s="1"/>
      <c r="B161" s="1"/>
      <c r="C161" s="31"/>
      <c r="D161" s="3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row>
    <row r="162" spans="1:44" ht="15.75" customHeight="1">
      <c r="A162" s="1"/>
      <c r="B162" s="1"/>
      <c r="C162" s="31"/>
      <c r="D162" s="3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row>
    <row r="163" spans="1:44" ht="15.75" customHeight="1">
      <c r="A163" s="1"/>
      <c r="B163" s="1"/>
      <c r="C163" s="31"/>
      <c r="D163" s="3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row>
    <row r="164" spans="1:44" ht="15.75" customHeight="1">
      <c r="A164" s="1"/>
      <c r="B164" s="1"/>
      <c r="C164" s="31"/>
      <c r="D164" s="3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row>
    <row r="165" spans="1:44" ht="15.75" customHeight="1">
      <c r="A165" s="1"/>
      <c r="B165" s="1"/>
      <c r="C165" s="31"/>
      <c r="D165" s="3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row>
    <row r="166" spans="1:44" ht="15.75" customHeight="1">
      <c r="A166" s="1"/>
      <c r="B166" s="1"/>
      <c r="C166" s="31"/>
      <c r="D166" s="3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row>
    <row r="167" spans="1:44" ht="15.75" customHeight="1">
      <c r="A167" s="1"/>
      <c r="B167" s="1"/>
      <c r="C167" s="31"/>
      <c r="D167" s="3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row>
    <row r="168" spans="1:44" ht="15.75" customHeight="1">
      <c r="A168" s="1"/>
      <c r="B168" s="1"/>
      <c r="C168" s="31"/>
      <c r="D168" s="3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row>
    <row r="169" spans="1:44" ht="15.75" customHeight="1">
      <c r="A169" s="1"/>
      <c r="B169" s="1"/>
      <c r="C169" s="31"/>
      <c r="D169" s="3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row>
    <row r="170" spans="1:44" ht="15.75" customHeight="1">
      <c r="A170" s="1"/>
      <c r="B170" s="1"/>
      <c r="C170" s="31"/>
      <c r="D170" s="3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row>
    <row r="171" spans="1:44" ht="15.75" customHeight="1">
      <c r="A171" s="1"/>
      <c r="B171" s="1"/>
      <c r="C171" s="31"/>
      <c r="D171" s="3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row>
    <row r="172" spans="1:44" ht="15.75" customHeight="1">
      <c r="A172" s="1"/>
      <c r="B172" s="1"/>
      <c r="C172" s="31"/>
      <c r="D172" s="3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row>
    <row r="173" spans="1:44" ht="15.75" customHeight="1">
      <c r="A173" s="1"/>
      <c r="B173" s="1"/>
      <c r="C173" s="31"/>
      <c r="D173" s="3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row>
    <row r="174" spans="1:44" ht="15.75" customHeight="1">
      <c r="A174" s="1"/>
      <c r="B174" s="1"/>
      <c r="C174" s="31"/>
      <c r="D174" s="3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row>
    <row r="175" spans="1:44" ht="15.75" customHeight="1">
      <c r="A175" s="1"/>
      <c r="B175" s="1"/>
      <c r="C175" s="31"/>
      <c r="D175" s="3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row>
    <row r="176" spans="1:44" ht="15.75" customHeight="1">
      <c r="A176" s="1"/>
      <c r="B176" s="1"/>
      <c r="C176" s="31"/>
      <c r="D176" s="3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row>
    <row r="177" spans="1:44" ht="15.75" customHeight="1">
      <c r="A177" s="1"/>
      <c r="B177" s="1"/>
      <c r="C177" s="31"/>
      <c r="D177" s="3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row>
    <row r="178" spans="1:44" ht="15.75" customHeight="1">
      <c r="A178" s="1"/>
      <c r="B178" s="1"/>
      <c r="C178" s="31"/>
      <c r="D178" s="3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row>
    <row r="179" spans="1:44" ht="15.75" customHeight="1">
      <c r="A179" s="1"/>
      <c r="B179" s="1"/>
      <c r="C179" s="31"/>
      <c r="D179" s="3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row>
    <row r="180" spans="1:44" ht="15.75" customHeight="1">
      <c r="A180" s="1"/>
      <c r="B180" s="1"/>
      <c r="C180" s="31"/>
      <c r="D180" s="3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row>
    <row r="181" spans="1:44" ht="15.75" customHeight="1">
      <c r="A181" s="1"/>
      <c r="B181" s="1"/>
      <c r="C181" s="31"/>
      <c r="D181" s="3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row>
    <row r="182" spans="1:44" ht="15.75" customHeight="1">
      <c r="A182" s="1"/>
      <c r="B182" s="1"/>
      <c r="C182" s="31"/>
      <c r="D182" s="3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row>
    <row r="183" spans="1:44" ht="15.75" customHeight="1">
      <c r="A183" s="1"/>
      <c r="B183" s="1"/>
      <c r="C183" s="31"/>
      <c r="D183" s="3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row>
    <row r="184" spans="1:44" ht="15.75" customHeight="1">
      <c r="A184" s="1"/>
      <c r="B184" s="1"/>
      <c r="C184" s="31"/>
      <c r="D184" s="3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row>
    <row r="185" spans="1:44" ht="15.75" customHeight="1">
      <c r="A185" s="1"/>
      <c r="B185" s="1"/>
      <c r="C185" s="31"/>
      <c r="D185" s="3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row>
    <row r="186" spans="1:44" ht="15.75" customHeight="1">
      <c r="A186" s="1"/>
      <c r="B186" s="1"/>
      <c r="C186" s="31"/>
      <c r="D186" s="3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row>
    <row r="187" spans="1:44" ht="15.75" customHeight="1">
      <c r="A187" s="1"/>
      <c r="B187" s="1"/>
      <c r="C187" s="31"/>
      <c r="D187" s="3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row>
    <row r="188" spans="1:44" ht="15.75" customHeight="1">
      <c r="A188" s="1"/>
      <c r="B188" s="1"/>
      <c r="C188" s="31"/>
      <c r="D188" s="3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row>
    <row r="189" spans="1:44" ht="15.75" customHeight="1">
      <c r="A189" s="1"/>
      <c r="B189" s="1"/>
      <c r="C189" s="31"/>
      <c r="D189" s="3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row>
    <row r="190" spans="1:44" ht="15.75" customHeight="1">
      <c r="A190" s="1"/>
      <c r="B190" s="1"/>
      <c r="C190" s="31"/>
      <c r="D190" s="3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row>
    <row r="191" spans="1:44" ht="15.75" customHeight="1">
      <c r="A191" s="1"/>
      <c r="B191" s="1"/>
      <c r="C191" s="31"/>
      <c r="D191" s="3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row>
    <row r="192" spans="1:44" ht="15.75" customHeight="1">
      <c r="A192" s="1"/>
      <c r="B192" s="1"/>
      <c r="C192" s="31"/>
      <c r="D192" s="3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row>
    <row r="193" spans="1:44" ht="15.75" customHeight="1">
      <c r="A193" s="1"/>
      <c r="B193" s="1"/>
      <c r="C193" s="31"/>
      <c r="D193" s="3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row>
    <row r="194" spans="1:44" ht="15.75" customHeight="1">
      <c r="A194" s="1"/>
      <c r="B194" s="1"/>
      <c r="C194" s="31"/>
      <c r="D194" s="3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row>
    <row r="195" spans="1:44" ht="15.75" customHeight="1">
      <c r="A195" s="1"/>
      <c r="B195" s="1"/>
      <c r="C195" s="31"/>
      <c r="D195" s="3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row>
    <row r="196" spans="1:44" ht="15.75" customHeight="1">
      <c r="A196" s="1"/>
      <c r="B196" s="1"/>
      <c r="C196" s="31"/>
      <c r="D196" s="3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row>
    <row r="197" spans="1:44" ht="15.75" customHeight="1">
      <c r="A197" s="1"/>
      <c r="B197" s="1"/>
      <c r="C197" s="31"/>
      <c r="D197" s="3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row>
    <row r="198" spans="1:44" ht="15.75" customHeight="1">
      <c r="A198" s="1"/>
      <c r="B198" s="1"/>
      <c r="C198" s="31"/>
      <c r="D198" s="3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row>
    <row r="199" spans="1:44" ht="15.75" customHeight="1">
      <c r="A199" s="1"/>
      <c r="B199" s="1"/>
      <c r="C199" s="31"/>
      <c r="D199" s="3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row>
    <row r="200" spans="1:44" ht="15.75" customHeight="1">
      <c r="A200" s="1"/>
      <c r="B200" s="1"/>
      <c r="C200" s="31"/>
      <c r="D200" s="3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row>
    <row r="201" spans="1:44" ht="15.75" customHeight="1">
      <c r="A201" s="1"/>
      <c r="B201" s="1"/>
      <c r="C201" s="31"/>
      <c r="D201" s="3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row>
    <row r="202" spans="1:44" ht="15.75" customHeight="1">
      <c r="A202" s="1"/>
      <c r="B202" s="1"/>
      <c r="C202" s="31"/>
      <c r="D202" s="3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row>
    <row r="203" spans="1:44" ht="15.75" customHeight="1">
      <c r="A203" s="1"/>
      <c r="B203" s="1"/>
      <c r="C203" s="31"/>
      <c r="D203" s="3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row>
    <row r="204" spans="1:44" ht="15.75" customHeight="1">
      <c r="A204" s="1"/>
      <c r="B204" s="1"/>
      <c r="C204" s="31"/>
      <c r="D204" s="3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row>
    <row r="205" spans="1:44" ht="15.75" customHeight="1">
      <c r="A205" s="1"/>
      <c r="B205" s="1"/>
      <c r="C205" s="31"/>
      <c r="D205" s="3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row>
    <row r="206" spans="1:44" ht="15.75" customHeight="1">
      <c r="A206" s="1"/>
      <c r="B206" s="1"/>
      <c r="C206" s="31"/>
      <c r="D206" s="3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row>
    <row r="207" spans="1:44" ht="15.75" customHeight="1">
      <c r="A207" s="1"/>
      <c r="B207" s="1"/>
      <c r="C207" s="31"/>
      <c r="D207" s="3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row>
    <row r="208" spans="1:44" ht="15.75" customHeight="1">
      <c r="A208" s="1"/>
      <c r="B208" s="1"/>
      <c r="C208" s="31"/>
      <c r="D208" s="3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row>
    <row r="209" spans="1:44" ht="15.75" customHeight="1">
      <c r="A209" s="1"/>
      <c r="B209" s="1"/>
      <c r="C209" s="31"/>
      <c r="D209" s="3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row>
    <row r="210" spans="1:44" ht="15.75" customHeight="1">
      <c r="A210" s="1"/>
      <c r="B210" s="1"/>
      <c r="C210" s="31"/>
      <c r="D210" s="3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row>
    <row r="211" spans="1:44" ht="15.75" customHeight="1">
      <c r="A211" s="1"/>
      <c r="B211" s="1"/>
      <c r="C211" s="31"/>
      <c r="D211" s="3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row>
    <row r="212" spans="1:44" ht="15.75" customHeight="1">
      <c r="A212" s="1"/>
      <c r="B212" s="1"/>
      <c r="C212" s="31"/>
      <c r="D212" s="3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row>
    <row r="213" spans="1:44" ht="15.75" customHeight="1">
      <c r="A213" s="1"/>
      <c r="B213" s="1"/>
      <c r="C213" s="31"/>
      <c r="D213" s="3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row>
    <row r="214" spans="1:44" ht="15.75" customHeight="1">
      <c r="A214" s="1"/>
      <c r="B214" s="1"/>
      <c r="C214" s="31"/>
      <c r="D214" s="3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row>
    <row r="215" spans="1:44" ht="15.75" customHeight="1">
      <c r="A215" s="1"/>
      <c r="B215" s="1"/>
      <c r="C215" s="31"/>
      <c r="D215" s="3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row>
    <row r="216" spans="1:44" ht="15.75" customHeight="1">
      <c r="A216" s="1"/>
      <c r="B216" s="1"/>
      <c r="C216" s="31"/>
      <c r="D216" s="3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row>
    <row r="217" spans="1:44" ht="15.75" customHeight="1">
      <c r="A217" s="1"/>
      <c r="B217" s="1"/>
      <c r="C217" s="31"/>
      <c r="D217" s="3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row>
    <row r="218" spans="1:44" ht="15.75" customHeight="1">
      <c r="A218" s="1"/>
      <c r="B218" s="1"/>
      <c r="C218" s="31"/>
      <c r="D218" s="3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row>
    <row r="219" spans="1:44" ht="15.75" customHeight="1">
      <c r="A219" s="1"/>
      <c r="B219" s="1"/>
      <c r="C219" s="31"/>
      <c r="D219" s="3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row>
    <row r="220" spans="1:44" ht="15.75" customHeight="1">
      <c r="A220" s="1"/>
      <c r="B220" s="1"/>
      <c r="C220" s="31"/>
      <c r="D220" s="3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row>
    <row r="221" spans="1:44" ht="15.75" customHeight="1">
      <c r="A221" s="1"/>
      <c r="B221" s="1"/>
      <c r="C221" s="31"/>
      <c r="D221" s="3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row>
    <row r="222" spans="1:44" ht="15.75" customHeight="1">
      <c r="A222" s="1"/>
      <c r="B222" s="1"/>
      <c r="C222" s="31"/>
      <c r="D222" s="3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row>
    <row r="223" spans="1:44" ht="15.75" customHeight="1">
      <c r="A223" s="1"/>
      <c r="B223" s="1"/>
      <c r="C223" s="31"/>
      <c r="D223" s="3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row>
    <row r="224" spans="1:44" ht="15.75" customHeight="1">
      <c r="A224" s="1"/>
      <c r="B224" s="1"/>
      <c r="C224" s="31"/>
      <c r="D224" s="3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row>
    <row r="225" spans="1:44" ht="15.75" customHeight="1">
      <c r="A225" s="1"/>
      <c r="B225" s="1"/>
      <c r="C225" s="31"/>
      <c r="D225" s="3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row>
    <row r="226" spans="1:44" ht="15.75" customHeight="1">
      <c r="A226" s="1"/>
      <c r="B226" s="1"/>
      <c r="C226" s="31"/>
      <c r="D226" s="3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row>
    <row r="227" spans="1:44" ht="15.75" customHeight="1">
      <c r="A227" s="1"/>
      <c r="B227" s="1"/>
      <c r="C227" s="31"/>
      <c r="D227" s="3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row>
    <row r="228" spans="1:44" ht="15.75" customHeight="1">
      <c r="A228" s="1"/>
      <c r="B228" s="1"/>
      <c r="C228" s="31"/>
      <c r="D228" s="3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row>
    <row r="229" spans="1:44" ht="15.75" customHeight="1">
      <c r="A229" s="1"/>
      <c r="B229" s="1"/>
      <c r="C229" s="31"/>
      <c r="D229" s="3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row>
    <row r="230" spans="1:44" ht="15.75" customHeight="1">
      <c r="A230" s="1"/>
      <c r="B230" s="1"/>
      <c r="C230" s="31"/>
      <c r="D230" s="3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row>
    <row r="231" spans="1:44" ht="15.75" customHeight="1">
      <c r="A231" s="1"/>
      <c r="B231" s="1"/>
      <c r="C231" s="31"/>
      <c r="D231" s="3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row>
    <row r="232" spans="1:44" ht="15.75" customHeight="1">
      <c r="A232" s="1"/>
      <c r="B232" s="1"/>
      <c r="C232" s="31"/>
      <c r="D232" s="3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row>
    <row r="233" spans="1:44" ht="15.75" customHeight="1">
      <c r="A233" s="1"/>
      <c r="B233" s="1"/>
      <c r="C233" s="31"/>
      <c r="D233" s="3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row>
    <row r="234" spans="1:44" ht="15.75" customHeight="1">
      <c r="A234" s="1"/>
      <c r="B234" s="1"/>
      <c r="C234" s="31"/>
      <c r="D234" s="3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row>
    <row r="235" spans="1:44" ht="15.75" customHeight="1">
      <c r="A235" s="1"/>
      <c r="B235" s="1"/>
      <c r="C235" s="31"/>
      <c r="D235" s="3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row>
    <row r="236" spans="1:44" ht="15.75" customHeight="1">
      <c r="A236" s="1"/>
      <c r="B236" s="1"/>
      <c r="C236" s="31"/>
      <c r="D236" s="3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row>
    <row r="237" spans="1:44" ht="15.75" customHeight="1">
      <c r="A237" s="1"/>
      <c r="B237" s="1"/>
      <c r="C237" s="31"/>
      <c r="D237" s="3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row>
    <row r="238" spans="1:44" ht="15.75" customHeight="1">
      <c r="A238" s="1"/>
      <c r="B238" s="1"/>
      <c r="C238" s="31"/>
      <c r="D238" s="3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row>
    <row r="239" spans="1:44" ht="15.75" customHeight="1">
      <c r="A239" s="1"/>
      <c r="B239" s="1"/>
      <c r="C239" s="31"/>
      <c r="D239" s="3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row>
    <row r="240" spans="1:44" ht="15.75" customHeight="1">
      <c r="A240" s="1"/>
      <c r="B240" s="1"/>
      <c r="C240" s="31"/>
      <c r="D240" s="3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row>
    <row r="241" spans="1:44" ht="15.75" customHeight="1">
      <c r="A241" s="1"/>
      <c r="B241" s="1"/>
      <c r="C241" s="31"/>
      <c r="D241" s="3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row>
    <row r="242" spans="1:44" ht="15.75" customHeight="1">
      <c r="A242" s="1"/>
      <c r="B242" s="1"/>
      <c r="C242" s="31"/>
      <c r="D242" s="3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row>
    <row r="243" spans="1:44" ht="15.75" customHeight="1">
      <c r="A243" s="1"/>
      <c r="B243" s="1"/>
      <c r="C243" s="31"/>
      <c r="D243" s="3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row>
    <row r="244" spans="1:44" ht="15.75" customHeight="1">
      <c r="A244" s="1"/>
      <c r="B244" s="1"/>
      <c r="C244" s="31"/>
      <c r="D244" s="3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row>
    <row r="245" spans="1:44" ht="15.75" customHeight="1"/>
    <row r="246" spans="1:44" ht="15.75" customHeight="1"/>
    <row r="247" spans="1:44" ht="15.75" customHeight="1"/>
    <row r="248" spans="1:44" ht="15.75" customHeight="1"/>
    <row r="249" spans="1:44" ht="15.75" customHeight="1"/>
    <row r="250" spans="1:44" ht="15.75" customHeight="1"/>
    <row r="251" spans="1:44" ht="15.75" customHeight="1"/>
    <row r="252" spans="1:44" ht="15.75" customHeight="1"/>
    <row r="253" spans="1:44" ht="15.75" customHeight="1"/>
    <row r="254" spans="1:44" ht="15.75" customHeight="1"/>
    <row r="255" spans="1:44" ht="15.75" customHeight="1"/>
    <row r="256" spans="1:4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C44:D44"/>
    <mergeCell ref="C29:D29"/>
    <mergeCell ref="C30:D30"/>
    <mergeCell ref="C31:D31"/>
    <mergeCell ref="C32:D32"/>
    <mergeCell ref="C33:D33"/>
    <mergeCell ref="C34:D34"/>
    <mergeCell ref="C35:D35"/>
    <mergeCell ref="C39:D39"/>
    <mergeCell ref="C40:D40"/>
    <mergeCell ref="C41:D41"/>
    <mergeCell ref="C42:D42"/>
    <mergeCell ref="C43:D43"/>
    <mergeCell ref="C26:D26"/>
    <mergeCell ref="C27:D27"/>
    <mergeCell ref="C28:D28"/>
    <mergeCell ref="C36:D36"/>
    <mergeCell ref="C38:D38"/>
    <mergeCell ref="C21:D21"/>
    <mergeCell ref="C22:D22"/>
    <mergeCell ref="C23:D23"/>
    <mergeCell ref="C24:D24"/>
    <mergeCell ref="C25:D25"/>
    <mergeCell ref="C16:D16"/>
    <mergeCell ref="C17:D17"/>
    <mergeCell ref="C18:D18"/>
    <mergeCell ref="C19:D19"/>
    <mergeCell ref="C20:D20"/>
    <mergeCell ref="C11:D11"/>
    <mergeCell ref="C12:D12"/>
    <mergeCell ref="C13:D13"/>
    <mergeCell ref="C14:D14"/>
    <mergeCell ref="C15:D15"/>
    <mergeCell ref="N6:O6"/>
    <mergeCell ref="P6:Q6"/>
    <mergeCell ref="C8:D8"/>
    <mergeCell ref="C9:D9"/>
    <mergeCell ref="C10:D10"/>
    <mergeCell ref="C4:H4"/>
    <mergeCell ref="E6:F6"/>
    <mergeCell ref="G6:H6"/>
    <mergeCell ref="I6:J6"/>
    <mergeCell ref="K6:M6"/>
    <mergeCell ref="AH6:AI6"/>
    <mergeCell ref="AJ6:AK6"/>
    <mergeCell ref="AL6:AN6"/>
    <mergeCell ref="AO6:AQ6"/>
    <mergeCell ref="R6:S6"/>
    <mergeCell ref="T6:V6"/>
    <mergeCell ref="W6:X6"/>
    <mergeCell ref="Y6:Z6"/>
    <mergeCell ref="AA6:AB6"/>
    <mergeCell ref="AC6:AE6"/>
    <mergeCell ref="AF6:AG6"/>
  </mergeCells>
  <conditionalFormatting sqref="M9:M35 V9:V35 AE9:AE35 AN9:AN35 AQ9:AQ35">
    <cfRule type="cellIs" dxfId="2" priority="1" operator="lessThan">
      <formula>0</formula>
    </cfRule>
  </conditionalFormatting>
  <pageMargins left="0.7" right="0.7" top="0.75" bottom="0.75" header="0" footer="0"/>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000"/>
  <sheetViews>
    <sheetView showGridLines="0" workbookViewId="0"/>
  </sheetViews>
  <sheetFormatPr defaultColWidth="12.625" defaultRowHeight="15" customHeight="1"/>
  <cols>
    <col min="1" max="2" width="3.125" customWidth="1"/>
    <col min="3" max="3" width="26.5" customWidth="1"/>
    <col min="4" max="4" width="6.625" customWidth="1"/>
    <col min="5" max="7" width="11" customWidth="1"/>
    <col min="8" max="8" width="9.375" customWidth="1"/>
    <col min="9" max="9" width="9.625" customWidth="1"/>
    <col min="10" max="12" width="9.375" customWidth="1"/>
    <col min="13" max="13" width="9.875" customWidth="1"/>
    <col min="14" max="14" width="8.125" customWidth="1"/>
    <col min="15" max="15" width="7.875" customWidth="1"/>
    <col min="16" max="16" width="8.125" customWidth="1"/>
    <col min="17" max="17" width="7.875" customWidth="1"/>
    <col min="18" max="18" width="8.125" customWidth="1"/>
    <col min="19" max="19" width="3.125" customWidth="1"/>
    <col min="20" max="20" width="7.875" customWidth="1"/>
    <col min="21" max="21" width="9.375" customWidth="1"/>
    <col min="22" max="22" width="8.5" customWidth="1"/>
    <col min="23" max="23" width="8.125" customWidth="1"/>
    <col min="24" max="24" width="7.875" customWidth="1"/>
    <col min="25" max="25" width="8.125" customWidth="1"/>
    <col min="26" max="26" width="7.875" customWidth="1"/>
    <col min="27" max="27" width="8.125" customWidth="1"/>
  </cols>
  <sheetData>
    <row r="1" spans="1:27">
      <c r="A1" s="92"/>
      <c r="B1" s="92"/>
      <c r="C1" s="9"/>
      <c r="D1" s="152"/>
      <c r="E1" s="153"/>
      <c r="F1" s="153"/>
      <c r="G1" s="153"/>
      <c r="H1" s="153"/>
      <c r="I1" s="153"/>
      <c r="J1" s="153"/>
      <c r="K1" s="153"/>
      <c r="L1" s="153"/>
      <c r="M1" s="153"/>
      <c r="N1" s="153"/>
      <c r="O1" s="153"/>
      <c r="P1" s="153"/>
      <c r="Q1" s="153"/>
      <c r="R1" s="153"/>
      <c r="S1" s="153"/>
      <c r="T1" s="153"/>
      <c r="U1" s="153"/>
      <c r="V1" s="153"/>
      <c r="W1" s="153"/>
      <c r="X1" s="153"/>
      <c r="Y1" s="153"/>
      <c r="Z1" s="153"/>
      <c r="AA1" s="153"/>
    </row>
    <row r="2" spans="1:27">
      <c r="A2" s="92"/>
      <c r="B2" s="93"/>
      <c r="C2" s="94"/>
      <c r="D2" s="154"/>
      <c r="E2" s="155"/>
      <c r="F2" s="155"/>
      <c r="G2" s="155"/>
      <c r="H2" s="155"/>
      <c r="I2" s="155"/>
      <c r="J2" s="155"/>
      <c r="K2" s="155"/>
      <c r="L2" s="155"/>
      <c r="M2" s="155"/>
      <c r="N2" s="155"/>
      <c r="O2" s="155"/>
      <c r="P2" s="155"/>
      <c r="Q2" s="155"/>
      <c r="R2" s="155"/>
      <c r="S2" s="156"/>
      <c r="T2" s="153"/>
      <c r="U2" s="153"/>
      <c r="V2" s="153"/>
      <c r="W2" s="153"/>
      <c r="X2" s="153"/>
      <c r="Y2" s="153"/>
      <c r="Z2" s="153"/>
      <c r="AA2" s="153"/>
    </row>
    <row r="3" spans="1:27" ht="46.5" customHeight="1">
      <c r="A3" s="92"/>
      <c r="B3" s="97"/>
      <c r="C3" s="98"/>
      <c r="J3" s="157"/>
      <c r="K3" s="157"/>
      <c r="L3" s="157"/>
      <c r="M3" s="157"/>
      <c r="N3" s="157"/>
      <c r="O3" s="157"/>
      <c r="P3" s="157"/>
      <c r="Q3" s="157"/>
      <c r="R3" s="157"/>
      <c r="S3" s="158"/>
      <c r="T3" s="153"/>
      <c r="U3" s="153"/>
      <c r="V3" s="153"/>
      <c r="W3" s="153"/>
      <c r="X3" s="153"/>
      <c r="Y3" s="153"/>
      <c r="Z3" s="153"/>
      <c r="AA3" s="153"/>
    </row>
    <row r="4" spans="1:27" ht="30" customHeight="1">
      <c r="A4" s="153"/>
      <c r="B4" s="159"/>
      <c r="C4" s="276" t="s">
        <v>164</v>
      </c>
      <c r="D4" s="267"/>
      <c r="E4" s="267"/>
      <c r="F4" s="267"/>
      <c r="G4" s="267"/>
      <c r="H4" s="267"/>
      <c r="I4" s="153"/>
      <c r="J4" s="153"/>
      <c r="K4" s="153"/>
      <c r="L4" s="153"/>
      <c r="M4" s="153"/>
      <c r="N4" s="153"/>
      <c r="O4" s="153"/>
      <c r="P4" s="153"/>
      <c r="Q4" s="153"/>
      <c r="R4" s="153"/>
      <c r="S4" s="158"/>
      <c r="T4" s="153"/>
      <c r="U4" s="153"/>
      <c r="V4" s="153"/>
      <c r="W4" s="153"/>
      <c r="X4" s="153"/>
      <c r="Y4" s="153"/>
      <c r="Z4" s="153"/>
      <c r="AA4" s="153"/>
    </row>
    <row r="5" spans="1:27" ht="30" customHeight="1">
      <c r="A5" s="153"/>
      <c r="B5" s="159"/>
      <c r="C5" s="152"/>
      <c r="D5" s="152"/>
      <c r="E5" s="322"/>
      <c r="F5" s="267"/>
      <c r="G5" s="232"/>
      <c r="H5" s="232"/>
      <c r="I5" s="232"/>
      <c r="J5" s="232"/>
      <c r="K5" s="232"/>
      <c r="L5" s="232"/>
      <c r="M5" s="232"/>
      <c r="N5" s="232"/>
      <c r="O5" s="232"/>
      <c r="P5" s="232"/>
      <c r="Q5" s="232"/>
      <c r="R5" s="232"/>
      <c r="S5" s="233"/>
      <c r="T5" s="232"/>
      <c r="U5" s="232"/>
      <c r="V5" s="232"/>
      <c r="W5" s="232"/>
      <c r="X5" s="232"/>
      <c r="Y5" s="232"/>
      <c r="Z5" s="232"/>
      <c r="AA5" s="232"/>
    </row>
    <row r="6" spans="1:27" ht="30">
      <c r="A6" s="153"/>
      <c r="B6" s="159"/>
      <c r="C6" s="308"/>
      <c r="D6" s="293"/>
      <c r="E6" s="228" t="s">
        <v>32</v>
      </c>
      <c r="F6" s="229" t="s">
        <v>33</v>
      </c>
      <c r="G6" s="230" t="s">
        <v>34</v>
      </c>
      <c r="H6" s="234"/>
      <c r="I6" s="234"/>
      <c r="J6" s="234"/>
      <c r="K6" s="234"/>
      <c r="L6" s="234"/>
      <c r="M6" s="235"/>
      <c r="N6" s="234"/>
      <c r="O6" s="234"/>
      <c r="P6" s="234"/>
      <c r="Q6" s="234"/>
      <c r="R6" s="234"/>
      <c r="S6" s="236"/>
      <c r="T6" s="234"/>
      <c r="U6" s="234"/>
      <c r="V6" s="235"/>
      <c r="W6" s="234"/>
      <c r="X6" s="234"/>
      <c r="Y6" s="234"/>
      <c r="Z6" s="234"/>
      <c r="AA6" s="234"/>
    </row>
    <row r="7" spans="1:27">
      <c r="A7" s="153"/>
      <c r="B7" s="159"/>
      <c r="C7" s="309" t="s">
        <v>165</v>
      </c>
      <c r="D7" s="286"/>
      <c r="E7" s="237"/>
      <c r="F7" s="238"/>
      <c r="G7" s="238"/>
      <c r="H7" s="239"/>
      <c r="I7" s="239"/>
      <c r="J7" s="239"/>
      <c r="K7" s="240"/>
      <c r="L7" s="240"/>
      <c r="M7" s="240"/>
      <c r="N7" s="239"/>
      <c r="O7" s="239"/>
      <c r="P7" s="239"/>
      <c r="Q7" s="239"/>
      <c r="R7" s="239"/>
      <c r="S7" s="241"/>
      <c r="T7" s="239"/>
      <c r="U7" s="239"/>
      <c r="V7" s="242"/>
      <c r="W7" s="239"/>
      <c r="X7" s="239"/>
      <c r="Y7" s="239"/>
      <c r="Z7" s="239"/>
      <c r="AA7" s="239"/>
    </row>
    <row r="8" spans="1:27">
      <c r="A8" s="153"/>
      <c r="B8" s="159"/>
      <c r="C8" s="300" t="s">
        <v>166</v>
      </c>
      <c r="D8" s="267"/>
      <c r="E8" s="76">
        <v>100</v>
      </c>
      <c r="F8" s="77">
        <v>100</v>
      </c>
      <c r="G8" s="77">
        <f t="shared" ref="G8:G9" si="0">E8-F8</f>
        <v>0</v>
      </c>
      <c r="H8" s="242"/>
      <c r="I8" s="242"/>
      <c r="J8" s="242"/>
      <c r="K8" s="242"/>
      <c r="L8" s="242"/>
      <c r="M8" s="242"/>
      <c r="N8" s="242"/>
      <c r="O8" s="242"/>
      <c r="P8" s="242"/>
      <c r="Q8" s="242"/>
      <c r="R8" s="242"/>
      <c r="S8" s="243"/>
      <c r="T8" s="242"/>
      <c r="U8" s="242"/>
      <c r="V8" s="242"/>
      <c r="W8" s="242"/>
      <c r="X8" s="242"/>
      <c r="Y8" s="242"/>
      <c r="Z8" s="242"/>
      <c r="AA8" s="242"/>
    </row>
    <row r="9" spans="1:27">
      <c r="A9" s="153"/>
      <c r="B9" s="159"/>
      <c r="C9" s="300" t="s">
        <v>167</v>
      </c>
      <c r="D9" s="267"/>
      <c r="E9" s="76">
        <v>100</v>
      </c>
      <c r="F9" s="77">
        <v>100</v>
      </c>
      <c r="G9" s="77">
        <f t="shared" si="0"/>
        <v>0</v>
      </c>
      <c r="H9" s="242"/>
      <c r="I9" s="242"/>
      <c r="J9" s="242"/>
      <c r="K9" s="242"/>
      <c r="L9" s="242"/>
      <c r="M9" s="242"/>
      <c r="N9" s="242"/>
      <c r="O9" s="242"/>
      <c r="P9" s="242"/>
      <c r="Q9" s="242"/>
      <c r="R9" s="242"/>
      <c r="S9" s="243"/>
      <c r="T9" s="242"/>
      <c r="U9" s="242"/>
      <c r="V9" s="242"/>
      <c r="W9" s="242"/>
      <c r="X9" s="242"/>
      <c r="Y9" s="242"/>
      <c r="Z9" s="242"/>
      <c r="AA9" s="242"/>
    </row>
    <row r="10" spans="1:27">
      <c r="A10" s="153"/>
      <c r="B10" s="159"/>
      <c r="C10" s="301" t="s">
        <v>69</v>
      </c>
      <c r="D10" s="265"/>
      <c r="E10" s="323"/>
      <c r="F10" s="265"/>
      <c r="G10" s="244"/>
      <c r="H10" s="242"/>
      <c r="I10" s="242"/>
      <c r="J10" s="242"/>
      <c r="K10" s="242"/>
      <c r="L10" s="242"/>
      <c r="M10" s="242"/>
      <c r="N10" s="242"/>
      <c r="O10" s="242"/>
      <c r="P10" s="242"/>
      <c r="Q10" s="242"/>
      <c r="R10" s="242"/>
      <c r="S10" s="243"/>
      <c r="T10" s="242"/>
      <c r="U10" s="242"/>
      <c r="V10" s="242"/>
      <c r="W10" s="242"/>
      <c r="X10" s="242"/>
      <c r="Y10" s="242"/>
      <c r="Z10" s="242"/>
      <c r="AA10" s="242"/>
    </row>
    <row r="11" spans="1:27">
      <c r="A11" s="153"/>
      <c r="B11" s="159"/>
      <c r="C11" s="300" t="s">
        <v>168</v>
      </c>
      <c r="D11" s="267"/>
      <c r="E11" s="76">
        <v>100</v>
      </c>
      <c r="F11" s="77">
        <v>100</v>
      </c>
      <c r="G11" s="77">
        <f t="shared" ref="G11:G14" si="1">E11-F11</f>
        <v>0</v>
      </c>
      <c r="H11" s="242"/>
      <c r="I11" s="242"/>
      <c r="J11" s="242"/>
      <c r="K11" s="242"/>
      <c r="L11" s="242"/>
      <c r="M11" s="242"/>
      <c r="N11" s="242"/>
      <c r="O11" s="242"/>
      <c r="P11" s="242"/>
      <c r="Q11" s="242"/>
      <c r="R11" s="242"/>
      <c r="S11" s="243"/>
      <c r="T11" s="242"/>
      <c r="U11" s="242"/>
      <c r="V11" s="242"/>
      <c r="W11" s="242"/>
      <c r="X11" s="242"/>
      <c r="Y11" s="242"/>
      <c r="Z11" s="242"/>
      <c r="AA11" s="242"/>
    </row>
    <row r="12" spans="1:27">
      <c r="A12" s="153"/>
      <c r="B12" s="159"/>
      <c r="C12" s="300" t="s">
        <v>169</v>
      </c>
      <c r="D12" s="267"/>
      <c r="E12" s="76">
        <v>100</v>
      </c>
      <c r="F12" s="77">
        <v>100</v>
      </c>
      <c r="G12" s="77">
        <f t="shared" si="1"/>
        <v>0</v>
      </c>
      <c r="H12" s="242"/>
      <c r="I12" s="242"/>
      <c r="J12" s="242"/>
      <c r="K12" s="242"/>
      <c r="L12" s="242"/>
      <c r="M12" s="242"/>
      <c r="N12" s="242"/>
      <c r="O12" s="242"/>
      <c r="P12" s="242"/>
      <c r="Q12" s="242"/>
      <c r="R12" s="242"/>
      <c r="S12" s="243"/>
      <c r="T12" s="242"/>
      <c r="U12" s="242"/>
      <c r="V12" s="242"/>
      <c r="W12" s="242"/>
      <c r="X12" s="242"/>
      <c r="Y12" s="242"/>
      <c r="Z12" s="242"/>
      <c r="AA12" s="242"/>
    </row>
    <row r="13" spans="1:27">
      <c r="A13" s="153"/>
      <c r="B13" s="159"/>
      <c r="C13" s="300" t="s">
        <v>170</v>
      </c>
      <c r="D13" s="267"/>
      <c r="E13" s="76">
        <v>100</v>
      </c>
      <c r="F13" s="77">
        <v>100</v>
      </c>
      <c r="G13" s="77">
        <f t="shared" si="1"/>
        <v>0</v>
      </c>
      <c r="H13" s="242"/>
      <c r="I13" s="242"/>
      <c r="J13" s="242"/>
      <c r="K13" s="242"/>
      <c r="L13" s="242"/>
      <c r="M13" s="242"/>
      <c r="N13" s="242"/>
      <c r="O13" s="242"/>
      <c r="P13" s="242"/>
      <c r="Q13" s="242"/>
      <c r="R13" s="242"/>
      <c r="S13" s="243"/>
      <c r="T13" s="242"/>
      <c r="U13" s="242"/>
      <c r="V13" s="242"/>
      <c r="W13" s="242"/>
      <c r="X13" s="242"/>
      <c r="Y13" s="242"/>
      <c r="Z13" s="242"/>
      <c r="AA13" s="242"/>
    </row>
    <row r="14" spans="1:27">
      <c r="A14" s="153"/>
      <c r="B14" s="159"/>
      <c r="C14" s="300" t="s">
        <v>171</v>
      </c>
      <c r="D14" s="267"/>
      <c r="E14" s="76">
        <v>100</v>
      </c>
      <c r="F14" s="77">
        <v>100</v>
      </c>
      <c r="G14" s="77">
        <f t="shared" si="1"/>
        <v>0</v>
      </c>
      <c r="H14" s="242"/>
      <c r="I14" s="242"/>
      <c r="J14" s="242"/>
      <c r="K14" s="242"/>
      <c r="L14" s="242"/>
      <c r="M14" s="242"/>
      <c r="N14" s="242"/>
      <c r="O14" s="242"/>
      <c r="P14" s="242"/>
      <c r="Q14" s="242"/>
      <c r="R14" s="242"/>
      <c r="S14" s="243"/>
      <c r="T14" s="242"/>
      <c r="U14" s="242"/>
      <c r="V14" s="242"/>
      <c r="W14" s="242"/>
      <c r="X14" s="242"/>
      <c r="Y14" s="242"/>
      <c r="Z14" s="242"/>
      <c r="AA14" s="242"/>
    </row>
    <row r="15" spans="1:27">
      <c r="A15" s="153"/>
      <c r="B15" s="159"/>
      <c r="C15" s="310" t="s">
        <v>172</v>
      </c>
      <c r="D15" s="265"/>
      <c r="E15" s="324"/>
      <c r="F15" s="265"/>
      <c r="G15" s="245"/>
      <c r="H15" s="242"/>
      <c r="I15" s="242"/>
      <c r="J15" s="242"/>
      <c r="K15" s="242"/>
      <c r="L15" s="242"/>
      <c r="M15" s="242"/>
      <c r="N15" s="242"/>
      <c r="O15" s="242"/>
      <c r="P15" s="242"/>
      <c r="Q15" s="242"/>
      <c r="R15" s="242"/>
      <c r="S15" s="243"/>
      <c r="T15" s="242"/>
      <c r="U15" s="242"/>
      <c r="V15" s="242"/>
      <c r="W15" s="242"/>
      <c r="X15" s="242"/>
      <c r="Y15" s="242"/>
      <c r="Z15" s="242"/>
      <c r="AA15" s="242"/>
    </row>
    <row r="16" spans="1:27">
      <c r="A16" s="153"/>
      <c r="B16" s="159"/>
      <c r="C16" s="300" t="s">
        <v>173</v>
      </c>
      <c r="D16" s="267"/>
      <c r="E16" s="76">
        <v>100</v>
      </c>
      <c r="F16" s="77">
        <v>100</v>
      </c>
      <c r="G16" s="77">
        <f t="shared" ref="G16:G23" si="2">E16-F16</f>
        <v>0</v>
      </c>
      <c r="H16" s="242"/>
      <c r="I16" s="242"/>
      <c r="J16" s="242"/>
      <c r="K16" s="242"/>
      <c r="L16" s="242"/>
      <c r="M16" s="242"/>
      <c r="N16" s="242"/>
      <c r="O16" s="242"/>
      <c r="P16" s="242"/>
      <c r="Q16" s="242"/>
      <c r="R16" s="242"/>
      <c r="S16" s="243"/>
      <c r="T16" s="242"/>
      <c r="U16" s="242"/>
      <c r="V16" s="242"/>
      <c r="W16" s="242"/>
      <c r="X16" s="242"/>
      <c r="Y16" s="242"/>
      <c r="Z16" s="242"/>
      <c r="AA16" s="242"/>
    </row>
    <row r="17" spans="1:27">
      <c r="A17" s="153"/>
      <c r="B17" s="159"/>
      <c r="C17" s="300" t="s">
        <v>174</v>
      </c>
      <c r="D17" s="267"/>
      <c r="E17" s="76">
        <v>100</v>
      </c>
      <c r="F17" s="77">
        <v>100</v>
      </c>
      <c r="G17" s="77">
        <f t="shared" si="2"/>
        <v>0</v>
      </c>
      <c r="H17" s="242"/>
      <c r="I17" s="242"/>
      <c r="J17" s="242"/>
      <c r="K17" s="242"/>
      <c r="L17" s="242"/>
      <c r="M17" s="242"/>
      <c r="N17" s="242"/>
      <c r="O17" s="242"/>
      <c r="P17" s="242"/>
      <c r="Q17" s="242"/>
      <c r="R17" s="242"/>
      <c r="S17" s="243"/>
      <c r="T17" s="242"/>
      <c r="U17" s="242"/>
      <c r="V17" s="242"/>
      <c r="W17" s="242"/>
      <c r="X17" s="242"/>
      <c r="Y17" s="242"/>
      <c r="Z17" s="242"/>
      <c r="AA17" s="242"/>
    </row>
    <row r="18" spans="1:27">
      <c r="A18" s="153"/>
      <c r="B18" s="159"/>
      <c r="C18" s="300" t="s">
        <v>175</v>
      </c>
      <c r="D18" s="267"/>
      <c r="E18" s="76">
        <v>100</v>
      </c>
      <c r="F18" s="77">
        <v>100</v>
      </c>
      <c r="G18" s="77">
        <f t="shared" si="2"/>
        <v>0</v>
      </c>
      <c r="H18" s="242"/>
      <c r="I18" s="242"/>
      <c r="J18" s="242"/>
      <c r="K18" s="242"/>
      <c r="L18" s="242"/>
      <c r="M18" s="242"/>
      <c r="N18" s="242"/>
      <c r="O18" s="242"/>
      <c r="P18" s="242"/>
      <c r="Q18" s="242"/>
      <c r="R18" s="242"/>
      <c r="S18" s="243"/>
      <c r="T18" s="242"/>
      <c r="U18" s="242"/>
      <c r="V18" s="242"/>
      <c r="W18" s="242"/>
      <c r="X18" s="242"/>
      <c r="Y18" s="242"/>
      <c r="Z18" s="242"/>
      <c r="AA18" s="242"/>
    </row>
    <row r="19" spans="1:27">
      <c r="A19" s="153"/>
      <c r="B19" s="159"/>
      <c r="C19" s="300" t="s">
        <v>176</v>
      </c>
      <c r="D19" s="267"/>
      <c r="E19" s="76">
        <v>100</v>
      </c>
      <c r="F19" s="77">
        <v>100</v>
      </c>
      <c r="G19" s="77">
        <f t="shared" si="2"/>
        <v>0</v>
      </c>
      <c r="H19" s="242"/>
      <c r="I19" s="242"/>
      <c r="J19" s="242"/>
      <c r="K19" s="242"/>
      <c r="L19" s="242"/>
      <c r="M19" s="242"/>
      <c r="N19" s="242"/>
      <c r="O19" s="242"/>
      <c r="P19" s="242"/>
      <c r="Q19" s="242"/>
      <c r="R19" s="242"/>
      <c r="S19" s="243"/>
      <c r="T19" s="242"/>
      <c r="U19" s="242"/>
      <c r="V19" s="242"/>
      <c r="W19" s="242"/>
      <c r="X19" s="242"/>
      <c r="Y19" s="242"/>
      <c r="Z19" s="242"/>
      <c r="AA19" s="242"/>
    </row>
    <row r="20" spans="1:27">
      <c r="A20" s="153"/>
      <c r="B20" s="159"/>
      <c r="C20" s="300" t="s">
        <v>177</v>
      </c>
      <c r="D20" s="267"/>
      <c r="E20" s="76">
        <v>100</v>
      </c>
      <c r="F20" s="77">
        <v>100</v>
      </c>
      <c r="G20" s="77">
        <f t="shared" si="2"/>
        <v>0</v>
      </c>
      <c r="H20" s="242"/>
      <c r="I20" s="242"/>
      <c r="J20" s="242"/>
      <c r="K20" s="242"/>
      <c r="L20" s="242"/>
      <c r="M20" s="242"/>
      <c r="N20" s="242"/>
      <c r="O20" s="242"/>
      <c r="P20" s="242"/>
      <c r="Q20" s="242"/>
      <c r="R20" s="242"/>
      <c r="S20" s="243"/>
      <c r="T20" s="242"/>
      <c r="U20" s="242"/>
      <c r="V20" s="242"/>
      <c r="W20" s="242"/>
      <c r="X20" s="242"/>
      <c r="Y20" s="242"/>
      <c r="Z20" s="242"/>
      <c r="AA20" s="242"/>
    </row>
    <row r="21" spans="1:27" ht="15.75" customHeight="1">
      <c r="A21" s="153"/>
      <c r="B21" s="159"/>
      <c r="C21" s="300" t="s">
        <v>178</v>
      </c>
      <c r="D21" s="267"/>
      <c r="E21" s="76">
        <v>100</v>
      </c>
      <c r="F21" s="77">
        <v>100</v>
      </c>
      <c r="G21" s="77">
        <f t="shared" si="2"/>
        <v>0</v>
      </c>
      <c r="H21" s="242"/>
      <c r="I21" s="242"/>
      <c r="J21" s="242"/>
      <c r="K21" s="242"/>
      <c r="L21" s="242"/>
      <c r="M21" s="242"/>
      <c r="N21" s="242"/>
      <c r="O21" s="242"/>
      <c r="P21" s="242"/>
      <c r="Q21" s="242"/>
      <c r="R21" s="242"/>
      <c r="S21" s="243"/>
      <c r="T21" s="242"/>
      <c r="U21" s="242"/>
      <c r="V21" s="242"/>
      <c r="W21" s="242"/>
      <c r="X21" s="242"/>
      <c r="Y21" s="242"/>
      <c r="Z21" s="242"/>
      <c r="AA21" s="242"/>
    </row>
    <row r="22" spans="1:27" ht="15.75" customHeight="1">
      <c r="A22" s="153"/>
      <c r="B22" s="159"/>
      <c r="C22" s="300" t="s">
        <v>179</v>
      </c>
      <c r="D22" s="267"/>
      <c r="E22" s="76">
        <v>100</v>
      </c>
      <c r="F22" s="77">
        <v>100</v>
      </c>
      <c r="G22" s="77">
        <f t="shared" si="2"/>
        <v>0</v>
      </c>
      <c r="H22" s="242"/>
      <c r="I22" s="242"/>
      <c r="J22" s="242"/>
      <c r="K22" s="242"/>
      <c r="L22" s="242"/>
      <c r="M22" s="242"/>
      <c r="N22" s="242"/>
      <c r="O22" s="242"/>
      <c r="P22" s="242"/>
      <c r="Q22" s="242"/>
      <c r="R22" s="242"/>
      <c r="S22" s="243"/>
      <c r="T22" s="242"/>
      <c r="U22" s="242"/>
      <c r="V22" s="242"/>
      <c r="W22" s="242"/>
      <c r="X22" s="242"/>
      <c r="Y22" s="242"/>
      <c r="Z22" s="242"/>
      <c r="AA22" s="242"/>
    </row>
    <row r="23" spans="1:27" ht="15.75" customHeight="1">
      <c r="A23" s="153"/>
      <c r="B23" s="159"/>
      <c r="C23" s="300" t="s">
        <v>180</v>
      </c>
      <c r="D23" s="267"/>
      <c r="E23" s="76">
        <v>100</v>
      </c>
      <c r="F23" s="77">
        <v>100</v>
      </c>
      <c r="G23" s="77">
        <f t="shared" si="2"/>
        <v>0</v>
      </c>
      <c r="H23" s="242"/>
      <c r="I23" s="242"/>
      <c r="J23" s="242"/>
      <c r="K23" s="242"/>
      <c r="L23" s="242"/>
      <c r="M23" s="242"/>
      <c r="N23" s="242"/>
      <c r="O23" s="242"/>
      <c r="P23" s="242"/>
      <c r="Q23" s="242"/>
      <c r="R23" s="242"/>
      <c r="S23" s="243"/>
      <c r="T23" s="242"/>
      <c r="U23" s="242"/>
      <c r="V23" s="242"/>
      <c r="W23" s="242"/>
      <c r="X23" s="242"/>
      <c r="Y23" s="242"/>
      <c r="Z23" s="242"/>
      <c r="AA23" s="242"/>
    </row>
    <row r="24" spans="1:27" ht="15.75" customHeight="1">
      <c r="A24" s="153"/>
      <c r="B24" s="159"/>
      <c r="C24" s="311" t="s">
        <v>181</v>
      </c>
      <c r="D24" s="265"/>
      <c r="E24" s="325"/>
      <c r="F24" s="265"/>
      <c r="G24" s="246"/>
      <c r="H24" s="242"/>
      <c r="I24" s="242"/>
      <c r="J24" s="242"/>
      <c r="K24" s="242"/>
      <c r="L24" s="242"/>
      <c r="M24" s="242"/>
      <c r="N24" s="242"/>
      <c r="O24" s="242"/>
      <c r="P24" s="242"/>
      <c r="Q24" s="242"/>
      <c r="R24" s="242"/>
      <c r="S24" s="243"/>
      <c r="T24" s="242"/>
      <c r="U24" s="242"/>
      <c r="V24" s="242"/>
      <c r="W24" s="242"/>
      <c r="X24" s="242"/>
      <c r="Y24" s="242"/>
      <c r="Z24" s="242"/>
      <c r="AA24" s="242"/>
    </row>
    <row r="25" spans="1:27" ht="15.75" customHeight="1">
      <c r="A25" s="153"/>
      <c r="B25" s="159"/>
      <c r="C25" s="300" t="s">
        <v>182</v>
      </c>
      <c r="D25" s="267"/>
      <c r="E25" s="76">
        <v>100</v>
      </c>
      <c r="F25" s="77">
        <v>100</v>
      </c>
      <c r="G25" s="77">
        <f>E25-F25</f>
        <v>0</v>
      </c>
      <c r="H25" s="242"/>
      <c r="I25" s="242"/>
      <c r="J25" s="242"/>
      <c r="K25" s="242"/>
      <c r="L25" s="242"/>
      <c r="M25" s="242"/>
      <c r="N25" s="242"/>
      <c r="O25" s="242"/>
      <c r="P25" s="242"/>
      <c r="Q25" s="242"/>
      <c r="R25" s="242"/>
      <c r="S25" s="243"/>
      <c r="T25" s="242"/>
      <c r="U25" s="242"/>
      <c r="V25" s="242"/>
      <c r="W25" s="242"/>
      <c r="X25" s="242"/>
      <c r="Y25" s="242"/>
      <c r="Z25" s="242"/>
      <c r="AA25" s="242"/>
    </row>
    <row r="26" spans="1:27" ht="15.75" customHeight="1">
      <c r="A26" s="153"/>
      <c r="B26" s="159"/>
      <c r="C26" s="315" t="s">
        <v>183</v>
      </c>
      <c r="D26" s="265"/>
      <c r="E26" s="326"/>
      <c r="F26" s="265"/>
      <c r="G26" s="247"/>
      <c r="H26" s="242"/>
      <c r="I26" s="242"/>
      <c r="J26" s="242"/>
      <c r="K26" s="242"/>
      <c r="L26" s="242"/>
      <c r="M26" s="242"/>
      <c r="N26" s="242"/>
      <c r="O26" s="242"/>
      <c r="P26" s="242"/>
      <c r="Q26" s="242"/>
      <c r="R26" s="242"/>
      <c r="S26" s="243"/>
      <c r="T26" s="242"/>
      <c r="U26" s="242"/>
      <c r="V26" s="242"/>
      <c r="W26" s="242"/>
      <c r="X26" s="242"/>
      <c r="Y26" s="242"/>
      <c r="Z26" s="242"/>
      <c r="AA26" s="242"/>
    </row>
    <row r="27" spans="1:27" ht="15.75" customHeight="1">
      <c r="A27" s="153"/>
      <c r="B27" s="159"/>
      <c r="C27" s="300" t="s">
        <v>184</v>
      </c>
      <c r="D27" s="267"/>
      <c r="E27" s="76">
        <v>100</v>
      </c>
      <c r="F27" s="77">
        <v>100</v>
      </c>
      <c r="G27" s="77">
        <f t="shared" ref="G27:G28" si="3">E27-F27</f>
        <v>0</v>
      </c>
      <c r="H27" s="242"/>
      <c r="I27" s="242"/>
      <c r="J27" s="242"/>
      <c r="K27" s="242"/>
      <c r="L27" s="242"/>
      <c r="M27" s="242"/>
      <c r="N27" s="242"/>
      <c r="O27" s="242"/>
      <c r="P27" s="242"/>
      <c r="Q27" s="242"/>
      <c r="R27" s="242"/>
      <c r="S27" s="243"/>
      <c r="T27" s="242"/>
      <c r="U27" s="242"/>
      <c r="V27" s="242"/>
      <c r="W27" s="242"/>
      <c r="X27" s="242"/>
      <c r="Y27" s="242"/>
      <c r="Z27" s="242"/>
      <c r="AA27" s="242"/>
    </row>
    <row r="28" spans="1:27" ht="15.75" customHeight="1">
      <c r="A28" s="153"/>
      <c r="B28" s="159"/>
      <c r="C28" s="306" t="s">
        <v>185</v>
      </c>
      <c r="D28" s="307"/>
      <c r="E28" s="80">
        <v>100</v>
      </c>
      <c r="F28" s="81">
        <v>100</v>
      </c>
      <c r="G28" s="81">
        <f t="shared" si="3"/>
        <v>0</v>
      </c>
      <c r="H28" s="242"/>
      <c r="I28" s="242"/>
      <c r="J28" s="242"/>
      <c r="K28" s="242"/>
      <c r="L28" s="242"/>
      <c r="M28" s="242"/>
      <c r="N28" s="242"/>
      <c r="O28" s="242"/>
      <c r="P28" s="242"/>
      <c r="Q28" s="242"/>
      <c r="R28" s="242"/>
      <c r="S28" s="243"/>
      <c r="T28" s="242"/>
      <c r="U28" s="242"/>
      <c r="V28" s="242"/>
      <c r="W28" s="242"/>
      <c r="X28" s="242"/>
      <c r="Y28" s="242"/>
      <c r="Z28" s="242"/>
      <c r="AA28" s="242"/>
    </row>
    <row r="29" spans="1:27" ht="15.75" customHeight="1">
      <c r="A29" s="153"/>
      <c r="B29" s="159"/>
      <c r="C29" s="292" t="s">
        <v>42</v>
      </c>
      <c r="D29" s="296"/>
      <c r="E29" s="146">
        <f t="shared" ref="E29:G29" si="4">SUM(E8:E9,E11:E14,E16:E23,E25,E27:E28)</f>
        <v>1700</v>
      </c>
      <c r="F29" s="147">
        <f t="shared" si="4"/>
        <v>1700</v>
      </c>
      <c r="G29" s="147">
        <f t="shared" si="4"/>
        <v>0</v>
      </c>
      <c r="H29" s="248"/>
      <c r="I29" s="248"/>
      <c r="J29" s="248"/>
      <c r="K29" s="248"/>
      <c r="L29" s="248"/>
      <c r="M29" s="248"/>
      <c r="N29" s="248"/>
      <c r="O29" s="248"/>
      <c r="P29" s="248"/>
      <c r="Q29" s="248"/>
      <c r="R29" s="248"/>
      <c r="S29" s="249"/>
      <c r="T29" s="248"/>
      <c r="U29" s="248"/>
      <c r="V29" s="248"/>
      <c r="W29" s="248"/>
      <c r="X29" s="248"/>
      <c r="Y29" s="248"/>
      <c r="Z29" s="248"/>
      <c r="AA29" s="248"/>
    </row>
    <row r="30" spans="1:27" ht="31.5" customHeight="1">
      <c r="A30" s="153"/>
      <c r="B30" s="159"/>
      <c r="C30" s="152"/>
      <c r="D30" s="152"/>
      <c r="E30" s="153"/>
      <c r="F30" s="153"/>
      <c r="G30" s="153"/>
      <c r="H30" s="153"/>
      <c r="I30" s="153"/>
      <c r="J30" s="153"/>
      <c r="K30" s="153"/>
      <c r="L30" s="153"/>
      <c r="M30" s="153"/>
      <c r="N30" s="153"/>
      <c r="O30" s="153"/>
      <c r="P30" s="153"/>
      <c r="Q30" s="153"/>
      <c r="R30" s="153"/>
      <c r="S30" s="158"/>
      <c r="T30" s="153"/>
      <c r="U30" s="153"/>
      <c r="V30" s="153"/>
      <c r="W30" s="153"/>
      <c r="X30" s="153"/>
      <c r="Y30" s="153"/>
      <c r="Z30" s="153"/>
      <c r="AA30" s="153"/>
    </row>
    <row r="31" spans="1:27" ht="30" customHeight="1">
      <c r="A31" s="153"/>
      <c r="B31" s="159"/>
      <c r="C31" s="297" t="s">
        <v>43</v>
      </c>
      <c r="D31" s="293"/>
      <c r="E31" s="228" t="s">
        <v>32</v>
      </c>
      <c r="F31" s="229" t="s">
        <v>33</v>
      </c>
      <c r="G31" s="230" t="s">
        <v>34</v>
      </c>
      <c r="H31" s="153"/>
      <c r="I31" s="153"/>
      <c r="J31" s="153"/>
      <c r="K31" s="153"/>
      <c r="L31" s="153"/>
      <c r="M31" s="153"/>
      <c r="N31" s="153"/>
      <c r="O31" s="153"/>
      <c r="P31" s="153"/>
      <c r="Q31" s="153"/>
      <c r="R31" s="153"/>
      <c r="S31" s="158"/>
      <c r="T31" s="153"/>
      <c r="U31" s="153"/>
      <c r="V31" s="153"/>
      <c r="W31" s="153"/>
      <c r="X31" s="153"/>
      <c r="Y31" s="153"/>
      <c r="Z31" s="153"/>
      <c r="AA31" s="153"/>
    </row>
    <row r="32" spans="1:27" ht="15.75" customHeight="1">
      <c r="A32" s="153"/>
      <c r="B32" s="159"/>
      <c r="C32" s="309" t="s">
        <v>165</v>
      </c>
      <c r="D32" s="286"/>
      <c r="E32" s="210">
        <f t="shared" ref="E32:F32" si="5">SUM(E8:E9)</f>
        <v>200</v>
      </c>
      <c r="F32" s="211">
        <f t="shared" si="5"/>
        <v>200</v>
      </c>
      <c r="G32" s="211">
        <f t="shared" ref="G32:G37" si="6">E32-F32</f>
        <v>0</v>
      </c>
      <c r="H32" s="153"/>
      <c r="I32" s="153"/>
      <c r="J32" s="153"/>
      <c r="K32" s="153"/>
      <c r="L32" s="153"/>
      <c r="M32" s="153"/>
      <c r="N32" s="153"/>
      <c r="O32" s="153"/>
      <c r="P32" s="153"/>
      <c r="Q32" s="153"/>
      <c r="R32" s="153"/>
      <c r="S32" s="158"/>
      <c r="T32" s="153"/>
      <c r="U32" s="153"/>
      <c r="V32" s="153"/>
      <c r="W32" s="153"/>
      <c r="X32" s="153"/>
      <c r="Y32" s="153"/>
      <c r="Z32" s="153"/>
      <c r="AA32" s="153"/>
    </row>
    <row r="33" spans="1:27" ht="15.75" customHeight="1">
      <c r="A33" s="153"/>
      <c r="B33" s="159"/>
      <c r="C33" s="301" t="s">
        <v>69</v>
      </c>
      <c r="D33" s="265"/>
      <c r="E33" s="76">
        <f t="shared" ref="E33:F33" si="7">SUM(E11:E14)</f>
        <v>400</v>
      </c>
      <c r="F33" s="77">
        <f t="shared" si="7"/>
        <v>400</v>
      </c>
      <c r="G33" s="77">
        <f t="shared" si="6"/>
        <v>0</v>
      </c>
      <c r="H33" s="153"/>
      <c r="I33" s="153"/>
      <c r="J33" s="153"/>
      <c r="K33" s="153"/>
      <c r="L33" s="153"/>
      <c r="M33" s="153"/>
      <c r="N33" s="153"/>
      <c r="O33" s="153"/>
      <c r="P33" s="153"/>
      <c r="Q33" s="153"/>
      <c r="R33" s="153"/>
      <c r="S33" s="158"/>
      <c r="T33" s="153"/>
      <c r="U33" s="153"/>
      <c r="V33" s="153"/>
      <c r="W33" s="153"/>
      <c r="X33" s="153"/>
      <c r="Y33" s="153"/>
      <c r="Z33" s="153"/>
      <c r="AA33" s="153"/>
    </row>
    <row r="34" spans="1:27" ht="15.75" customHeight="1">
      <c r="A34" s="153"/>
      <c r="B34" s="159"/>
      <c r="C34" s="310" t="s">
        <v>172</v>
      </c>
      <c r="D34" s="265"/>
      <c r="E34" s="76">
        <f t="shared" ref="E34:F34" si="8">SUM(E16:E23)</f>
        <v>800</v>
      </c>
      <c r="F34" s="77">
        <f t="shared" si="8"/>
        <v>800</v>
      </c>
      <c r="G34" s="77">
        <f t="shared" si="6"/>
        <v>0</v>
      </c>
      <c r="H34" s="153"/>
      <c r="I34" s="153"/>
      <c r="J34" s="153"/>
      <c r="K34" s="153"/>
      <c r="L34" s="153"/>
      <c r="M34" s="153"/>
      <c r="N34" s="153"/>
      <c r="O34" s="153"/>
      <c r="P34" s="153"/>
      <c r="Q34" s="153"/>
      <c r="R34" s="153"/>
      <c r="S34" s="158"/>
      <c r="T34" s="153"/>
      <c r="U34" s="153"/>
      <c r="V34" s="153"/>
      <c r="W34" s="153"/>
      <c r="X34" s="153"/>
      <c r="Y34" s="153"/>
      <c r="Z34" s="153"/>
      <c r="AA34" s="153"/>
    </row>
    <row r="35" spans="1:27" ht="15.75" customHeight="1">
      <c r="A35" s="153"/>
      <c r="B35" s="159"/>
      <c r="C35" s="311" t="s">
        <v>181</v>
      </c>
      <c r="D35" s="265"/>
      <c r="E35" s="76">
        <f t="shared" ref="E35:F35" si="9">SUM(E25)</f>
        <v>100</v>
      </c>
      <c r="F35" s="77">
        <f t="shared" si="9"/>
        <v>100</v>
      </c>
      <c r="G35" s="77">
        <f t="shared" si="6"/>
        <v>0</v>
      </c>
      <c r="H35" s="153"/>
      <c r="I35" s="153"/>
      <c r="J35" s="153"/>
      <c r="K35" s="153"/>
      <c r="L35" s="153"/>
      <c r="M35" s="153"/>
      <c r="N35" s="153"/>
      <c r="O35" s="153"/>
      <c r="P35" s="153"/>
      <c r="Q35" s="153"/>
      <c r="R35" s="153"/>
      <c r="S35" s="158"/>
      <c r="T35" s="153"/>
      <c r="U35" s="153"/>
      <c r="V35" s="153"/>
      <c r="W35" s="153"/>
      <c r="X35" s="153"/>
      <c r="Y35" s="153"/>
      <c r="Z35" s="153"/>
      <c r="AA35" s="153"/>
    </row>
    <row r="36" spans="1:27" ht="15.75" customHeight="1">
      <c r="A36" s="153"/>
      <c r="B36" s="159"/>
      <c r="C36" s="315" t="s">
        <v>183</v>
      </c>
      <c r="D36" s="265"/>
      <c r="E36" s="80">
        <f t="shared" ref="E36:F36" si="10">SUM(E27:E28)</f>
        <v>200</v>
      </c>
      <c r="F36" s="81">
        <f t="shared" si="10"/>
        <v>200</v>
      </c>
      <c r="G36" s="81">
        <f t="shared" si="6"/>
        <v>0</v>
      </c>
      <c r="H36" s="153"/>
      <c r="I36" s="153"/>
      <c r="J36" s="153"/>
      <c r="K36" s="153"/>
      <c r="L36" s="153"/>
      <c r="M36" s="153"/>
      <c r="N36" s="153"/>
      <c r="O36" s="153"/>
      <c r="P36" s="153"/>
      <c r="Q36" s="153"/>
      <c r="R36" s="153"/>
      <c r="S36" s="158"/>
      <c r="T36" s="153"/>
      <c r="U36" s="153"/>
      <c r="V36" s="153"/>
      <c r="W36" s="153"/>
      <c r="X36" s="153"/>
      <c r="Y36" s="153"/>
      <c r="Z36" s="153"/>
      <c r="AA36" s="153"/>
    </row>
    <row r="37" spans="1:27" ht="15.75" customHeight="1">
      <c r="A37" s="153"/>
      <c r="B37" s="159"/>
      <c r="C37" s="292" t="s">
        <v>42</v>
      </c>
      <c r="D37" s="293"/>
      <c r="E37" s="84">
        <f t="shared" ref="E37:F37" si="11">SUM(E32:E36)</f>
        <v>1700</v>
      </c>
      <c r="F37" s="85">
        <f t="shared" si="11"/>
        <v>1700</v>
      </c>
      <c r="G37" s="85">
        <f t="shared" si="6"/>
        <v>0</v>
      </c>
      <c r="H37" s="153"/>
      <c r="I37" s="153"/>
      <c r="J37" s="153"/>
      <c r="K37" s="153"/>
      <c r="L37" s="153"/>
      <c r="M37" s="153"/>
      <c r="N37" s="153"/>
      <c r="O37" s="153"/>
      <c r="P37" s="153"/>
      <c r="Q37" s="153"/>
      <c r="R37" s="153"/>
      <c r="S37" s="158"/>
      <c r="T37" s="153"/>
      <c r="U37" s="153"/>
      <c r="V37" s="153"/>
      <c r="W37" s="153"/>
      <c r="X37" s="153"/>
      <c r="Y37" s="153"/>
      <c r="Z37" s="153"/>
      <c r="AA37" s="153"/>
    </row>
    <row r="38" spans="1:27" ht="15.75" customHeight="1">
      <c r="A38" s="153"/>
      <c r="B38" s="159"/>
      <c r="C38" s="152"/>
      <c r="D38" s="152"/>
      <c r="E38" s="153"/>
      <c r="F38" s="153"/>
      <c r="G38" s="153"/>
      <c r="H38" s="153"/>
      <c r="I38" s="153"/>
      <c r="J38" s="153"/>
      <c r="K38" s="153"/>
      <c r="L38" s="153"/>
      <c r="M38" s="153"/>
      <c r="N38" s="153"/>
      <c r="O38" s="153"/>
      <c r="P38" s="153"/>
      <c r="Q38" s="153"/>
      <c r="R38" s="153"/>
      <c r="S38" s="158"/>
      <c r="T38" s="153"/>
      <c r="U38" s="153"/>
      <c r="V38" s="153"/>
      <c r="W38" s="153"/>
      <c r="X38" s="153"/>
      <c r="Y38" s="153"/>
      <c r="Z38" s="153"/>
      <c r="AA38" s="153"/>
    </row>
    <row r="39" spans="1:27" ht="15.75" customHeight="1">
      <c r="A39" s="153"/>
      <c r="B39" s="159"/>
      <c r="C39" s="152"/>
      <c r="D39" s="152"/>
      <c r="E39" s="153"/>
      <c r="F39" s="153"/>
      <c r="G39" s="153"/>
      <c r="H39" s="153"/>
      <c r="I39" s="153"/>
      <c r="J39" s="153"/>
      <c r="K39" s="153"/>
      <c r="L39" s="153"/>
      <c r="M39" s="153"/>
      <c r="N39" s="153"/>
      <c r="O39" s="153"/>
      <c r="P39" s="153"/>
      <c r="Q39" s="153"/>
      <c r="R39" s="153"/>
      <c r="S39" s="158"/>
      <c r="T39" s="153"/>
      <c r="U39" s="153"/>
      <c r="V39" s="153"/>
      <c r="W39" s="153"/>
      <c r="X39" s="153"/>
      <c r="Y39" s="153"/>
      <c r="Z39" s="153"/>
      <c r="AA39" s="153"/>
    </row>
    <row r="40" spans="1:27" ht="15.75" customHeight="1">
      <c r="A40" s="153"/>
      <c r="B40" s="159"/>
      <c r="C40" s="152"/>
      <c r="D40" s="152"/>
      <c r="E40" s="153"/>
      <c r="F40" s="153"/>
      <c r="G40" s="153"/>
      <c r="H40" s="153"/>
      <c r="I40" s="153"/>
      <c r="J40" s="153"/>
      <c r="K40" s="153"/>
      <c r="L40" s="153"/>
      <c r="M40" s="153"/>
      <c r="N40" s="153"/>
      <c r="O40" s="153"/>
      <c r="P40" s="153"/>
      <c r="Q40" s="153"/>
      <c r="R40" s="153"/>
      <c r="S40" s="158"/>
      <c r="T40" s="153"/>
      <c r="U40" s="153"/>
      <c r="V40" s="153"/>
      <c r="W40" s="153"/>
      <c r="X40" s="153"/>
      <c r="Y40" s="153"/>
      <c r="Z40" s="153"/>
      <c r="AA40" s="153"/>
    </row>
    <row r="41" spans="1:27" ht="15.75" customHeight="1">
      <c r="A41" s="153"/>
      <c r="B41" s="159"/>
      <c r="C41" s="152"/>
      <c r="D41" s="152"/>
      <c r="E41" s="153"/>
      <c r="F41" s="153"/>
      <c r="G41" s="153"/>
      <c r="H41" s="153"/>
      <c r="I41" s="153"/>
      <c r="J41" s="153"/>
      <c r="K41" s="153"/>
      <c r="L41" s="153"/>
      <c r="M41" s="153"/>
      <c r="N41" s="153"/>
      <c r="O41" s="153"/>
      <c r="P41" s="153"/>
      <c r="Q41" s="153"/>
      <c r="R41" s="153"/>
      <c r="S41" s="158"/>
      <c r="T41" s="153"/>
      <c r="U41" s="153"/>
      <c r="V41" s="153"/>
      <c r="W41" s="153"/>
      <c r="X41" s="153"/>
      <c r="Y41" s="153"/>
      <c r="Z41" s="153"/>
      <c r="AA41" s="153"/>
    </row>
    <row r="42" spans="1:27" ht="15.75" customHeight="1">
      <c r="A42" s="153"/>
      <c r="B42" s="159"/>
      <c r="C42" s="152"/>
      <c r="D42" s="152"/>
      <c r="E42" s="153"/>
      <c r="F42" s="153"/>
      <c r="G42" s="153"/>
      <c r="H42" s="153"/>
      <c r="I42" s="153"/>
      <c r="J42" s="153"/>
      <c r="K42" s="153"/>
      <c r="L42" s="153"/>
      <c r="M42" s="153"/>
      <c r="N42" s="153"/>
      <c r="O42" s="153"/>
      <c r="P42" s="153"/>
      <c r="Q42" s="153"/>
      <c r="R42" s="153"/>
      <c r="S42" s="158"/>
      <c r="T42" s="153"/>
      <c r="U42" s="153"/>
      <c r="V42" s="153"/>
      <c r="W42" s="153"/>
      <c r="X42" s="153"/>
      <c r="Y42" s="153"/>
      <c r="Z42" s="153"/>
      <c r="AA42" s="153"/>
    </row>
    <row r="43" spans="1:27" ht="15.75" customHeight="1">
      <c r="A43" s="153"/>
      <c r="B43" s="159"/>
      <c r="C43" s="152"/>
      <c r="D43" s="152"/>
      <c r="E43" s="153"/>
      <c r="F43" s="153"/>
      <c r="G43" s="153"/>
      <c r="H43" s="153"/>
      <c r="I43" s="153"/>
      <c r="J43" s="153"/>
      <c r="K43" s="153"/>
      <c r="L43" s="153"/>
      <c r="M43" s="153"/>
      <c r="N43" s="153"/>
      <c r="O43" s="153"/>
      <c r="P43" s="153"/>
      <c r="Q43" s="153"/>
      <c r="R43" s="153"/>
      <c r="S43" s="158"/>
      <c r="T43" s="153"/>
      <c r="U43" s="153"/>
      <c r="V43" s="153"/>
      <c r="W43" s="153"/>
      <c r="X43" s="153"/>
      <c r="Y43" s="153"/>
      <c r="Z43" s="153"/>
      <c r="AA43" s="153"/>
    </row>
    <row r="44" spans="1:27" ht="15.75" customHeight="1">
      <c r="A44" s="153"/>
      <c r="B44" s="159"/>
      <c r="C44" s="152"/>
      <c r="D44" s="152"/>
      <c r="E44" s="153"/>
      <c r="F44" s="153"/>
      <c r="G44" s="153"/>
      <c r="H44" s="153"/>
      <c r="I44" s="153"/>
      <c r="J44" s="153"/>
      <c r="K44" s="153"/>
      <c r="L44" s="153"/>
      <c r="M44" s="153"/>
      <c r="N44" s="153"/>
      <c r="O44" s="153"/>
      <c r="P44" s="153"/>
      <c r="Q44" s="153"/>
      <c r="R44" s="153"/>
      <c r="S44" s="158"/>
      <c r="T44" s="153"/>
      <c r="U44" s="153"/>
      <c r="V44" s="153"/>
      <c r="W44" s="153"/>
      <c r="X44" s="153"/>
      <c r="Y44" s="153"/>
      <c r="Z44" s="153"/>
      <c r="AA44" s="153"/>
    </row>
    <row r="45" spans="1:27" ht="15.75" customHeight="1">
      <c r="A45" s="153"/>
      <c r="B45" s="159"/>
      <c r="C45" s="152"/>
      <c r="D45" s="152"/>
      <c r="E45" s="153"/>
      <c r="F45" s="153"/>
      <c r="G45" s="153"/>
      <c r="H45" s="153"/>
      <c r="I45" s="153"/>
      <c r="J45" s="153"/>
      <c r="K45" s="153"/>
      <c r="L45" s="153"/>
      <c r="M45" s="153"/>
      <c r="N45" s="153"/>
      <c r="O45" s="153"/>
      <c r="P45" s="153"/>
      <c r="Q45" s="153"/>
      <c r="R45" s="153"/>
      <c r="S45" s="158"/>
      <c r="T45" s="153"/>
      <c r="U45" s="153"/>
      <c r="V45" s="153"/>
      <c r="W45" s="153"/>
      <c r="X45" s="153"/>
      <c r="Y45" s="153"/>
      <c r="Z45" s="153"/>
      <c r="AA45" s="153"/>
    </row>
    <row r="46" spans="1:27" ht="15" customHeight="1">
      <c r="A46" s="153"/>
      <c r="B46" s="159"/>
      <c r="C46" s="327"/>
      <c r="D46" s="267"/>
      <c r="E46" s="267"/>
      <c r="F46" s="267"/>
      <c r="G46" s="267"/>
      <c r="H46" s="153"/>
      <c r="I46" s="153"/>
      <c r="J46" s="153"/>
      <c r="K46" s="153"/>
      <c r="L46" s="153"/>
      <c r="M46" s="153"/>
      <c r="N46" s="153"/>
      <c r="O46" s="153"/>
      <c r="P46" s="153"/>
      <c r="Q46" s="153"/>
      <c r="R46" s="153"/>
      <c r="S46" s="158"/>
      <c r="T46" s="153"/>
      <c r="U46" s="153"/>
      <c r="V46" s="153"/>
      <c r="W46" s="153"/>
      <c r="X46" s="153"/>
      <c r="Y46" s="153"/>
      <c r="Z46" s="153"/>
      <c r="AA46" s="153"/>
    </row>
    <row r="47" spans="1:27" ht="15" customHeight="1">
      <c r="A47" s="153"/>
      <c r="B47" s="159"/>
      <c r="C47" s="267"/>
      <c r="D47" s="267"/>
      <c r="E47" s="267"/>
      <c r="F47" s="267"/>
      <c r="G47" s="267"/>
      <c r="H47" s="153"/>
      <c r="I47" s="153"/>
      <c r="J47" s="153"/>
      <c r="K47" s="153"/>
      <c r="L47" s="153"/>
      <c r="M47" s="153"/>
      <c r="N47" s="153"/>
      <c r="O47" s="153"/>
      <c r="P47" s="153"/>
      <c r="Q47" s="153"/>
      <c r="R47" s="153"/>
      <c r="S47" s="158"/>
      <c r="T47" s="153"/>
      <c r="U47" s="153"/>
      <c r="V47" s="153"/>
      <c r="W47" s="153"/>
      <c r="X47" s="153"/>
      <c r="Y47" s="153"/>
      <c r="Z47" s="153"/>
      <c r="AA47" s="153"/>
    </row>
    <row r="48" spans="1:27" ht="15" customHeight="1">
      <c r="A48" s="153"/>
      <c r="B48" s="159"/>
      <c r="C48" s="267"/>
      <c r="D48" s="267"/>
      <c r="E48" s="267"/>
      <c r="F48" s="267"/>
      <c r="G48" s="267"/>
      <c r="H48" s="153"/>
      <c r="I48" s="153"/>
      <c r="J48" s="153"/>
      <c r="K48" s="153"/>
      <c r="L48" s="153"/>
      <c r="M48" s="153"/>
      <c r="N48" s="153"/>
      <c r="O48" s="153"/>
      <c r="P48" s="153"/>
      <c r="Q48" s="153"/>
      <c r="R48" s="153"/>
      <c r="S48" s="158"/>
      <c r="T48" s="153"/>
      <c r="U48" s="153"/>
      <c r="V48" s="153"/>
      <c r="W48" s="153"/>
      <c r="X48" s="153"/>
      <c r="Y48" s="153"/>
      <c r="Z48" s="153"/>
      <c r="AA48" s="153"/>
    </row>
    <row r="49" spans="1:27" ht="15.75" customHeight="1">
      <c r="A49" s="153"/>
      <c r="B49" s="159"/>
      <c r="C49" s="152"/>
      <c r="D49" s="152"/>
      <c r="E49" s="153"/>
      <c r="F49" s="153"/>
      <c r="G49" s="153"/>
      <c r="H49" s="153"/>
      <c r="I49" s="153"/>
      <c r="J49" s="153"/>
      <c r="K49" s="153"/>
      <c r="L49" s="153"/>
      <c r="M49" s="153"/>
      <c r="N49" s="153"/>
      <c r="O49" s="153"/>
      <c r="P49" s="153"/>
      <c r="Q49" s="153"/>
      <c r="R49" s="153"/>
      <c r="S49" s="158"/>
      <c r="T49" s="153"/>
      <c r="U49" s="153"/>
      <c r="V49" s="153"/>
      <c r="W49" s="153"/>
      <c r="X49" s="153"/>
      <c r="Y49" s="153"/>
      <c r="Z49" s="153"/>
      <c r="AA49" s="153"/>
    </row>
    <row r="50" spans="1:27" ht="15.75" customHeight="1">
      <c r="A50" s="153"/>
      <c r="B50" s="159"/>
      <c r="C50" s="152"/>
      <c r="D50" s="152"/>
      <c r="E50" s="153"/>
      <c r="F50" s="153"/>
      <c r="G50" s="153"/>
      <c r="H50" s="153"/>
      <c r="I50" s="153"/>
      <c r="J50" s="153"/>
      <c r="K50" s="153"/>
      <c r="L50" s="153"/>
      <c r="M50" s="153"/>
      <c r="N50" s="153"/>
      <c r="O50" s="153"/>
      <c r="P50" s="153"/>
      <c r="Q50" s="153"/>
      <c r="R50" s="153"/>
      <c r="S50" s="158"/>
      <c r="T50" s="153"/>
      <c r="U50" s="153"/>
      <c r="V50" s="153"/>
      <c r="W50" s="153"/>
      <c r="X50" s="153"/>
      <c r="Y50" s="153"/>
      <c r="Z50" s="153"/>
      <c r="AA50" s="153"/>
    </row>
    <row r="51" spans="1:27" ht="15.75" customHeight="1">
      <c r="A51" s="153"/>
      <c r="B51" s="159"/>
      <c r="C51" s="152"/>
      <c r="D51" s="152"/>
      <c r="E51" s="153"/>
      <c r="F51" s="153"/>
      <c r="G51" s="153"/>
      <c r="H51" s="153"/>
      <c r="I51" s="153"/>
      <c r="J51" s="153"/>
      <c r="K51" s="153"/>
      <c r="L51" s="153"/>
      <c r="M51" s="153"/>
      <c r="N51" s="153"/>
      <c r="O51" s="153"/>
      <c r="P51" s="153"/>
      <c r="Q51" s="153"/>
      <c r="R51" s="153"/>
      <c r="S51" s="158"/>
      <c r="T51" s="153"/>
      <c r="U51" s="153"/>
      <c r="V51" s="153"/>
      <c r="W51" s="153"/>
      <c r="X51" s="153"/>
      <c r="Y51" s="153"/>
      <c r="Z51" s="153"/>
      <c r="AA51" s="153"/>
    </row>
    <row r="52" spans="1:27" ht="15.75" customHeight="1">
      <c r="A52" s="153"/>
      <c r="B52" s="159"/>
      <c r="C52" s="152"/>
      <c r="D52" s="152"/>
      <c r="E52" s="153"/>
      <c r="F52" s="153"/>
      <c r="G52" s="153"/>
      <c r="H52" s="153"/>
      <c r="I52" s="153"/>
      <c r="J52" s="153"/>
      <c r="K52" s="153"/>
      <c r="L52" s="153"/>
      <c r="M52" s="153"/>
      <c r="N52" s="153"/>
      <c r="O52" s="153"/>
      <c r="P52" s="153"/>
      <c r="Q52" s="153"/>
      <c r="R52" s="153"/>
      <c r="S52" s="158"/>
      <c r="T52" s="153"/>
      <c r="U52" s="153"/>
      <c r="V52" s="153"/>
      <c r="W52" s="153"/>
      <c r="X52" s="153"/>
      <c r="Y52" s="153"/>
      <c r="Z52" s="153"/>
      <c r="AA52" s="153"/>
    </row>
    <row r="53" spans="1:27" ht="15.75" customHeight="1">
      <c r="A53" s="153"/>
      <c r="B53" s="159"/>
      <c r="C53" s="152"/>
      <c r="D53" s="152"/>
      <c r="E53" s="153"/>
      <c r="F53" s="153"/>
      <c r="G53" s="153"/>
      <c r="H53" s="153"/>
      <c r="I53" s="153"/>
      <c r="J53" s="153"/>
      <c r="K53" s="153"/>
      <c r="L53" s="153"/>
      <c r="M53" s="153"/>
      <c r="N53" s="153"/>
      <c r="O53" s="153"/>
      <c r="P53" s="153"/>
      <c r="Q53" s="153"/>
      <c r="R53" s="153"/>
      <c r="S53" s="158"/>
      <c r="T53" s="153"/>
      <c r="U53" s="153"/>
      <c r="V53" s="153"/>
      <c r="W53" s="153"/>
      <c r="X53" s="153"/>
      <c r="Y53" s="153"/>
      <c r="Z53" s="153"/>
      <c r="AA53" s="153"/>
    </row>
    <row r="54" spans="1:27" ht="15.75" customHeight="1">
      <c r="A54" s="153"/>
      <c r="B54" s="159"/>
      <c r="C54" s="152"/>
      <c r="D54" s="152"/>
      <c r="E54" s="153"/>
      <c r="F54" s="153"/>
      <c r="G54" s="153"/>
      <c r="H54" s="153"/>
      <c r="I54" s="153"/>
      <c r="J54" s="153"/>
      <c r="K54" s="153"/>
      <c r="L54" s="153"/>
      <c r="M54" s="153"/>
      <c r="N54" s="153"/>
      <c r="O54" s="153"/>
      <c r="P54" s="153"/>
      <c r="Q54" s="153"/>
      <c r="R54" s="153"/>
      <c r="S54" s="158"/>
      <c r="T54" s="153"/>
      <c r="U54" s="153"/>
      <c r="V54" s="153"/>
      <c r="W54" s="153"/>
      <c r="X54" s="153"/>
      <c r="Y54" s="153"/>
      <c r="Z54" s="153"/>
      <c r="AA54" s="153"/>
    </row>
    <row r="55" spans="1:27" ht="15.75" customHeight="1">
      <c r="A55" s="153"/>
      <c r="B55" s="159"/>
      <c r="C55" s="152"/>
      <c r="D55" s="152"/>
      <c r="E55" s="153"/>
      <c r="F55" s="153"/>
      <c r="G55" s="153"/>
      <c r="H55" s="153"/>
      <c r="I55" s="153"/>
      <c r="J55" s="153"/>
      <c r="K55" s="153"/>
      <c r="L55" s="153"/>
      <c r="M55" s="153"/>
      <c r="N55" s="153"/>
      <c r="O55" s="153"/>
      <c r="P55" s="153"/>
      <c r="Q55" s="153"/>
      <c r="R55" s="153"/>
      <c r="S55" s="158"/>
      <c r="T55" s="153"/>
      <c r="U55" s="153"/>
      <c r="V55" s="153"/>
      <c r="W55" s="153"/>
      <c r="X55" s="153"/>
      <c r="Y55" s="153"/>
      <c r="Z55" s="153"/>
      <c r="AA55" s="153"/>
    </row>
    <row r="56" spans="1:27" ht="15.75" customHeight="1">
      <c r="A56" s="153"/>
      <c r="B56" s="191"/>
      <c r="C56" s="192"/>
      <c r="D56" s="192"/>
      <c r="E56" s="193"/>
      <c r="F56" s="193"/>
      <c r="G56" s="193"/>
      <c r="H56" s="193"/>
      <c r="I56" s="193"/>
      <c r="J56" s="193"/>
      <c r="K56" s="193"/>
      <c r="L56" s="193"/>
      <c r="M56" s="193"/>
      <c r="N56" s="193"/>
      <c r="O56" s="193"/>
      <c r="P56" s="193"/>
      <c r="Q56" s="193"/>
      <c r="R56" s="193"/>
      <c r="S56" s="194"/>
      <c r="T56" s="153"/>
      <c r="U56" s="153"/>
      <c r="V56" s="153"/>
      <c r="W56" s="153"/>
      <c r="X56" s="153"/>
      <c r="Y56" s="153"/>
      <c r="Z56" s="153"/>
      <c r="AA56" s="153"/>
    </row>
    <row r="57" spans="1:27" ht="15.75" customHeight="1">
      <c r="A57" s="153"/>
      <c r="B57" s="153"/>
      <c r="C57" s="152"/>
      <c r="D57" s="152"/>
      <c r="E57" s="153"/>
      <c r="F57" s="153"/>
      <c r="G57" s="153"/>
      <c r="H57" s="153"/>
      <c r="I57" s="153"/>
      <c r="J57" s="153"/>
      <c r="K57" s="153"/>
      <c r="L57" s="153"/>
      <c r="M57" s="153"/>
      <c r="N57" s="153"/>
      <c r="O57" s="153"/>
      <c r="P57" s="153"/>
      <c r="Q57" s="153"/>
      <c r="R57" s="153"/>
      <c r="S57" s="153"/>
      <c r="T57" s="153"/>
      <c r="U57" s="153"/>
      <c r="V57" s="153"/>
      <c r="W57" s="153"/>
      <c r="X57" s="153"/>
      <c r="Y57" s="153"/>
      <c r="Z57" s="153"/>
      <c r="AA57" s="153"/>
    </row>
    <row r="58" spans="1:27" ht="15.75" customHeight="1">
      <c r="A58" s="153"/>
      <c r="B58" s="153"/>
      <c r="C58" s="152"/>
      <c r="D58" s="152"/>
      <c r="E58" s="153"/>
      <c r="F58" s="153"/>
      <c r="G58" s="153"/>
      <c r="H58" s="153"/>
      <c r="I58" s="153"/>
      <c r="J58" s="153"/>
      <c r="K58" s="153"/>
      <c r="L58" s="153"/>
      <c r="M58" s="153"/>
      <c r="N58" s="153"/>
      <c r="O58" s="153"/>
      <c r="P58" s="153"/>
      <c r="Q58" s="153"/>
      <c r="R58" s="153"/>
      <c r="S58" s="153"/>
      <c r="T58" s="153"/>
      <c r="U58" s="153"/>
      <c r="V58" s="153"/>
      <c r="W58" s="153"/>
      <c r="X58" s="153"/>
      <c r="Y58" s="153"/>
      <c r="Z58" s="153"/>
      <c r="AA58" s="153"/>
    </row>
    <row r="59" spans="1:27" ht="15.75" customHeight="1">
      <c r="A59" s="153"/>
      <c r="B59" s="153"/>
      <c r="C59" s="152"/>
      <c r="D59" s="152"/>
      <c r="E59" s="153"/>
      <c r="F59" s="153"/>
      <c r="G59" s="153"/>
      <c r="H59" s="153"/>
      <c r="I59" s="153"/>
      <c r="J59" s="153"/>
      <c r="K59" s="153"/>
      <c r="L59" s="153"/>
      <c r="M59" s="153"/>
      <c r="N59" s="153"/>
      <c r="O59" s="153"/>
      <c r="P59" s="153"/>
      <c r="Q59" s="153"/>
      <c r="R59" s="153"/>
      <c r="S59" s="153"/>
      <c r="T59" s="153"/>
      <c r="U59" s="153"/>
      <c r="V59" s="153"/>
      <c r="W59" s="153"/>
      <c r="X59" s="153"/>
      <c r="Y59" s="153"/>
      <c r="Z59" s="153"/>
      <c r="AA59" s="153"/>
    </row>
    <row r="60" spans="1:27" ht="15.75" customHeight="1">
      <c r="A60" s="153"/>
      <c r="B60" s="153"/>
      <c r="C60" s="152"/>
      <c r="D60" s="152"/>
      <c r="E60" s="153"/>
      <c r="F60" s="153"/>
      <c r="G60" s="153"/>
      <c r="H60" s="153"/>
      <c r="I60" s="153"/>
      <c r="J60" s="153"/>
      <c r="K60" s="153"/>
      <c r="L60" s="153"/>
      <c r="M60" s="153"/>
      <c r="N60" s="153"/>
      <c r="O60" s="153"/>
      <c r="P60" s="153"/>
      <c r="Q60" s="153"/>
      <c r="R60" s="153"/>
      <c r="S60" s="153"/>
      <c r="T60" s="153"/>
      <c r="U60" s="153"/>
      <c r="V60" s="153"/>
      <c r="W60" s="153"/>
      <c r="X60" s="153"/>
      <c r="Y60" s="153"/>
      <c r="Z60" s="153"/>
      <c r="AA60" s="153"/>
    </row>
    <row r="61" spans="1:27" ht="15.75" customHeight="1">
      <c r="A61" s="153"/>
      <c r="B61" s="153"/>
      <c r="C61" s="152"/>
      <c r="D61" s="152"/>
      <c r="E61" s="153"/>
      <c r="F61" s="153"/>
      <c r="G61" s="153"/>
      <c r="H61" s="153"/>
      <c r="I61" s="153"/>
      <c r="J61" s="153"/>
      <c r="K61" s="153"/>
      <c r="L61" s="153"/>
      <c r="M61" s="153"/>
      <c r="N61" s="153"/>
      <c r="O61" s="153"/>
      <c r="P61" s="153"/>
      <c r="Q61" s="153"/>
      <c r="R61" s="153"/>
      <c r="S61" s="153"/>
      <c r="T61" s="153"/>
      <c r="U61" s="153"/>
      <c r="V61" s="153"/>
      <c r="W61" s="153"/>
      <c r="X61" s="153"/>
      <c r="Y61" s="153"/>
      <c r="Z61" s="153"/>
      <c r="AA61" s="153"/>
    </row>
    <row r="62" spans="1:27" ht="15.75" customHeight="1">
      <c r="A62" s="153"/>
      <c r="B62" s="153"/>
      <c r="C62" s="152"/>
      <c r="D62" s="152"/>
      <c r="E62" s="153"/>
      <c r="F62" s="153"/>
      <c r="G62" s="153"/>
      <c r="H62" s="153"/>
      <c r="I62" s="153"/>
      <c r="J62" s="153"/>
      <c r="K62" s="153"/>
      <c r="L62" s="153"/>
      <c r="M62" s="153"/>
      <c r="N62" s="153"/>
      <c r="O62" s="153"/>
      <c r="P62" s="153"/>
      <c r="Q62" s="153"/>
      <c r="R62" s="153"/>
      <c r="S62" s="153"/>
      <c r="T62" s="153"/>
      <c r="U62" s="153"/>
      <c r="V62" s="153"/>
      <c r="W62" s="153"/>
      <c r="X62" s="153"/>
      <c r="Y62" s="153"/>
      <c r="Z62" s="153"/>
      <c r="AA62" s="153"/>
    </row>
    <row r="63" spans="1:27" ht="15.75" customHeight="1">
      <c r="A63" s="153"/>
      <c r="B63" s="153"/>
      <c r="C63" s="152"/>
      <c r="D63" s="152"/>
      <c r="E63" s="153"/>
      <c r="F63" s="153"/>
      <c r="G63" s="153"/>
      <c r="H63" s="153"/>
      <c r="I63" s="153"/>
      <c r="J63" s="153"/>
      <c r="K63" s="153"/>
      <c r="L63" s="153"/>
      <c r="M63" s="153"/>
      <c r="N63" s="153"/>
      <c r="O63" s="153"/>
      <c r="P63" s="153"/>
      <c r="Q63" s="153"/>
      <c r="R63" s="153"/>
      <c r="S63" s="153"/>
      <c r="T63" s="153"/>
      <c r="U63" s="153"/>
      <c r="V63" s="153"/>
      <c r="W63" s="153"/>
      <c r="X63" s="153"/>
      <c r="Y63" s="153"/>
      <c r="Z63" s="153"/>
      <c r="AA63" s="153"/>
    </row>
    <row r="64" spans="1:27" ht="15.75" customHeight="1">
      <c r="A64" s="153"/>
      <c r="B64" s="153"/>
      <c r="C64" s="152"/>
      <c r="D64" s="152"/>
      <c r="E64" s="153"/>
      <c r="F64" s="153"/>
      <c r="G64" s="153"/>
      <c r="H64" s="153"/>
      <c r="I64" s="153"/>
      <c r="J64" s="153"/>
      <c r="K64" s="153"/>
      <c r="L64" s="153"/>
      <c r="M64" s="153"/>
      <c r="N64" s="153"/>
      <c r="O64" s="153"/>
      <c r="P64" s="153"/>
      <c r="Q64" s="153"/>
      <c r="R64" s="153"/>
      <c r="S64" s="153"/>
      <c r="T64" s="153"/>
      <c r="U64" s="153"/>
      <c r="V64" s="153"/>
      <c r="W64" s="153"/>
      <c r="X64" s="153"/>
      <c r="Y64" s="153"/>
      <c r="Z64" s="153"/>
      <c r="AA64" s="153"/>
    </row>
    <row r="65" spans="1:27" ht="15.75" customHeight="1">
      <c r="A65" s="153"/>
      <c r="B65" s="153"/>
      <c r="C65" s="152"/>
      <c r="D65" s="152"/>
      <c r="E65" s="153"/>
      <c r="F65" s="153"/>
      <c r="G65" s="153"/>
      <c r="H65" s="153"/>
      <c r="I65" s="153"/>
      <c r="J65" s="153"/>
      <c r="K65" s="153"/>
      <c r="L65" s="153"/>
      <c r="M65" s="153"/>
      <c r="N65" s="153"/>
      <c r="O65" s="153"/>
      <c r="P65" s="153"/>
      <c r="Q65" s="153"/>
      <c r="R65" s="153"/>
      <c r="S65" s="153"/>
      <c r="T65" s="153"/>
      <c r="U65" s="153"/>
      <c r="V65" s="153"/>
      <c r="W65" s="153"/>
      <c r="X65" s="153"/>
      <c r="Y65" s="153"/>
      <c r="Z65" s="153"/>
      <c r="AA65" s="153"/>
    </row>
    <row r="66" spans="1:27" ht="15.75" customHeight="1">
      <c r="A66" s="153"/>
      <c r="B66" s="153"/>
      <c r="C66" s="152"/>
      <c r="D66" s="152"/>
      <c r="E66" s="153"/>
      <c r="F66" s="153"/>
      <c r="G66" s="153"/>
      <c r="H66" s="153"/>
      <c r="I66" s="153"/>
      <c r="J66" s="153"/>
      <c r="K66" s="153"/>
      <c r="L66" s="153"/>
      <c r="M66" s="153"/>
      <c r="N66" s="153"/>
      <c r="O66" s="153"/>
      <c r="P66" s="153"/>
      <c r="Q66" s="153"/>
      <c r="R66" s="153"/>
      <c r="S66" s="153"/>
      <c r="T66" s="153"/>
      <c r="U66" s="153"/>
      <c r="V66" s="153"/>
      <c r="W66" s="153"/>
      <c r="X66" s="153"/>
      <c r="Y66" s="153"/>
      <c r="Z66" s="153"/>
      <c r="AA66" s="153"/>
    </row>
    <row r="67" spans="1:27" ht="15.75" customHeight="1">
      <c r="A67" s="153"/>
      <c r="B67" s="153"/>
      <c r="C67" s="152"/>
      <c r="D67" s="152"/>
      <c r="E67" s="153"/>
      <c r="F67" s="153"/>
      <c r="G67" s="153"/>
      <c r="H67" s="153"/>
      <c r="I67" s="153"/>
      <c r="J67" s="153"/>
      <c r="K67" s="153"/>
      <c r="L67" s="153"/>
      <c r="M67" s="153"/>
      <c r="N67" s="153"/>
      <c r="O67" s="153"/>
      <c r="P67" s="153"/>
      <c r="Q67" s="153"/>
      <c r="R67" s="153"/>
      <c r="S67" s="153"/>
      <c r="T67" s="153"/>
      <c r="U67" s="153"/>
      <c r="V67" s="153"/>
      <c r="W67" s="153"/>
      <c r="X67" s="153"/>
      <c r="Y67" s="153"/>
      <c r="Z67" s="153"/>
      <c r="AA67" s="153"/>
    </row>
    <row r="68" spans="1:27" ht="15.75" customHeight="1">
      <c r="A68" s="153"/>
      <c r="B68" s="153"/>
      <c r="C68" s="152"/>
      <c r="D68" s="152"/>
      <c r="E68" s="153"/>
      <c r="F68" s="153"/>
      <c r="G68" s="153"/>
      <c r="H68" s="153"/>
      <c r="I68" s="153"/>
      <c r="J68" s="153"/>
      <c r="K68" s="153"/>
      <c r="L68" s="153"/>
      <c r="M68" s="153"/>
      <c r="N68" s="153"/>
      <c r="O68" s="153"/>
      <c r="P68" s="153"/>
      <c r="Q68" s="153"/>
      <c r="R68" s="153"/>
      <c r="S68" s="153"/>
      <c r="T68" s="153"/>
      <c r="U68" s="153"/>
      <c r="V68" s="153"/>
      <c r="W68" s="153"/>
      <c r="X68" s="153"/>
      <c r="Y68" s="153"/>
      <c r="Z68" s="153"/>
      <c r="AA68" s="153"/>
    </row>
    <row r="69" spans="1:27" ht="15.75" customHeight="1">
      <c r="A69" s="153"/>
      <c r="B69" s="153"/>
      <c r="C69" s="152"/>
      <c r="D69" s="152"/>
      <c r="E69" s="153"/>
      <c r="F69" s="153"/>
      <c r="G69" s="153"/>
      <c r="H69" s="153"/>
      <c r="I69" s="153"/>
      <c r="J69" s="153"/>
      <c r="K69" s="153"/>
      <c r="L69" s="153"/>
      <c r="M69" s="153"/>
      <c r="N69" s="153"/>
      <c r="O69" s="153"/>
      <c r="P69" s="153"/>
      <c r="Q69" s="153"/>
      <c r="R69" s="153"/>
      <c r="S69" s="153"/>
      <c r="T69" s="153"/>
      <c r="U69" s="153"/>
      <c r="V69" s="153"/>
      <c r="W69" s="153"/>
      <c r="X69" s="153"/>
      <c r="Y69" s="153"/>
      <c r="Z69" s="153"/>
      <c r="AA69" s="153"/>
    </row>
    <row r="70" spans="1:27" ht="15.75" customHeight="1">
      <c r="A70" s="153"/>
      <c r="B70" s="153"/>
      <c r="C70" s="152"/>
      <c r="D70" s="152"/>
      <c r="E70" s="153"/>
      <c r="F70" s="153"/>
      <c r="G70" s="153"/>
      <c r="H70" s="153"/>
      <c r="I70" s="153"/>
      <c r="J70" s="153"/>
      <c r="K70" s="153"/>
      <c r="L70" s="153"/>
      <c r="M70" s="153"/>
      <c r="N70" s="153"/>
      <c r="O70" s="153"/>
      <c r="P70" s="153"/>
      <c r="Q70" s="153"/>
      <c r="R70" s="153"/>
      <c r="S70" s="153"/>
      <c r="T70" s="153"/>
      <c r="U70" s="153"/>
      <c r="V70" s="153"/>
      <c r="W70" s="153"/>
      <c r="X70" s="153"/>
      <c r="Y70" s="153"/>
      <c r="Z70" s="153"/>
      <c r="AA70" s="153"/>
    </row>
    <row r="71" spans="1:27" ht="15.75" customHeight="1">
      <c r="A71" s="153"/>
      <c r="B71" s="153"/>
      <c r="C71" s="152"/>
      <c r="D71" s="152"/>
      <c r="E71" s="153"/>
      <c r="F71" s="153"/>
      <c r="G71" s="153"/>
      <c r="H71" s="153"/>
      <c r="I71" s="153"/>
      <c r="J71" s="153"/>
      <c r="K71" s="153"/>
      <c r="L71" s="153"/>
      <c r="M71" s="153"/>
      <c r="N71" s="153"/>
      <c r="O71" s="153"/>
      <c r="P71" s="153"/>
      <c r="Q71" s="153"/>
      <c r="R71" s="153"/>
      <c r="S71" s="153"/>
      <c r="T71" s="153"/>
      <c r="U71" s="153"/>
      <c r="V71" s="153"/>
      <c r="W71" s="153"/>
      <c r="X71" s="153"/>
      <c r="Y71" s="153"/>
      <c r="Z71" s="153"/>
      <c r="AA71" s="153"/>
    </row>
    <row r="72" spans="1:27" ht="15.75" customHeight="1">
      <c r="A72" s="153"/>
      <c r="B72" s="153"/>
      <c r="C72" s="152"/>
      <c r="D72" s="152"/>
      <c r="E72" s="153"/>
      <c r="F72" s="153"/>
      <c r="G72" s="153"/>
      <c r="H72" s="153"/>
      <c r="I72" s="153"/>
      <c r="J72" s="153"/>
      <c r="K72" s="153"/>
      <c r="L72" s="153"/>
      <c r="M72" s="153"/>
      <c r="N72" s="153"/>
      <c r="O72" s="153"/>
      <c r="P72" s="153"/>
      <c r="Q72" s="153"/>
      <c r="R72" s="153"/>
      <c r="S72" s="153"/>
      <c r="T72" s="153"/>
      <c r="U72" s="153"/>
      <c r="V72" s="153"/>
      <c r="W72" s="153"/>
      <c r="X72" s="153"/>
      <c r="Y72" s="153"/>
      <c r="Z72" s="153"/>
      <c r="AA72" s="153"/>
    </row>
    <row r="73" spans="1:27" ht="15.75" customHeight="1">
      <c r="A73" s="153"/>
      <c r="B73" s="153"/>
      <c r="C73" s="152"/>
      <c r="D73" s="152"/>
      <c r="E73" s="153"/>
      <c r="F73" s="153"/>
      <c r="G73" s="153"/>
      <c r="H73" s="153"/>
      <c r="I73" s="153"/>
      <c r="J73" s="153"/>
      <c r="K73" s="153"/>
      <c r="L73" s="153"/>
      <c r="M73" s="153"/>
      <c r="N73" s="153"/>
      <c r="O73" s="153"/>
      <c r="P73" s="153"/>
      <c r="Q73" s="153"/>
      <c r="R73" s="153"/>
      <c r="S73" s="153"/>
      <c r="T73" s="153"/>
      <c r="U73" s="153"/>
      <c r="V73" s="153"/>
      <c r="W73" s="153"/>
      <c r="X73" s="153"/>
      <c r="Y73" s="153"/>
      <c r="Z73" s="153"/>
      <c r="AA73" s="153"/>
    </row>
    <row r="74" spans="1:27" ht="15.75" customHeight="1">
      <c r="A74" s="153"/>
      <c r="B74" s="153"/>
      <c r="C74" s="152"/>
      <c r="D74" s="152"/>
      <c r="E74" s="153"/>
      <c r="F74" s="153"/>
      <c r="G74" s="153"/>
      <c r="H74" s="153"/>
      <c r="I74" s="153"/>
      <c r="J74" s="153"/>
      <c r="K74" s="153"/>
      <c r="L74" s="153"/>
      <c r="M74" s="153"/>
      <c r="N74" s="153"/>
      <c r="O74" s="153"/>
      <c r="P74" s="153"/>
      <c r="Q74" s="153"/>
      <c r="R74" s="153"/>
      <c r="S74" s="153"/>
      <c r="T74" s="153"/>
      <c r="U74" s="153"/>
      <c r="V74" s="153"/>
      <c r="W74" s="153"/>
      <c r="X74" s="153"/>
      <c r="Y74" s="153"/>
      <c r="Z74" s="153"/>
      <c r="AA74" s="153"/>
    </row>
    <row r="75" spans="1:27" ht="15.75" customHeight="1">
      <c r="A75" s="153"/>
      <c r="B75" s="153"/>
      <c r="C75" s="152"/>
      <c r="D75" s="152"/>
      <c r="E75" s="153"/>
      <c r="F75" s="153"/>
      <c r="G75" s="153"/>
      <c r="H75" s="153"/>
      <c r="I75" s="153"/>
      <c r="J75" s="153"/>
      <c r="K75" s="153"/>
      <c r="L75" s="153"/>
      <c r="M75" s="153"/>
      <c r="N75" s="153"/>
      <c r="O75" s="153"/>
      <c r="P75" s="153"/>
      <c r="Q75" s="153"/>
      <c r="R75" s="153"/>
      <c r="S75" s="153"/>
      <c r="T75" s="153"/>
      <c r="U75" s="153"/>
      <c r="V75" s="153"/>
      <c r="W75" s="153"/>
      <c r="X75" s="153"/>
      <c r="Y75" s="153"/>
      <c r="Z75" s="153"/>
      <c r="AA75" s="153"/>
    </row>
    <row r="76" spans="1:27" ht="15.75" customHeight="1">
      <c r="A76" s="153"/>
      <c r="B76" s="153"/>
      <c r="C76" s="152"/>
      <c r="D76" s="152"/>
      <c r="E76" s="153"/>
      <c r="F76" s="153"/>
      <c r="G76" s="153"/>
      <c r="H76" s="153"/>
      <c r="I76" s="153"/>
      <c r="J76" s="153"/>
      <c r="K76" s="153"/>
      <c r="L76" s="153"/>
      <c r="M76" s="153"/>
      <c r="N76" s="153"/>
      <c r="O76" s="153"/>
      <c r="P76" s="153"/>
      <c r="Q76" s="153"/>
      <c r="R76" s="153"/>
      <c r="S76" s="153"/>
      <c r="T76" s="153"/>
      <c r="U76" s="153"/>
      <c r="V76" s="153"/>
      <c r="W76" s="153"/>
      <c r="X76" s="153"/>
      <c r="Y76" s="153"/>
      <c r="Z76" s="153"/>
      <c r="AA76" s="153"/>
    </row>
    <row r="77" spans="1:27" ht="15.75" customHeight="1">
      <c r="A77" s="153"/>
      <c r="B77" s="153"/>
      <c r="C77" s="152"/>
      <c r="D77" s="152"/>
      <c r="E77" s="153"/>
      <c r="F77" s="153"/>
      <c r="G77" s="153"/>
      <c r="H77" s="153"/>
      <c r="I77" s="153"/>
      <c r="J77" s="153"/>
      <c r="K77" s="153"/>
      <c r="L77" s="153"/>
      <c r="M77" s="153"/>
      <c r="N77" s="153"/>
      <c r="O77" s="153"/>
      <c r="P77" s="153"/>
      <c r="Q77" s="153"/>
      <c r="R77" s="153"/>
      <c r="S77" s="153"/>
      <c r="T77" s="153"/>
      <c r="U77" s="153"/>
      <c r="V77" s="153"/>
      <c r="W77" s="153"/>
      <c r="X77" s="153"/>
      <c r="Y77" s="153"/>
      <c r="Z77" s="153"/>
      <c r="AA77" s="153"/>
    </row>
    <row r="78" spans="1:27" ht="15.75" customHeight="1">
      <c r="A78" s="153"/>
      <c r="B78" s="153"/>
      <c r="C78" s="152"/>
      <c r="D78" s="152"/>
      <c r="E78" s="153"/>
      <c r="F78" s="153"/>
      <c r="G78" s="153"/>
      <c r="H78" s="153"/>
      <c r="I78" s="153"/>
      <c r="J78" s="153"/>
      <c r="K78" s="153"/>
      <c r="L78" s="153"/>
      <c r="M78" s="153"/>
      <c r="N78" s="153"/>
      <c r="O78" s="153"/>
      <c r="P78" s="153"/>
      <c r="Q78" s="153"/>
      <c r="R78" s="153"/>
      <c r="S78" s="153"/>
      <c r="T78" s="153"/>
      <c r="U78" s="153"/>
      <c r="V78" s="153"/>
      <c r="W78" s="153"/>
      <c r="X78" s="153"/>
      <c r="Y78" s="153"/>
      <c r="Z78" s="153"/>
      <c r="AA78" s="153"/>
    </row>
    <row r="79" spans="1:27" ht="15.75" customHeight="1">
      <c r="A79" s="153"/>
      <c r="B79" s="153"/>
      <c r="C79" s="152"/>
      <c r="D79" s="152"/>
      <c r="E79" s="153"/>
      <c r="F79" s="153"/>
      <c r="G79" s="153"/>
      <c r="H79" s="153"/>
      <c r="I79" s="153"/>
      <c r="J79" s="153"/>
      <c r="K79" s="153"/>
      <c r="L79" s="153"/>
      <c r="M79" s="153"/>
      <c r="N79" s="153"/>
      <c r="O79" s="153"/>
      <c r="P79" s="153"/>
      <c r="Q79" s="153"/>
      <c r="R79" s="153"/>
      <c r="S79" s="153"/>
      <c r="T79" s="153"/>
      <c r="U79" s="153"/>
      <c r="V79" s="153"/>
      <c r="W79" s="153"/>
      <c r="X79" s="153"/>
      <c r="Y79" s="153"/>
      <c r="Z79" s="153"/>
      <c r="AA79" s="153"/>
    </row>
    <row r="80" spans="1:27" ht="15.75" customHeight="1">
      <c r="A80" s="153"/>
      <c r="B80" s="153"/>
      <c r="C80" s="152"/>
      <c r="D80" s="152"/>
      <c r="E80" s="153"/>
      <c r="F80" s="153"/>
      <c r="G80" s="153"/>
      <c r="H80" s="153"/>
      <c r="I80" s="153"/>
      <c r="J80" s="153"/>
      <c r="K80" s="153"/>
      <c r="L80" s="153"/>
      <c r="M80" s="153"/>
      <c r="N80" s="153"/>
      <c r="O80" s="153"/>
      <c r="P80" s="153"/>
      <c r="Q80" s="153"/>
      <c r="R80" s="153"/>
      <c r="S80" s="153"/>
      <c r="T80" s="153"/>
      <c r="U80" s="153"/>
      <c r="V80" s="153"/>
      <c r="W80" s="153"/>
      <c r="X80" s="153"/>
      <c r="Y80" s="153"/>
      <c r="Z80" s="153"/>
      <c r="AA80" s="153"/>
    </row>
    <row r="81" spans="1:27" ht="15.75" customHeight="1">
      <c r="A81" s="153"/>
      <c r="B81" s="153"/>
      <c r="C81" s="152"/>
      <c r="D81" s="152"/>
      <c r="E81" s="153"/>
      <c r="F81" s="153"/>
      <c r="G81" s="153"/>
      <c r="H81" s="153"/>
      <c r="I81" s="153"/>
      <c r="J81" s="153"/>
      <c r="K81" s="153"/>
      <c r="L81" s="153"/>
      <c r="M81" s="153"/>
      <c r="N81" s="153"/>
      <c r="O81" s="153"/>
      <c r="P81" s="153"/>
      <c r="Q81" s="153"/>
      <c r="R81" s="153"/>
      <c r="S81" s="153"/>
      <c r="T81" s="153"/>
      <c r="U81" s="153"/>
      <c r="V81" s="153"/>
      <c r="W81" s="153"/>
      <c r="X81" s="153"/>
      <c r="Y81" s="153"/>
      <c r="Z81" s="153"/>
      <c r="AA81" s="153"/>
    </row>
    <row r="82" spans="1:27" ht="15.75" customHeight="1">
      <c r="A82" s="153"/>
      <c r="B82" s="153"/>
      <c r="C82" s="152"/>
      <c r="D82" s="152"/>
      <c r="E82" s="153"/>
      <c r="F82" s="153"/>
      <c r="G82" s="153"/>
      <c r="H82" s="153"/>
      <c r="I82" s="153"/>
      <c r="J82" s="153"/>
      <c r="K82" s="153"/>
      <c r="L82" s="153"/>
      <c r="M82" s="153"/>
      <c r="N82" s="153"/>
      <c r="O82" s="153"/>
      <c r="P82" s="153"/>
      <c r="Q82" s="153"/>
      <c r="R82" s="153"/>
      <c r="S82" s="153"/>
      <c r="T82" s="153"/>
      <c r="U82" s="153"/>
      <c r="V82" s="153"/>
      <c r="W82" s="153"/>
      <c r="X82" s="153"/>
      <c r="Y82" s="153"/>
      <c r="Z82" s="153"/>
      <c r="AA82" s="153"/>
    </row>
    <row r="83" spans="1:27" ht="15.75" customHeight="1">
      <c r="A83" s="153"/>
      <c r="B83" s="153"/>
      <c r="C83" s="152"/>
      <c r="D83" s="152"/>
      <c r="E83" s="153"/>
      <c r="F83" s="153"/>
      <c r="G83" s="153"/>
      <c r="H83" s="153"/>
      <c r="I83" s="153"/>
      <c r="J83" s="153"/>
      <c r="K83" s="153"/>
      <c r="L83" s="153"/>
      <c r="M83" s="153"/>
      <c r="N83" s="153"/>
      <c r="O83" s="153"/>
      <c r="P83" s="153"/>
      <c r="Q83" s="153"/>
      <c r="R83" s="153"/>
      <c r="S83" s="153"/>
      <c r="T83" s="153"/>
      <c r="U83" s="153"/>
      <c r="V83" s="153"/>
      <c r="W83" s="153"/>
      <c r="X83" s="153"/>
      <c r="Y83" s="153"/>
      <c r="Z83" s="153"/>
      <c r="AA83" s="153"/>
    </row>
    <row r="84" spans="1:27" ht="15.75" customHeight="1">
      <c r="A84" s="153"/>
      <c r="B84" s="153"/>
      <c r="C84" s="152"/>
      <c r="D84" s="152"/>
      <c r="E84" s="153"/>
      <c r="F84" s="153"/>
      <c r="G84" s="153"/>
      <c r="H84" s="153"/>
      <c r="I84" s="153"/>
      <c r="J84" s="153"/>
      <c r="K84" s="153"/>
      <c r="L84" s="153"/>
      <c r="M84" s="153"/>
      <c r="N84" s="153"/>
      <c r="O84" s="153"/>
      <c r="P84" s="153"/>
      <c r="Q84" s="153"/>
      <c r="R84" s="153"/>
      <c r="S84" s="153"/>
      <c r="T84" s="153"/>
      <c r="U84" s="153"/>
      <c r="V84" s="153"/>
      <c r="W84" s="153"/>
      <c r="X84" s="153"/>
      <c r="Y84" s="153"/>
      <c r="Z84" s="153"/>
      <c r="AA84" s="153"/>
    </row>
    <row r="85" spans="1:27" ht="15.75" customHeight="1">
      <c r="A85" s="153"/>
      <c r="B85" s="153"/>
      <c r="C85" s="152"/>
      <c r="D85" s="152"/>
      <c r="E85" s="153"/>
      <c r="F85" s="153"/>
      <c r="G85" s="153"/>
      <c r="H85" s="153"/>
      <c r="I85" s="153"/>
      <c r="J85" s="153"/>
      <c r="K85" s="153"/>
      <c r="L85" s="153"/>
      <c r="M85" s="153"/>
      <c r="N85" s="153"/>
      <c r="O85" s="153"/>
      <c r="P85" s="153"/>
      <c r="Q85" s="153"/>
      <c r="R85" s="153"/>
      <c r="S85" s="153"/>
      <c r="T85" s="153"/>
      <c r="U85" s="153"/>
      <c r="V85" s="153"/>
      <c r="W85" s="153"/>
      <c r="X85" s="153"/>
      <c r="Y85" s="153"/>
      <c r="Z85" s="153"/>
      <c r="AA85" s="153"/>
    </row>
    <row r="86" spans="1:27" ht="15.75" customHeight="1">
      <c r="A86" s="153"/>
      <c r="B86" s="153"/>
      <c r="C86" s="152"/>
      <c r="D86" s="152"/>
      <c r="E86" s="153"/>
      <c r="F86" s="153"/>
      <c r="G86" s="153"/>
      <c r="H86" s="153"/>
      <c r="I86" s="153"/>
      <c r="J86" s="153"/>
      <c r="K86" s="153"/>
      <c r="L86" s="153"/>
      <c r="M86" s="153"/>
      <c r="N86" s="153"/>
      <c r="O86" s="153"/>
      <c r="P86" s="153"/>
      <c r="Q86" s="153"/>
      <c r="R86" s="153"/>
      <c r="S86" s="153"/>
      <c r="T86" s="153"/>
      <c r="U86" s="153"/>
      <c r="V86" s="153"/>
      <c r="W86" s="153"/>
      <c r="X86" s="153"/>
      <c r="Y86" s="153"/>
      <c r="Z86" s="153"/>
      <c r="AA86" s="153"/>
    </row>
    <row r="87" spans="1:27" ht="15.75" customHeight="1">
      <c r="A87" s="153"/>
      <c r="B87" s="153"/>
      <c r="C87" s="152"/>
      <c r="D87" s="152"/>
      <c r="E87" s="153"/>
      <c r="F87" s="153"/>
      <c r="G87" s="153"/>
      <c r="H87" s="153"/>
      <c r="I87" s="153"/>
      <c r="J87" s="153"/>
      <c r="K87" s="153"/>
      <c r="L87" s="153"/>
      <c r="M87" s="153"/>
      <c r="N87" s="153"/>
      <c r="O87" s="153"/>
      <c r="P87" s="153"/>
      <c r="Q87" s="153"/>
      <c r="R87" s="153"/>
      <c r="S87" s="153"/>
      <c r="T87" s="153"/>
      <c r="U87" s="153"/>
      <c r="V87" s="153"/>
      <c r="W87" s="153"/>
      <c r="X87" s="153"/>
      <c r="Y87" s="153"/>
      <c r="Z87" s="153"/>
      <c r="AA87" s="153"/>
    </row>
    <row r="88" spans="1:27" ht="15.75" customHeight="1">
      <c r="A88" s="153"/>
      <c r="B88" s="153"/>
      <c r="C88" s="152"/>
      <c r="D88" s="152"/>
      <c r="E88" s="153"/>
      <c r="F88" s="153"/>
      <c r="G88" s="153"/>
      <c r="H88" s="153"/>
      <c r="I88" s="153"/>
      <c r="J88" s="153"/>
      <c r="K88" s="153"/>
      <c r="L88" s="153"/>
      <c r="M88" s="153"/>
      <c r="N88" s="153"/>
      <c r="O88" s="153"/>
      <c r="P88" s="153"/>
      <c r="Q88" s="153"/>
      <c r="R88" s="153"/>
      <c r="S88" s="153"/>
      <c r="T88" s="153"/>
      <c r="U88" s="153"/>
      <c r="V88" s="153"/>
      <c r="W88" s="153"/>
      <c r="X88" s="153"/>
      <c r="Y88" s="153"/>
      <c r="Z88" s="153"/>
      <c r="AA88" s="153"/>
    </row>
    <row r="89" spans="1:27" ht="15.75" customHeight="1">
      <c r="A89" s="153"/>
      <c r="B89" s="153"/>
      <c r="C89" s="152"/>
      <c r="D89" s="152"/>
      <c r="E89" s="153"/>
      <c r="F89" s="153"/>
      <c r="G89" s="153"/>
      <c r="H89" s="153"/>
      <c r="I89" s="153"/>
      <c r="J89" s="153"/>
      <c r="K89" s="153"/>
      <c r="L89" s="153"/>
      <c r="M89" s="153"/>
      <c r="N89" s="153"/>
      <c r="O89" s="153"/>
      <c r="P89" s="153"/>
      <c r="Q89" s="153"/>
      <c r="R89" s="153"/>
      <c r="S89" s="153"/>
      <c r="T89" s="153"/>
      <c r="U89" s="153"/>
      <c r="V89" s="153"/>
      <c r="W89" s="153"/>
      <c r="X89" s="153"/>
      <c r="Y89" s="153"/>
      <c r="Z89" s="153"/>
      <c r="AA89" s="153"/>
    </row>
    <row r="90" spans="1:27" ht="15.75" customHeight="1">
      <c r="A90" s="153"/>
      <c r="B90" s="153"/>
      <c r="C90" s="152"/>
      <c r="D90" s="152"/>
      <c r="E90" s="153"/>
      <c r="F90" s="153"/>
      <c r="G90" s="153"/>
      <c r="H90" s="153"/>
      <c r="I90" s="153"/>
      <c r="J90" s="153"/>
      <c r="K90" s="153"/>
      <c r="L90" s="153"/>
      <c r="M90" s="153"/>
      <c r="N90" s="153"/>
      <c r="O90" s="153"/>
      <c r="P90" s="153"/>
      <c r="Q90" s="153"/>
      <c r="R90" s="153"/>
      <c r="S90" s="153"/>
      <c r="T90" s="153"/>
      <c r="U90" s="153"/>
      <c r="V90" s="153"/>
      <c r="W90" s="153"/>
      <c r="X90" s="153"/>
      <c r="Y90" s="153"/>
      <c r="Z90" s="153"/>
      <c r="AA90" s="153"/>
    </row>
    <row r="91" spans="1:27" ht="15.75" customHeight="1">
      <c r="A91" s="153"/>
      <c r="B91" s="153"/>
      <c r="C91" s="152"/>
      <c r="D91" s="152"/>
      <c r="E91" s="153"/>
      <c r="F91" s="153"/>
      <c r="G91" s="153"/>
      <c r="H91" s="153"/>
      <c r="I91" s="153"/>
      <c r="J91" s="153"/>
      <c r="K91" s="153"/>
      <c r="L91" s="153"/>
      <c r="M91" s="153"/>
      <c r="N91" s="153"/>
      <c r="O91" s="153"/>
      <c r="P91" s="153"/>
      <c r="Q91" s="153"/>
      <c r="R91" s="153"/>
      <c r="S91" s="153"/>
      <c r="T91" s="153"/>
      <c r="U91" s="153"/>
      <c r="V91" s="153"/>
      <c r="W91" s="153"/>
      <c r="X91" s="153"/>
      <c r="Y91" s="153"/>
      <c r="Z91" s="153"/>
      <c r="AA91" s="153"/>
    </row>
    <row r="92" spans="1:27" ht="15.75" customHeight="1">
      <c r="A92" s="153"/>
      <c r="B92" s="153"/>
      <c r="C92" s="152"/>
      <c r="D92" s="152"/>
      <c r="E92" s="153"/>
      <c r="F92" s="153"/>
      <c r="G92" s="153"/>
      <c r="H92" s="153"/>
      <c r="I92" s="153"/>
      <c r="J92" s="153"/>
      <c r="K92" s="153"/>
      <c r="L92" s="153"/>
      <c r="M92" s="153"/>
      <c r="N92" s="153"/>
      <c r="O92" s="153"/>
      <c r="P92" s="153"/>
      <c r="Q92" s="153"/>
      <c r="R92" s="153"/>
      <c r="S92" s="153"/>
      <c r="T92" s="153"/>
      <c r="U92" s="153"/>
      <c r="V92" s="153"/>
      <c r="W92" s="153"/>
      <c r="X92" s="153"/>
      <c r="Y92" s="153"/>
      <c r="Z92" s="153"/>
      <c r="AA92" s="153"/>
    </row>
    <row r="93" spans="1:27" ht="15.75" customHeight="1">
      <c r="A93" s="153"/>
      <c r="B93" s="153"/>
      <c r="C93" s="152"/>
      <c r="D93" s="152"/>
      <c r="E93" s="153"/>
      <c r="F93" s="153"/>
      <c r="G93" s="153"/>
      <c r="H93" s="153"/>
      <c r="I93" s="153"/>
      <c r="J93" s="153"/>
      <c r="K93" s="153"/>
      <c r="L93" s="153"/>
      <c r="M93" s="153"/>
      <c r="N93" s="153"/>
      <c r="O93" s="153"/>
      <c r="P93" s="153"/>
      <c r="Q93" s="153"/>
      <c r="R93" s="153"/>
      <c r="S93" s="153"/>
      <c r="T93" s="153"/>
      <c r="U93" s="153"/>
      <c r="V93" s="153"/>
      <c r="W93" s="153"/>
      <c r="X93" s="153"/>
      <c r="Y93" s="153"/>
      <c r="Z93" s="153"/>
      <c r="AA93" s="153"/>
    </row>
    <row r="94" spans="1:27" ht="15.75" customHeight="1">
      <c r="A94" s="153"/>
      <c r="B94" s="153"/>
      <c r="C94" s="152"/>
      <c r="D94" s="152"/>
      <c r="E94" s="153"/>
      <c r="F94" s="153"/>
      <c r="G94" s="153"/>
      <c r="H94" s="153"/>
      <c r="I94" s="153"/>
      <c r="J94" s="153"/>
      <c r="K94" s="153"/>
      <c r="L94" s="153"/>
      <c r="M94" s="153"/>
      <c r="N94" s="153"/>
      <c r="O94" s="153"/>
      <c r="P94" s="153"/>
      <c r="Q94" s="153"/>
      <c r="R94" s="153"/>
      <c r="S94" s="153"/>
      <c r="T94" s="153"/>
      <c r="U94" s="153"/>
      <c r="V94" s="153"/>
      <c r="W94" s="153"/>
      <c r="X94" s="153"/>
      <c r="Y94" s="153"/>
      <c r="Z94" s="153"/>
      <c r="AA94" s="153"/>
    </row>
    <row r="95" spans="1:27" ht="15.75" customHeight="1">
      <c r="A95" s="153"/>
      <c r="B95" s="153"/>
      <c r="C95" s="152"/>
      <c r="D95" s="152"/>
      <c r="E95" s="153"/>
      <c r="F95" s="153"/>
      <c r="G95" s="153"/>
      <c r="H95" s="153"/>
      <c r="I95" s="153"/>
      <c r="J95" s="153"/>
      <c r="K95" s="153"/>
      <c r="L95" s="153"/>
      <c r="M95" s="153"/>
      <c r="N95" s="153"/>
      <c r="O95" s="153"/>
      <c r="P95" s="153"/>
      <c r="Q95" s="153"/>
      <c r="R95" s="153"/>
      <c r="S95" s="153"/>
      <c r="T95" s="153"/>
      <c r="U95" s="153"/>
      <c r="V95" s="153"/>
      <c r="W95" s="153"/>
      <c r="X95" s="153"/>
      <c r="Y95" s="153"/>
      <c r="Z95" s="153"/>
      <c r="AA95" s="153"/>
    </row>
    <row r="96" spans="1:27" ht="15.75" customHeight="1">
      <c r="A96" s="153"/>
      <c r="B96" s="153"/>
      <c r="C96" s="152"/>
      <c r="D96" s="152"/>
      <c r="E96" s="153"/>
      <c r="F96" s="153"/>
      <c r="G96" s="153"/>
      <c r="H96" s="153"/>
      <c r="I96" s="153"/>
      <c r="J96" s="153"/>
      <c r="K96" s="153"/>
      <c r="L96" s="153"/>
      <c r="M96" s="153"/>
      <c r="N96" s="153"/>
      <c r="O96" s="153"/>
      <c r="P96" s="153"/>
      <c r="Q96" s="153"/>
      <c r="R96" s="153"/>
      <c r="S96" s="153"/>
      <c r="T96" s="153"/>
      <c r="U96" s="153"/>
      <c r="V96" s="153"/>
      <c r="W96" s="153"/>
      <c r="X96" s="153"/>
      <c r="Y96" s="153"/>
      <c r="Z96" s="153"/>
      <c r="AA96" s="153"/>
    </row>
    <row r="97" spans="1:27" ht="15.75" customHeight="1">
      <c r="A97" s="153"/>
      <c r="B97" s="153"/>
      <c r="C97" s="152"/>
      <c r="D97" s="152"/>
      <c r="E97" s="153"/>
      <c r="F97" s="153"/>
      <c r="G97" s="153"/>
      <c r="H97" s="153"/>
      <c r="I97" s="153"/>
      <c r="J97" s="153"/>
      <c r="K97" s="153"/>
      <c r="L97" s="153"/>
      <c r="M97" s="153"/>
      <c r="N97" s="153"/>
      <c r="O97" s="153"/>
      <c r="P97" s="153"/>
      <c r="Q97" s="153"/>
      <c r="R97" s="153"/>
      <c r="S97" s="153"/>
      <c r="T97" s="153"/>
      <c r="U97" s="153"/>
      <c r="V97" s="153"/>
      <c r="W97" s="153"/>
      <c r="X97" s="153"/>
      <c r="Y97" s="153"/>
      <c r="Z97" s="153"/>
      <c r="AA97" s="153"/>
    </row>
    <row r="98" spans="1:27" ht="15.75" customHeight="1">
      <c r="A98" s="153"/>
      <c r="B98" s="153"/>
      <c r="C98" s="152"/>
      <c r="D98" s="152"/>
      <c r="E98" s="153"/>
      <c r="F98" s="153"/>
      <c r="G98" s="153"/>
      <c r="H98" s="153"/>
      <c r="I98" s="153"/>
      <c r="J98" s="153"/>
      <c r="K98" s="153"/>
      <c r="L98" s="153"/>
      <c r="M98" s="153"/>
      <c r="N98" s="153"/>
      <c r="O98" s="153"/>
      <c r="P98" s="153"/>
      <c r="Q98" s="153"/>
      <c r="R98" s="153"/>
      <c r="S98" s="153"/>
      <c r="T98" s="153"/>
      <c r="U98" s="153"/>
      <c r="V98" s="153"/>
      <c r="W98" s="153"/>
      <c r="X98" s="153"/>
      <c r="Y98" s="153"/>
      <c r="Z98" s="153"/>
      <c r="AA98" s="153"/>
    </row>
    <row r="99" spans="1:27" ht="15.75" customHeight="1">
      <c r="A99" s="153"/>
      <c r="B99" s="153"/>
      <c r="C99" s="152"/>
      <c r="D99" s="152"/>
      <c r="E99" s="153"/>
      <c r="F99" s="153"/>
      <c r="G99" s="153"/>
      <c r="H99" s="153"/>
      <c r="I99" s="153"/>
      <c r="J99" s="153"/>
      <c r="K99" s="153"/>
      <c r="L99" s="153"/>
      <c r="M99" s="153"/>
      <c r="N99" s="153"/>
      <c r="O99" s="153"/>
      <c r="P99" s="153"/>
      <c r="Q99" s="153"/>
      <c r="R99" s="153"/>
      <c r="S99" s="153"/>
      <c r="T99" s="153"/>
      <c r="U99" s="153"/>
      <c r="V99" s="153"/>
      <c r="W99" s="153"/>
      <c r="X99" s="153"/>
      <c r="Y99" s="153"/>
      <c r="Z99" s="153"/>
      <c r="AA99" s="153"/>
    </row>
    <row r="100" spans="1:27" ht="15.75" customHeight="1">
      <c r="A100" s="153"/>
      <c r="B100" s="153"/>
      <c r="C100" s="152"/>
      <c r="D100" s="152"/>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c r="AA100" s="153"/>
    </row>
    <row r="101" spans="1:27" ht="15.75" customHeight="1">
      <c r="A101" s="153"/>
      <c r="B101" s="153"/>
      <c r="C101" s="152"/>
      <c r="D101" s="152"/>
      <c r="E101" s="153"/>
      <c r="F101" s="153"/>
      <c r="G101" s="153"/>
      <c r="H101" s="153"/>
      <c r="I101" s="153"/>
      <c r="J101" s="153"/>
      <c r="K101" s="153"/>
      <c r="L101" s="153"/>
      <c r="M101" s="153"/>
      <c r="N101" s="153"/>
      <c r="O101" s="153"/>
      <c r="P101" s="153"/>
      <c r="Q101" s="153"/>
      <c r="R101" s="153"/>
      <c r="S101" s="153"/>
      <c r="T101" s="153"/>
      <c r="U101" s="153"/>
      <c r="V101" s="153"/>
      <c r="W101" s="153"/>
      <c r="X101" s="153"/>
      <c r="Y101" s="153"/>
      <c r="Z101" s="153"/>
      <c r="AA101" s="153"/>
    </row>
    <row r="102" spans="1:27" ht="15.75" customHeight="1">
      <c r="A102" s="153"/>
      <c r="B102" s="153"/>
      <c r="C102" s="152"/>
      <c r="D102" s="152"/>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c r="AA102" s="153"/>
    </row>
    <row r="103" spans="1:27" ht="15.75" customHeight="1">
      <c r="A103" s="153"/>
      <c r="B103" s="153"/>
      <c r="C103" s="152"/>
      <c r="D103" s="152"/>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c r="AA103" s="153"/>
    </row>
    <row r="104" spans="1:27" ht="15.75" customHeight="1">
      <c r="A104" s="153"/>
      <c r="B104" s="153"/>
      <c r="C104" s="152"/>
      <c r="D104" s="152"/>
      <c r="E104" s="153"/>
      <c r="F104" s="153"/>
      <c r="G104" s="153"/>
      <c r="H104" s="153"/>
      <c r="I104" s="153"/>
      <c r="J104" s="153"/>
      <c r="K104" s="153"/>
      <c r="L104" s="153"/>
      <c r="M104" s="153"/>
      <c r="N104" s="153"/>
      <c r="O104" s="153"/>
      <c r="P104" s="153"/>
      <c r="Q104" s="153"/>
      <c r="R104" s="153"/>
      <c r="S104" s="153"/>
      <c r="T104" s="153"/>
      <c r="U104" s="153"/>
      <c r="V104" s="153"/>
      <c r="W104" s="153"/>
      <c r="X104" s="153"/>
      <c r="Y104" s="153"/>
      <c r="Z104" s="153"/>
      <c r="AA104" s="153"/>
    </row>
    <row r="105" spans="1:27" ht="15.75" customHeight="1">
      <c r="A105" s="153"/>
      <c r="B105" s="153"/>
      <c r="C105" s="152"/>
      <c r="D105" s="152"/>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c r="AA105" s="153"/>
    </row>
    <row r="106" spans="1:27" ht="15.75" customHeight="1">
      <c r="A106" s="153"/>
      <c r="B106" s="153"/>
      <c r="C106" s="152"/>
      <c r="D106" s="152"/>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c r="AA106" s="153"/>
    </row>
    <row r="107" spans="1:27" ht="15.75" customHeight="1">
      <c r="A107" s="153"/>
      <c r="B107" s="153"/>
      <c r="C107" s="152"/>
      <c r="D107" s="152"/>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c r="AA107" s="153"/>
    </row>
    <row r="108" spans="1:27" ht="15.75" customHeight="1">
      <c r="A108" s="153"/>
      <c r="B108" s="153"/>
      <c r="C108" s="152"/>
      <c r="D108" s="152"/>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c r="AA108" s="153"/>
    </row>
    <row r="109" spans="1:27" ht="15.75" customHeight="1">
      <c r="A109" s="153"/>
      <c r="B109" s="153"/>
      <c r="C109" s="152"/>
      <c r="D109" s="152"/>
      <c r="E109" s="153"/>
      <c r="F109" s="153"/>
      <c r="G109" s="153"/>
      <c r="H109" s="153"/>
      <c r="I109" s="153"/>
      <c r="J109" s="153"/>
      <c r="K109" s="153"/>
      <c r="L109" s="153"/>
      <c r="M109" s="153"/>
      <c r="N109" s="153"/>
      <c r="O109" s="153"/>
      <c r="P109" s="153"/>
      <c r="Q109" s="153"/>
      <c r="R109" s="153"/>
      <c r="S109" s="153"/>
      <c r="T109" s="153"/>
      <c r="U109" s="153"/>
      <c r="V109" s="153"/>
      <c r="W109" s="153"/>
      <c r="X109" s="153"/>
      <c r="Y109" s="153"/>
      <c r="Z109" s="153"/>
      <c r="AA109" s="153"/>
    </row>
    <row r="110" spans="1:27" ht="15.75" customHeight="1">
      <c r="A110" s="153"/>
      <c r="B110" s="153"/>
      <c r="C110" s="152"/>
      <c r="D110" s="152"/>
      <c r="E110" s="153"/>
      <c r="F110" s="153"/>
      <c r="G110" s="153"/>
      <c r="H110" s="153"/>
      <c r="I110" s="153"/>
      <c r="J110" s="153"/>
      <c r="K110" s="153"/>
      <c r="L110" s="153"/>
      <c r="M110" s="153"/>
      <c r="N110" s="153"/>
      <c r="O110" s="153"/>
      <c r="P110" s="153"/>
      <c r="Q110" s="153"/>
      <c r="R110" s="153"/>
      <c r="S110" s="153"/>
      <c r="T110" s="153"/>
      <c r="U110" s="153"/>
      <c r="V110" s="153"/>
      <c r="W110" s="153"/>
      <c r="X110" s="153"/>
      <c r="Y110" s="153"/>
      <c r="Z110" s="153"/>
      <c r="AA110" s="153"/>
    </row>
    <row r="111" spans="1:27" ht="15.75" customHeight="1">
      <c r="A111" s="153"/>
      <c r="B111" s="153"/>
      <c r="C111" s="152"/>
      <c r="D111" s="152"/>
      <c r="E111" s="153"/>
      <c r="F111" s="153"/>
      <c r="G111" s="153"/>
      <c r="H111" s="153"/>
      <c r="I111" s="153"/>
      <c r="J111" s="153"/>
      <c r="K111" s="153"/>
      <c r="L111" s="153"/>
      <c r="M111" s="153"/>
      <c r="N111" s="153"/>
      <c r="O111" s="153"/>
      <c r="P111" s="153"/>
      <c r="Q111" s="153"/>
      <c r="R111" s="153"/>
      <c r="S111" s="153"/>
      <c r="T111" s="153"/>
      <c r="U111" s="153"/>
      <c r="V111" s="153"/>
      <c r="W111" s="153"/>
      <c r="X111" s="153"/>
      <c r="Y111" s="153"/>
      <c r="Z111" s="153"/>
      <c r="AA111" s="153"/>
    </row>
    <row r="112" spans="1:27" ht="15.75" customHeight="1">
      <c r="A112" s="153"/>
      <c r="B112" s="153"/>
      <c r="C112" s="152"/>
      <c r="D112" s="152"/>
      <c r="E112" s="153"/>
      <c r="F112" s="153"/>
      <c r="G112" s="153"/>
      <c r="H112" s="153"/>
      <c r="I112" s="153"/>
      <c r="J112" s="153"/>
      <c r="K112" s="153"/>
      <c r="L112" s="153"/>
      <c r="M112" s="153"/>
      <c r="N112" s="153"/>
      <c r="O112" s="153"/>
      <c r="P112" s="153"/>
      <c r="Q112" s="153"/>
      <c r="R112" s="153"/>
      <c r="S112" s="153"/>
      <c r="T112" s="153"/>
      <c r="U112" s="153"/>
      <c r="V112" s="153"/>
      <c r="W112" s="153"/>
      <c r="X112" s="153"/>
      <c r="Y112" s="153"/>
      <c r="Z112" s="153"/>
      <c r="AA112" s="153"/>
    </row>
    <row r="113" spans="1:27" ht="15.75" customHeight="1">
      <c r="A113" s="153"/>
      <c r="B113" s="153"/>
      <c r="C113" s="152"/>
      <c r="D113" s="152"/>
      <c r="E113" s="153"/>
      <c r="F113" s="153"/>
      <c r="G113" s="153"/>
      <c r="H113" s="153"/>
      <c r="I113" s="153"/>
      <c r="J113" s="153"/>
      <c r="K113" s="153"/>
      <c r="L113" s="153"/>
      <c r="M113" s="153"/>
      <c r="N113" s="153"/>
      <c r="O113" s="153"/>
      <c r="P113" s="153"/>
      <c r="Q113" s="153"/>
      <c r="R113" s="153"/>
      <c r="S113" s="153"/>
      <c r="T113" s="153"/>
      <c r="U113" s="153"/>
      <c r="V113" s="153"/>
      <c r="W113" s="153"/>
      <c r="X113" s="153"/>
      <c r="Y113" s="153"/>
      <c r="Z113" s="153"/>
      <c r="AA113" s="153"/>
    </row>
    <row r="114" spans="1:27" ht="15.75" customHeight="1">
      <c r="A114" s="153"/>
      <c r="B114" s="153"/>
      <c r="C114" s="152"/>
      <c r="D114" s="152"/>
      <c r="E114" s="153"/>
      <c r="F114" s="153"/>
      <c r="G114" s="153"/>
      <c r="H114" s="153"/>
      <c r="I114" s="153"/>
      <c r="J114" s="153"/>
      <c r="K114" s="153"/>
      <c r="L114" s="153"/>
      <c r="M114" s="153"/>
      <c r="N114" s="153"/>
      <c r="O114" s="153"/>
      <c r="P114" s="153"/>
      <c r="Q114" s="153"/>
      <c r="R114" s="153"/>
      <c r="S114" s="153"/>
      <c r="T114" s="153"/>
      <c r="U114" s="153"/>
      <c r="V114" s="153"/>
      <c r="W114" s="153"/>
      <c r="X114" s="153"/>
      <c r="Y114" s="153"/>
      <c r="Z114" s="153"/>
      <c r="AA114" s="153"/>
    </row>
    <row r="115" spans="1:27" ht="15.75" customHeight="1">
      <c r="A115" s="153"/>
      <c r="B115" s="153"/>
      <c r="C115" s="152"/>
      <c r="D115" s="152"/>
      <c r="E115" s="153"/>
      <c r="F115" s="153"/>
      <c r="G115" s="153"/>
      <c r="H115" s="153"/>
      <c r="I115" s="153"/>
      <c r="J115" s="153"/>
      <c r="K115" s="153"/>
      <c r="L115" s="153"/>
      <c r="M115" s="153"/>
      <c r="N115" s="153"/>
      <c r="O115" s="153"/>
      <c r="P115" s="153"/>
      <c r="Q115" s="153"/>
      <c r="R115" s="153"/>
      <c r="S115" s="153"/>
      <c r="T115" s="153"/>
      <c r="U115" s="153"/>
      <c r="V115" s="153"/>
      <c r="W115" s="153"/>
      <c r="X115" s="153"/>
      <c r="Y115" s="153"/>
      <c r="Z115" s="153"/>
      <c r="AA115" s="153"/>
    </row>
    <row r="116" spans="1:27" ht="15.75" customHeight="1">
      <c r="A116" s="153"/>
      <c r="B116" s="153"/>
      <c r="C116" s="152"/>
      <c r="D116" s="152"/>
      <c r="E116" s="153"/>
      <c r="F116" s="153"/>
      <c r="G116" s="153"/>
      <c r="H116" s="153"/>
      <c r="I116" s="153"/>
      <c r="J116" s="153"/>
      <c r="K116" s="153"/>
      <c r="L116" s="153"/>
      <c r="M116" s="153"/>
      <c r="N116" s="153"/>
      <c r="O116" s="153"/>
      <c r="P116" s="153"/>
      <c r="Q116" s="153"/>
      <c r="R116" s="153"/>
      <c r="S116" s="153"/>
      <c r="T116" s="153"/>
      <c r="U116" s="153"/>
      <c r="V116" s="153"/>
      <c r="W116" s="153"/>
      <c r="X116" s="153"/>
      <c r="Y116" s="153"/>
      <c r="Z116" s="153"/>
      <c r="AA116" s="153"/>
    </row>
    <row r="117" spans="1:27" ht="15.75" customHeight="1">
      <c r="A117" s="153"/>
      <c r="B117" s="153"/>
      <c r="C117" s="152"/>
      <c r="D117" s="152"/>
      <c r="E117" s="153"/>
      <c r="F117" s="153"/>
      <c r="G117" s="153"/>
      <c r="H117" s="153"/>
      <c r="I117" s="153"/>
      <c r="J117" s="153"/>
      <c r="K117" s="153"/>
      <c r="L117" s="153"/>
      <c r="M117" s="153"/>
      <c r="N117" s="153"/>
      <c r="O117" s="153"/>
      <c r="P117" s="153"/>
      <c r="Q117" s="153"/>
      <c r="R117" s="153"/>
      <c r="S117" s="153"/>
      <c r="T117" s="153"/>
      <c r="U117" s="153"/>
      <c r="V117" s="153"/>
      <c r="W117" s="153"/>
      <c r="X117" s="153"/>
      <c r="Y117" s="153"/>
      <c r="Z117" s="153"/>
      <c r="AA117" s="153"/>
    </row>
    <row r="118" spans="1:27" ht="15.75" customHeight="1">
      <c r="A118" s="153"/>
      <c r="B118" s="153"/>
      <c r="C118" s="152"/>
      <c r="D118" s="152"/>
      <c r="E118" s="153"/>
      <c r="F118" s="153"/>
      <c r="G118" s="153"/>
      <c r="H118" s="153"/>
      <c r="I118" s="153"/>
      <c r="J118" s="153"/>
      <c r="K118" s="153"/>
      <c r="L118" s="153"/>
      <c r="M118" s="153"/>
      <c r="N118" s="153"/>
      <c r="O118" s="153"/>
      <c r="P118" s="153"/>
      <c r="Q118" s="153"/>
      <c r="R118" s="153"/>
      <c r="S118" s="153"/>
      <c r="T118" s="153"/>
      <c r="U118" s="153"/>
      <c r="V118" s="153"/>
      <c r="W118" s="153"/>
      <c r="X118" s="153"/>
      <c r="Y118" s="153"/>
      <c r="Z118" s="153"/>
      <c r="AA118" s="153"/>
    </row>
    <row r="119" spans="1:27" ht="15.75" customHeight="1">
      <c r="A119" s="153"/>
      <c r="B119" s="153"/>
      <c r="C119" s="152"/>
      <c r="D119" s="152"/>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c r="AA119" s="153"/>
    </row>
    <row r="120" spans="1:27" ht="15.75" customHeight="1">
      <c r="A120" s="153"/>
      <c r="B120" s="153"/>
      <c r="C120" s="152"/>
      <c r="D120" s="152"/>
      <c r="E120" s="153"/>
      <c r="F120" s="153"/>
      <c r="G120" s="153"/>
      <c r="H120" s="153"/>
      <c r="I120" s="153"/>
      <c r="J120" s="153"/>
      <c r="K120" s="153"/>
      <c r="L120" s="153"/>
      <c r="M120" s="153"/>
      <c r="N120" s="153"/>
      <c r="O120" s="153"/>
      <c r="P120" s="153"/>
      <c r="Q120" s="153"/>
      <c r="R120" s="153"/>
      <c r="S120" s="153"/>
      <c r="T120" s="153"/>
      <c r="U120" s="153"/>
      <c r="V120" s="153"/>
      <c r="W120" s="153"/>
      <c r="X120" s="153"/>
      <c r="Y120" s="153"/>
      <c r="Z120" s="153"/>
      <c r="AA120" s="153"/>
    </row>
    <row r="121" spans="1:27" ht="15.75" customHeight="1">
      <c r="A121" s="153"/>
      <c r="B121" s="153"/>
      <c r="C121" s="152"/>
      <c r="D121" s="152"/>
      <c r="E121" s="153"/>
      <c r="F121" s="153"/>
      <c r="G121" s="153"/>
      <c r="H121" s="153"/>
      <c r="I121" s="153"/>
      <c r="J121" s="153"/>
      <c r="K121" s="153"/>
      <c r="L121" s="153"/>
      <c r="M121" s="153"/>
      <c r="N121" s="153"/>
      <c r="O121" s="153"/>
      <c r="P121" s="153"/>
      <c r="Q121" s="153"/>
      <c r="R121" s="153"/>
      <c r="S121" s="153"/>
      <c r="T121" s="153"/>
      <c r="U121" s="153"/>
      <c r="V121" s="153"/>
      <c r="W121" s="153"/>
      <c r="X121" s="153"/>
      <c r="Y121" s="153"/>
      <c r="Z121" s="153"/>
      <c r="AA121" s="153"/>
    </row>
    <row r="122" spans="1:27" ht="15.75" customHeight="1">
      <c r="A122" s="153"/>
      <c r="B122" s="153"/>
      <c r="C122" s="152"/>
      <c r="D122" s="152"/>
      <c r="E122" s="153"/>
      <c r="F122" s="153"/>
      <c r="G122" s="153"/>
      <c r="H122" s="153"/>
      <c r="I122" s="153"/>
      <c r="J122" s="153"/>
      <c r="K122" s="153"/>
      <c r="L122" s="153"/>
      <c r="M122" s="153"/>
      <c r="N122" s="153"/>
      <c r="O122" s="153"/>
      <c r="P122" s="153"/>
      <c r="Q122" s="153"/>
      <c r="R122" s="153"/>
      <c r="S122" s="153"/>
      <c r="T122" s="153"/>
      <c r="U122" s="153"/>
      <c r="V122" s="153"/>
      <c r="W122" s="153"/>
      <c r="X122" s="153"/>
      <c r="Y122" s="153"/>
      <c r="Z122" s="153"/>
      <c r="AA122" s="153"/>
    </row>
    <row r="123" spans="1:27" ht="15.75" customHeight="1">
      <c r="A123" s="153"/>
      <c r="B123" s="153"/>
      <c r="C123" s="152"/>
      <c r="D123" s="152"/>
      <c r="E123" s="153"/>
      <c r="F123" s="153"/>
      <c r="G123" s="153"/>
      <c r="H123" s="153"/>
      <c r="I123" s="153"/>
      <c r="J123" s="153"/>
      <c r="K123" s="153"/>
      <c r="L123" s="153"/>
      <c r="M123" s="153"/>
      <c r="N123" s="153"/>
      <c r="O123" s="153"/>
      <c r="P123" s="153"/>
      <c r="Q123" s="153"/>
      <c r="R123" s="153"/>
      <c r="S123" s="153"/>
      <c r="T123" s="153"/>
      <c r="U123" s="153"/>
      <c r="V123" s="153"/>
      <c r="W123" s="153"/>
      <c r="X123" s="153"/>
      <c r="Y123" s="153"/>
      <c r="Z123" s="153"/>
      <c r="AA123" s="153"/>
    </row>
    <row r="124" spans="1:27" ht="15.75" customHeight="1">
      <c r="A124" s="153"/>
      <c r="B124" s="153"/>
      <c r="C124" s="152"/>
      <c r="D124" s="152"/>
      <c r="E124" s="153"/>
      <c r="F124" s="153"/>
      <c r="G124" s="153"/>
      <c r="H124" s="153"/>
      <c r="I124" s="153"/>
      <c r="J124" s="153"/>
      <c r="K124" s="153"/>
      <c r="L124" s="153"/>
      <c r="M124" s="153"/>
      <c r="N124" s="153"/>
      <c r="O124" s="153"/>
      <c r="P124" s="153"/>
      <c r="Q124" s="153"/>
      <c r="R124" s="153"/>
      <c r="S124" s="153"/>
      <c r="T124" s="153"/>
      <c r="U124" s="153"/>
      <c r="V124" s="153"/>
      <c r="W124" s="153"/>
      <c r="X124" s="153"/>
      <c r="Y124" s="153"/>
      <c r="Z124" s="153"/>
      <c r="AA124" s="153"/>
    </row>
    <row r="125" spans="1:27" ht="15.75" customHeight="1">
      <c r="A125" s="153"/>
      <c r="B125" s="153"/>
      <c r="C125" s="152"/>
      <c r="D125" s="152"/>
      <c r="E125" s="153"/>
      <c r="F125" s="153"/>
      <c r="G125" s="153"/>
      <c r="H125" s="153"/>
      <c r="I125" s="153"/>
      <c r="J125" s="153"/>
      <c r="K125" s="153"/>
      <c r="L125" s="153"/>
      <c r="M125" s="153"/>
      <c r="N125" s="153"/>
      <c r="O125" s="153"/>
      <c r="P125" s="153"/>
      <c r="Q125" s="153"/>
      <c r="R125" s="153"/>
      <c r="S125" s="153"/>
      <c r="T125" s="153"/>
      <c r="U125" s="153"/>
      <c r="V125" s="153"/>
      <c r="W125" s="153"/>
      <c r="X125" s="153"/>
      <c r="Y125" s="153"/>
      <c r="Z125" s="153"/>
      <c r="AA125" s="153"/>
    </row>
    <row r="126" spans="1:27" ht="15.75" customHeight="1">
      <c r="A126" s="153"/>
      <c r="B126" s="153"/>
      <c r="C126" s="152"/>
      <c r="D126" s="152"/>
      <c r="E126" s="153"/>
      <c r="F126" s="153"/>
      <c r="G126" s="153"/>
      <c r="H126" s="153"/>
      <c r="I126" s="153"/>
      <c r="J126" s="153"/>
      <c r="K126" s="153"/>
      <c r="L126" s="153"/>
      <c r="M126" s="153"/>
      <c r="N126" s="153"/>
      <c r="O126" s="153"/>
      <c r="P126" s="153"/>
      <c r="Q126" s="153"/>
      <c r="R126" s="153"/>
      <c r="S126" s="153"/>
      <c r="T126" s="153"/>
      <c r="U126" s="153"/>
      <c r="V126" s="153"/>
      <c r="W126" s="153"/>
      <c r="X126" s="153"/>
      <c r="Y126" s="153"/>
      <c r="Z126" s="153"/>
      <c r="AA126" s="153"/>
    </row>
    <row r="127" spans="1:27" ht="15.75" customHeight="1">
      <c r="A127" s="153"/>
      <c r="B127" s="153"/>
      <c r="C127" s="152"/>
      <c r="D127" s="152"/>
      <c r="E127" s="153"/>
      <c r="F127" s="153"/>
      <c r="G127" s="153"/>
      <c r="H127" s="153"/>
      <c r="I127" s="153"/>
      <c r="J127" s="153"/>
      <c r="K127" s="153"/>
      <c r="L127" s="153"/>
      <c r="M127" s="153"/>
      <c r="N127" s="153"/>
      <c r="O127" s="153"/>
      <c r="P127" s="153"/>
      <c r="Q127" s="153"/>
      <c r="R127" s="153"/>
      <c r="S127" s="153"/>
      <c r="T127" s="153"/>
      <c r="U127" s="153"/>
      <c r="V127" s="153"/>
      <c r="W127" s="153"/>
      <c r="X127" s="153"/>
      <c r="Y127" s="153"/>
      <c r="Z127" s="153"/>
      <c r="AA127" s="153"/>
    </row>
    <row r="128" spans="1:27" ht="15.75" customHeight="1">
      <c r="A128" s="153"/>
      <c r="B128" s="153"/>
      <c r="C128" s="152"/>
      <c r="D128" s="152"/>
      <c r="E128" s="153"/>
      <c r="F128" s="153"/>
      <c r="G128" s="153"/>
      <c r="H128" s="153"/>
      <c r="I128" s="153"/>
      <c r="J128" s="153"/>
      <c r="K128" s="153"/>
      <c r="L128" s="153"/>
      <c r="M128" s="153"/>
      <c r="N128" s="153"/>
      <c r="O128" s="153"/>
      <c r="P128" s="153"/>
      <c r="Q128" s="153"/>
      <c r="R128" s="153"/>
      <c r="S128" s="153"/>
      <c r="T128" s="153"/>
      <c r="U128" s="153"/>
      <c r="V128" s="153"/>
      <c r="W128" s="153"/>
      <c r="X128" s="153"/>
      <c r="Y128" s="153"/>
      <c r="Z128" s="153"/>
      <c r="AA128" s="153"/>
    </row>
    <row r="129" spans="1:27" ht="15.75" customHeight="1">
      <c r="A129" s="153"/>
      <c r="B129" s="153"/>
      <c r="C129" s="152"/>
      <c r="D129" s="152"/>
      <c r="E129" s="153"/>
      <c r="F129" s="153"/>
      <c r="G129" s="153"/>
      <c r="H129" s="153"/>
      <c r="I129" s="153"/>
      <c r="J129" s="153"/>
      <c r="K129" s="153"/>
      <c r="L129" s="153"/>
      <c r="M129" s="153"/>
      <c r="N129" s="153"/>
      <c r="O129" s="153"/>
      <c r="P129" s="153"/>
      <c r="Q129" s="153"/>
      <c r="R129" s="153"/>
      <c r="S129" s="153"/>
      <c r="T129" s="153"/>
      <c r="U129" s="153"/>
      <c r="V129" s="153"/>
      <c r="W129" s="153"/>
      <c r="X129" s="153"/>
      <c r="Y129" s="153"/>
      <c r="Z129" s="153"/>
      <c r="AA129" s="153"/>
    </row>
    <row r="130" spans="1:27" ht="15.75" customHeight="1">
      <c r="A130" s="153"/>
      <c r="B130" s="153"/>
      <c r="C130" s="152"/>
      <c r="D130" s="152"/>
      <c r="E130" s="153"/>
      <c r="F130" s="153"/>
      <c r="G130" s="153"/>
      <c r="H130" s="153"/>
      <c r="I130" s="153"/>
      <c r="J130" s="153"/>
      <c r="K130" s="153"/>
      <c r="L130" s="153"/>
      <c r="M130" s="153"/>
      <c r="N130" s="153"/>
      <c r="O130" s="153"/>
      <c r="P130" s="153"/>
      <c r="Q130" s="153"/>
      <c r="R130" s="153"/>
      <c r="S130" s="153"/>
      <c r="T130" s="153"/>
      <c r="U130" s="153"/>
      <c r="V130" s="153"/>
      <c r="W130" s="153"/>
      <c r="X130" s="153"/>
      <c r="Y130" s="153"/>
      <c r="Z130" s="153"/>
      <c r="AA130" s="153"/>
    </row>
    <row r="131" spans="1:27" ht="15.75" customHeight="1">
      <c r="A131" s="153"/>
      <c r="B131" s="153"/>
      <c r="C131" s="152"/>
      <c r="D131" s="152"/>
      <c r="E131" s="153"/>
      <c r="F131" s="153"/>
      <c r="G131" s="153"/>
      <c r="H131" s="153"/>
      <c r="I131" s="153"/>
      <c r="J131" s="153"/>
      <c r="K131" s="153"/>
      <c r="L131" s="153"/>
      <c r="M131" s="153"/>
      <c r="N131" s="153"/>
      <c r="O131" s="153"/>
      <c r="P131" s="153"/>
      <c r="Q131" s="153"/>
      <c r="R131" s="153"/>
      <c r="S131" s="153"/>
      <c r="T131" s="153"/>
      <c r="U131" s="153"/>
      <c r="V131" s="153"/>
      <c r="W131" s="153"/>
      <c r="X131" s="153"/>
      <c r="Y131" s="153"/>
      <c r="Z131" s="153"/>
      <c r="AA131" s="153"/>
    </row>
    <row r="132" spans="1:27" ht="15.75" customHeight="1">
      <c r="A132" s="153"/>
      <c r="B132" s="153"/>
      <c r="C132" s="152"/>
      <c r="D132" s="152"/>
      <c r="E132" s="153"/>
      <c r="F132" s="153"/>
      <c r="G132" s="153"/>
      <c r="H132" s="153"/>
      <c r="I132" s="153"/>
      <c r="J132" s="153"/>
      <c r="K132" s="153"/>
      <c r="L132" s="153"/>
      <c r="M132" s="153"/>
      <c r="N132" s="153"/>
      <c r="O132" s="153"/>
      <c r="P132" s="153"/>
      <c r="Q132" s="153"/>
      <c r="R132" s="153"/>
      <c r="S132" s="153"/>
      <c r="T132" s="153"/>
      <c r="U132" s="153"/>
      <c r="V132" s="153"/>
      <c r="W132" s="153"/>
      <c r="X132" s="153"/>
      <c r="Y132" s="153"/>
      <c r="Z132" s="153"/>
      <c r="AA132" s="153"/>
    </row>
    <row r="133" spans="1:27" ht="15.75" customHeight="1">
      <c r="A133" s="153"/>
      <c r="B133" s="153"/>
      <c r="C133" s="152"/>
      <c r="D133" s="152"/>
      <c r="E133" s="153"/>
      <c r="F133" s="153"/>
      <c r="G133" s="153"/>
      <c r="H133" s="153"/>
      <c r="I133" s="153"/>
      <c r="J133" s="153"/>
      <c r="K133" s="153"/>
      <c r="L133" s="153"/>
      <c r="M133" s="153"/>
      <c r="N133" s="153"/>
      <c r="O133" s="153"/>
      <c r="P133" s="153"/>
      <c r="Q133" s="153"/>
      <c r="R133" s="153"/>
      <c r="S133" s="153"/>
      <c r="T133" s="153"/>
      <c r="U133" s="153"/>
      <c r="V133" s="153"/>
      <c r="W133" s="153"/>
      <c r="X133" s="153"/>
      <c r="Y133" s="153"/>
      <c r="Z133" s="153"/>
      <c r="AA133" s="153"/>
    </row>
    <row r="134" spans="1:27" ht="15.75" customHeight="1">
      <c r="A134" s="153"/>
      <c r="B134" s="153"/>
      <c r="C134" s="152"/>
      <c r="D134" s="152"/>
      <c r="E134" s="153"/>
      <c r="F134" s="153"/>
      <c r="G134" s="153"/>
      <c r="H134" s="153"/>
      <c r="I134" s="153"/>
      <c r="J134" s="153"/>
      <c r="K134" s="153"/>
      <c r="L134" s="153"/>
      <c r="M134" s="153"/>
      <c r="N134" s="153"/>
      <c r="O134" s="153"/>
      <c r="P134" s="153"/>
      <c r="Q134" s="153"/>
      <c r="R134" s="153"/>
      <c r="S134" s="153"/>
      <c r="T134" s="153"/>
      <c r="U134" s="153"/>
      <c r="V134" s="153"/>
      <c r="W134" s="153"/>
      <c r="X134" s="153"/>
      <c r="Y134" s="153"/>
      <c r="Z134" s="153"/>
      <c r="AA134" s="153"/>
    </row>
    <row r="135" spans="1:27" ht="15.75" customHeight="1">
      <c r="A135" s="153"/>
      <c r="B135" s="153"/>
      <c r="C135" s="152"/>
      <c r="D135" s="152"/>
      <c r="E135" s="153"/>
      <c r="F135" s="153"/>
      <c r="G135" s="153"/>
      <c r="H135" s="153"/>
      <c r="I135" s="153"/>
      <c r="J135" s="153"/>
      <c r="K135" s="153"/>
      <c r="L135" s="153"/>
      <c r="M135" s="153"/>
      <c r="N135" s="153"/>
      <c r="O135" s="153"/>
      <c r="P135" s="153"/>
      <c r="Q135" s="153"/>
      <c r="R135" s="153"/>
      <c r="S135" s="153"/>
      <c r="T135" s="153"/>
      <c r="U135" s="153"/>
      <c r="V135" s="153"/>
      <c r="W135" s="153"/>
      <c r="X135" s="153"/>
      <c r="Y135" s="153"/>
      <c r="Z135" s="153"/>
      <c r="AA135" s="153"/>
    </row>
    <row r="136" spans="1:27" ht="15.75" customHeight="1">
      <c r="A136" s="153"/>
      <c r="B136" s="153"/>
      <c r="C136" s="152"/>
      <c r="D136" s="152"/>
      <c r="E136" s="153"/>
      <c r="F136" s="153"/>
      <c r="G136" s="153"/>
      <c r="H136" s="153"/>
      <c r="I136" s="153"/>
      <c r="J136" s="153"/>
      <c r="K136" s="153"/>
      <c r="L136" s="153"/>
      <c r="M136" s="153"/>
      <c r="N136" s="153"/>
      <c r="O136" s="153"/>
      <c r="P136" s="153"/>
      <c r="Q136" s="153"/>
      <c r="R136" s="153"/>
      <c r="S136" s="153"/>
      <c r="T136" s="153"/>
      <c r="U136" s="153"/>
      <c r="V136" s="153"/>
      <c r="W136" s="153"/>
      <c r="X136" s="153"/>
      <c r="Y136" s="153"/>
      <c r="Z136" s="153"/>
      <c r="AA136" s="153"/>
    </row>
    <row r="137" spans="1:27" ht="15.75" customHeight="1">
      <c r="A137" s="153"/>
      <c r="B137" s="153"/>
      <c r="C137" s="152"/>
      <c r="D137" s="152"/>
      <c r="E137" s="153"/>
      <c r="F137" s="153"/>
      <c r="G137" s="153"/>
      <c r="H137" s="153"/>
      <c r="I137" s="153"/>
      <c r="J137" s="153"/>
      <c r="K137" s="153"/>
      <c r="L137" s="153"/>
      <c r="M137" s="153"/>
      <c r="N137" s="153"/>
      <c r="O137" s="153"/>
      <c r="P137" s="153"/>
      <c r="Q137" s="153"/>
      <c r="R137" s="153"/>
      <c r="S137" s="153"/>
      <c r="T137" s="153"/>
      <c r="U137" s="153"/>
      <c r="V137" s="153"/>
      <c r="W137" s="153"/>
      <c r="X137" s="153"/>
      <c r="Y137" s="153"/>
      <c r="Z137" s="153"/>
      <c r="AA137" s="153"/>
    </row>
    <row r="138" spans="1:27" ht="15.75" customHeight="1">
      <c r="A138" s="153"/>
      <c r="B138" s="153"/>
      <c r="C138" s="152"/>
      <c r="D138" s="152"/>
      <c r="E138" s="153"/>
      <c r="F138" s="153"/>
      <c r="G138" s="153"/>
      <c r="H138" s="153"/>
      <c r="I138" s="153"/>
      <c r="J138" s="153"/>
      <c r="K138" s="153"/>
      <c r="L138" s="153"/>
      <c r="M138" s="153"/>
      <c r="N138" s="153"/>
      <c r="O138" s="153"/>
      <c r="P138" s="153"/>
      <c r="Q138" s="153"/>
      <c r="R138" s="153"/>
      <c r="S138" s="153"/>
      <c r="T138" s="153"/>
      <c r="U138" s="153"/>
      <c r="V138" s="153"/>
      <c r="W138" s="153"/>
      <c r="X138" s="153"/>
      <c r="Y138" s="153"/>
      <c r="Z138" s="153"/>
      <c r="AA138" s="153"/>
    </row>
    <row r="139" spans="1:27" ht="15.75" customHeight="1">
      <c r="A139" s="153"/>
      <c r="B139" s="153"/>
      <c r="C139" s="152"/>
      <c r="D139" s="152"/>
      <c r="E139" s="153"/>
      <c r="F139" s="153"/>
      <c r="G139" s="153"/>
      <c r="H139" s="153"/>
      <c r="I139" s="153"/>
      <c r="J139" s="153"/>
      <c r="K139" s="153"/>
      <c r="L139" s="153"/>
      <c r="M139" s="153"/>
      <c r="N139" s="153"/>
      <c r="O139" s="153"/>
      <c r="P139" s="153"/>
      <c r="Q139" s="153"/>
      <c r="R139" s="153"/>
      <c r="S139" s="153"/>
      <c r="T139" s="153"/>
      <c r="U139" s="153"/>
      <c r="V139" s="153"/>
      <c r="W139" s="153"/>
      <c r="X139" s="153"/>
      <c r="Y139" s="153"/>
      <c r="Z139" s="153"/>
      <c r="AA139" s="153"/>
    </row>
    <row r="140" spans="1:27" ht="15.75" customHeight="1">
      <c r="A140" s="153"/>
      <c r="B140" s="153"/>
      <c r="C140" s="152"/>
      <c r="D140" s="152"/>
      <c r="E140" s="153"/>
      <c r="F140" s="153"/>
      <c r="G140" s="153"/>
      <c r="H140" s="153"/>
      <c r="I140" s="153"/>
      <c r="J140" s="153"/>
      <c r="K140" s="153"/>
      <c r="L140" s="153"/>
      <c r="M140" s="153"/>
      <c r="N140" s="153"/>
      <c r="O140" s="153"/>
      <c r="P140" s="153"/>
      <c r="Q140" s="153"/>
      <c r="R140" s="153"/>
      <c r="S140" s="153"/>
      <c r="T140" s="153"/>
      <c r="U140" s="153"/>
      <c r="V140" s="153"/>
      <c r="W140" s="153"/>
      <c r="X140" s="153"/>
      <c r="Y140" s="153"/>
      <c r="Z140" s="153"/>
      <c r="AA140" s="153"/>
    </row>
    <row r="141" spans="1:27" ht="15.75" customHeight="1">
      <c r="A141" s="153"/>
      <c r="B141" s="153"/>
      <c r="C141" s="152"/>
      <c r="D141" s="152"/>
      <c r="E141" s="153"/>
      <c r="F141" s="153"/>
      <c r="G141" s="153"/>
      <c r="H141" s="153"/>
      <c r="I141" s="153"/>
      <c r="J141" s="153"/>
      <c r="K141" s="153"/>
      <c r="L141" s="153"/>
      <c r="M141" s="153"/>
      <c r="N141" s="153"/>
      <c r="O141" s="153"/>
      <c r="P141" s="153"/>
      <c r="Q141" s="153"/>
      <c r="R141" s="153"/>
      <c r="S141" s="153"/>
      <c r="T141" s="153"/>
      <c r="U141" s="153"/>
      <c r="V141" s="153"/>
      <c r="W141" s="153"/>
      <c r="X141" s="153"/>
      <c r="Y141" s="153"/>
      <c r="Z141" s="153"/>
      <c r="AA141" s="153"/>
    </row>
    <row r="142" spans="1:27" ht="15.75" customHeight="1">
      <c r="A142" s="153"/>
      <c r="B142" s="153"/>
      <c r="C142" s="152"/>
      <c r="D142" s="152"/>
      <c r="E142" s="153"/>
      <c r="F142" s="153"/>
      <c r="G142" s="153"/>
      <c r="H142" s="153"/>
      <c r="I142" s="153"/>
      <c r="J142" s="153"/>
      <c r="K142" s="153"/>
      <c r="L142" s="153"/>
      <c r="M142" s="153"/>
      <c r="N142" s="153"/>
      <c r="O142" s="153"/>
      <c r="P142" s="153"/>
      <c r="Q142" s="153"/>
      <c r="R142" s="153"/>
      <c r="S142" s="153"/>
      <c r="T142" s="153"/>
      <c r="U142" s="153"/>
      <c r="V142" s="153"/>
      <c r="W142" s="153"/>
      <c r="X142" s="153"/>
      <c r="Y142" s="153"/>
      <c r="Z142" s="153"/>
      <c r="AA142" s="153"/>
    </row>
    <row r="143" spans="1:27" ht="15.75" customHeight="1">
      <c r="A143" s="153"/>
      <c r="B143" s="153"/>
      <c r="C143" s="152"/>
      <c r="D143" s="152"/>
      <c r="E143" s="153"/>
      <c r="F143" s="153"/>
      <c r="G143" s="153"/>
      <c r="H143" s="153"/>
      <c r="I143" s="153"/>
      <c r="J143" s="153"/>
      <c r="K143" s="153"/>
      <c r="L143" s="153"/>
      <c r="M143" s="153"/>
      <c r="N143" s="153"/>
      <c r="O143" s="153"/>
      <c r="P143" s="153"/>
      <c r="Q143" s="153"/>
      <c r="R143" s="153"/>
      <c r="S143" s="153"/>
      <c r="T143" s="153"/>
      <c r="U143" s="153"/>
      <c r="V143" s="153"/>
      <c r="W143" s="153"/>
      <c r="X143" s="153"/>
      <c r="Y143" s="153"/>
      <c r="Z143" s="153"/>
      <c r="AA143" s="153"/>
    </row>
    <row r="144" spans="1:27" ht="15.75" customHeight="1">
      <c r="A144" s="153"/>
      <c r="B144" s="153"/>
      <c r="C144" s="152"/>
      <c r="D144" s="152"/>
      <c r="E144" s="153"/>
      <c r="F144" s="153"/>
      <c r="G144" s="153"/>
      <c r="H144" s="153"/>
      <c r="I144" s="153"/>
      <c r="J144" s="153"/>
      <c r="K144" s="153"/>
      <c r="L144" s="153"/>
      <c r="M144" s="153"/>
      <c r="N144" s="153"/>
      <c r="O144" s="153"/>
      <c r="P144" s="153"/>
      <c r="Q144" s="153"/>
      <c r="R144" s="153"/>
      <c r="S144" s="153"/>
      <c r="T144" s="153"/>
      <c r="U144" s="153"/>
      <c r="V144" s="153"/>
      <c r="W144" s="153"/>
      <c r="X144" s="153"/>
      <c r="Y144" s="153"/>
      <c r="Z144" s="153"/>
      <c r="AA144" s="153"/>
    </row>
    <row r="145" spans="1:27" ht="15.75" customHeight="1">
      <c r="A145" s="153"/>
      <c r="B145" s="153"/>
      <c r="C145" s="152"/>
      <c r="D145" s="152"/>
      <c r="E145" s="153"/>
      <c r="F145" s="153"/>
      <c r="G145" s="153"/>
      <c r="H145" s="153"/>
      <c r="I145" s="153"/>
      <c r="J145" s="153"/>
      <c r="K145" s="153"/>
      <c r="L145" s="153"/>
      <c r="M145" s="153"/>
      <c r="N145" s="153"/>
      <c r="O145" s="153"/>
      <c r="P145" s="153"/>
      <c r="Q145" s="153"/>
      <c r="R145" s="153"/>
      <c r="S145" s="153"/>
      <c r="T145" s="153"/>
      <c r="U145" s="153"/>
      <c r="V145" s="153"/>
      <c r="W145" s="153"/>
      <c r="X145" s="153"/>
      <c r="Y145" s="153"/>
      <c r="Z145" s="153"/>
      <c r="AA145" s="153"/>
    </row>
    <row r="146" spans="1:27" ht="15.75" customHeight="1">
      <c r="A146" s="153"/>
      <c r="B146" s="153"/>
      <c r="C146" s="152"/>
      <c r="D146" s="152"/>
      <c r="E146" s="153"/>
      <c r="F146" s="153"/>
      <c r="G146" s="153"/>
      <c r="H146" s="153"/>
      <c r="I146" s="153"/>
      <c r="J146" s="153"/>
      <c r="K146" s="153"/>
      <c r="L146" s="153"/>
      <c r="M146" s="153"/>
      <c r="N146" s="153"/>
      <c r="O146" s="153"/>
      <c r="P146" s="153"/>
      <c r="Q146" s="153"/>
      <c r="R146" s="153"/>
      <c r="S146" s="153"/>
      <c r="T146" s="153"/>
      <c r="U146" s="153"/>
      <c r="V146" s="153"/>
      <c r="W146" s="153"/>
      <c r="X146" s="153"/>
      <c r="Y146" s="153"/>
      <c r="Z146" s="153"/>
      <c r="AA146" s="153"/>
    </row>
    <row r="147" spans="1:27" ht="15.75" customHeight="1">
      <c r="A147" s="153"/>
      <c r="B147" s="153"/>
      <c r="C147" s="152"/>
      <c r="D147" s="152"/>
      <c r="E147" s="153"/>
      <c r="F147" s="153"/>
      <c r="G147" s="153"/>
      <c r="H147" s="153"/>
      <c r="I147" s="153"/>
      <c r="J147" s="153"/>
      <c r="K147" s="153"/>
      <c r="L147" s="153"/>
      <c r="M147" s="153"/>
      <c r="N147" s="153"/>
      <c r="O147" s="153"/>
      <c r="P147" s="153"/>
      <c r="Q147" s="153"/>
      <c r="R147" s="153"/>
      <c r="S147" s="153"/>
      <c r="T147" s="153"/>
      <c r="U147" s="153"/>
      <c r="V147" s="153"/>
      <c r="W147" s="153"/>
      <c r="X147" s="153"/>
      <c r="Y147" s="153"/>
      <c r="Z147" s="153"/>
      <c r="AA147" s="153"/>
    </row>
    <row r="148" spans="1:27" ht="15.75" customHeight="1">
      <c r="A148" s="153"/>
      <c r="B148" s="153"/>
      <c r="C148" s="152"/>
      <c r="D148" s="152"/>
      <c r="E148" s="153"/>
      <c r="F148" s="153"/>
      <c r="G148" s="153"/>
      <c r="H148" s="153"/>
      <c r="I148" s="153"/>
      <c r="J148" s="153"/>
      <c r="K148" s="153"/>
      <c r="L148" s="153"/>
      <c r="M148" s="153"/>
      <c r="N148" s="153"/>
      <c r="O148" s="153"/>
      <c r="P148" s="153"/>
      <c r="Q148" s="153"/>
      <c r="R148" s="153"/>
      <c r="S148" s="153"/>
      <c r="T148" s="153"/>
      <c r="U148" s="153"/>
      <c r="V148" s="153"/>
      <c r="W148" s="153"/>
      <c r="X148" s="153"/>
      <c r="Y148" s="153"/>
      <c r="Z148" s="153"/>
      <c r="AA148" s="153"/>
    </row>
    <row r="149" spans="1:27" ht="15.75" customHeight="1">
      <c r="A149" s="153"/>
      <c r="B149" s="153"/>
      <c r="C149" s="152"/>
      <c r="D149" s="152"/>
      <c r="E149" s="153"/>
      <c r="F149" s="153"/>
      <c r="G149" s="153"/>
      <c r="H149" s="153"/>
      <c r="I149" s="153"/>
      <c r="J149" s="153"/>
      <c r="K149" s="153"/>
      <c r="L149" s="153"/>
      <c r="M149" s="153"/>
      <c r="N149" s="153"/>
      <c r="O149" s="153"/>
      <c r="P149" s="153"/>
      <c r="Q149" s="153"/>
      <c r="R149" s="153"/>
      <c r="S149" s="153"/>
      <c r="T149" s="153"/>
      <c r="U149" s="153"/>
      <c r="V149" s="153"/>
      <c r="W149" s="153"/>
      <c r="X149" s="153"/>
      <c r="Y149" s="153"/>
      <c r="Z149" s="153"/>
      <c r="AA149" s="153"/>
    </row>
    <row r="150" spans="1:27" ht="15.75" customHeight="1">
      <c r="A150" s="153"/>
      <c r="B150" s="153"/>
      <c r="C150" s="152"/>
      <c r="D150" s="152"/>
      <c r="E150" s="153"/>
      <c r="F150" s="153"/>
      <c r="G150" s="153"/>
      <c r="H150" s="153"/>
      <c r="I150" s="153"/>
      <c r="J150" s="153"/>
      <c r="K150" s="153"/>
      <c r="L150" s="153"/>
      <c r="M150" s="153"/>
      <c r="N150" s="153"/>
      <c r="O150" s="153"/>
      <c r="P150" s="153"/>
      <c r="Q150" s="153"/>
      <c r="R150" s="153"/>
      <c r="S150" s="153"/>
      <c r="T150" s="153"/>
      <c r="U150" s="153"/>
      <c r="V150" s="153"/>
      <c r="W150" s="153"/>
      <c r="X150" s="153"/>
      <c r="Y150" s="153"/>
      <c r="Z150" s="153"/>
      <c r="AA150" s="153"/>
    </row>
    <row r="151" spans="1:27" ht="15.75" customHeight="1">
      <c r="A151" s="153"/>
      <c r="B151" s="153"/>
      <c r="C151" s="152"/>
      <c r="D151" s="152"/>
      <c r="E151" s="153"/>
      <c r="F151" s="153"/>
      <c r="G151" s="153"/>
      <c r="H151" s="153"/>
      <c r="I151" s="153"/>
      <c r="J151" s="153"/>
      <c r="K151" s="153"/>
      <c r="L151" s="153"/>
      <c r="M151" s="153"/>
      <c r="N151" s="153"/>
      <c r="O151" s="153"/>
      <c r="P151" s="153"/>
      <c r="Q151" s="153"/>
      <c r="R151" s="153"/>
      <c r="S151" s="153"/>
      <c r="T151" s="153"/>
      <c r="U151" s="153"/>
      <c r="V151" s="153"/>
      <c r="W151" s="153"/>
      <c r="X151" s="153"/>
      <c r="Y151" s="153"/>
      <c r="Z151" s="153"/>
      <c r="AA151" s="153"/>
    </row>
    <row r="152" spans="1:27" ht="15.75" customHeight="1">
      <c r="A152" s="153"/>
      <c r="B152" s="153"/>
      <c r="C152" s="152"/>
      <c r="D152" s="152"/>
      <c r="E152" s="153"/>
      <c r="F152" s="153"/>
      <c r="G152" s="153"/>
      <c r="H152" s="153"/>
      <c r="I152" s="153"/>
      <c r="J152" s="153"/>
      <c r="K152" s="153"/>
      <c r="L152" s="153"/>
      <c r="M152" s="153"/>
      <c r="N152" s="153"/>
      <c r="O152" s="153"/>
      <c r="P152" s="153"/>
      <c r="Q152" s="153"/>
      <c r="R152" s="153"/>
      <c r="S152" s="153"/>
      <c r="T152" s="153"/>
      <c r="U152" s="153"/>
      <c r="V152" s="153"/>
      <c r="W152" s="153"/>
      <c r="X152" s="153"/>
      <c r="Y152" s="153"/>
      <c r="Z152" s="153"/>
      <c r="AA152" s="153"/>
    </row>
    <row r="153" spans="1:27" ht="15.75" customHeight="1">
      <c r="A153" s="153"/>
      <c r="B153" s="153"/>
      <c r="C153" s="152"/>
      <c r="D153" s="152"/>
      <c r="E153" s="153"/>
      <c r="F153" s="153"/>
      <c r="G153" s="153"/>
      <c r="H153" s="153"/>
      <c r="I153" s="153"/>
      <c r="J153" s="153"/>
      <c r="K153" s="153"/>
      <c r="L153" s="153"/>
      <c r="M153" s="153"/>
      <c r="N153" s="153"/>
      <c r="O153" s="153"/>
      <c r="P153" s="153"/>
      <c r="Q153" s="153"/>
      <c r="R153" s="153"/>
      <c r="S153" s="153"/>
      <c r="T153" s="153"/>
      <c r="U153" s="153"/>
      <c r="V153" s="153"/>
      <c r="W153" s="153"/>
      <c r="X153" s="153"/>
      <c r="Y153" s="153"/>
      <c r="Z153" s="153"/>
      <c r="AA153" s="153"/>
    </row>
    <row r="154" spans="1:27" ht="15.75" customHeight="1">
      <c r="A154" s="153"/>
      <c r="B154" s="153"/>
      <c r="C154" s="152"/>
      <c r="D154" s="152"/>
      <c r="E154" s="153"/>
      <c r="F154" s="153"/>
      <c r="G154" s="153"/>
      <c r="H154" s="153"/>
      <c r="I154" s="153"/>
      <c r="J154" s="153"/>
      <c r="K154" s="153"/>
      <c r="L154" s="153"/>
      <c r="M154" s="153"/>
      <c r="N154" s="153"/>
      <c r="O154" s="153"/>
      <c r="P154" s="153"/>
      <c r="Q154" s="153"/>
      <c r="R154" s="153"/>
      <c r="S154" s="153"/>
      <c r="T154" s="153"/>
      <c r="U154" s="153"/>
      <c r="V154" s="153"/>
      <c r="W154" s="153"/>
      <c r="X154" s="153"/>
      <c r="Y154" s="153"/>
      <c r="Z154" s="153"/>
      <c r="AA154" s="153"/>
    </row>
    <row r="155" spans="1:27" ht="15.75" customHeight="1">
      <c r="A155" s="153"/>
      <c r="B155" s="153"/>
      <c r="C155" s="152"/>
      <c r="D155" s="152"/>
      <c r="E155" s="153"/>
      <c r="F155" s="153"/>
      <c r="G155" s="153"/>
      <c r="H155" s="153"/>
      <c r="I155" s="153"/>
      <c r="J155" s="153"/>
      <c r="K155" s="153"/>
      <c r="L155" s="153"/>
      <c r="M155" s="153"/>
      <c r="N155" s="153"/>
      <c r="O155" s="153"/>
      <c r="P155" s="153"/>
      <c r="Q155" s="153"/>
      <c r="R155" s="153"/>
      <c r="S155" s="153"/>
      <c r="T155" s="153"/>
      <c r="U155" s="153"/>
      <c r="V155" s="153"/>
      <c r="W155" s="153"/>
      <c r="X155" s="153"/>
      <c r="Y155" s="153"/>
      <c r="Z155" s="153"/>
      <c r="AA155" s="153"/>
    </row>
    <row r="156" spans="1:27" ht="15.75" customHeight="1">
      <c r="A156" s="153"/>
      <c r="B156" s="153"/>
      <c r="C156" s="152"/>
      <c r="D156" s="152"/>
      <c r="E156" s="153"/>
      <c r="F156" s="153"/>
      <c r="G156" s="153"/>
      <c r="H156" s="153"/>
      <c r="I156" s="153"/>
      <c r="J156" s="153"/>
      <c r="K156" s="153"/>
      <c r="L156" s="153"/>
      <c r="M156" s="153"/>
      <c r="N156" s="153"/>
      <c r="O156" s="153"/>
      <c r="P156" s="153"/>
      <c r="Q156" s="153"/>
      <c r="R156" s="153"/>
      <c r="S156" s="153"/>
      <c r="T156" s="153"/>
      <c r="U156" s="153"/>
      <c r="V156" s="153"/>
      <c r="W156" s="153"/>
      <c r="X156" s="153"/>
      <c r="Y156" s="153"/>
      <c r="Z156" s="153"/>
      <c r="AA156" s="153"/>
    </row>
    <row r="157" spans="1:27" ht="15.75" customHeight="1">
      <c r="A157" s="153"/>
      <c r="B157" s="153"/>
      <c r="C157" s="152"/>
      <c r="D157" s="152"/>
      <c r="E157" s="153"/>
      <c r="F157" s="153"/>
      <c r="G157" s="153"/>
      <c r="H157" s="153"/>
      <c r="I157" s="153"/>
      <c r="J157" s="153"/>
      <c r="K157" s="153"/>
      <c r="L157" s="153"/>
      <c r="M157" s="153"/>
      <c r="N157" s="153"/>
      <c r="O157" s="153"/>
      <c r="P157" s="153"/>
      <c r="Q157" s="153"/>
      <c r="R157" s="153"/>
      <c r="S157" s="153"/>
      <c r="T157" s="153"/>
      <c r="U157" s="153"/>
      <c r="V157" s="153"/>
      <c r="W157" s="153"/>
      <c r="X157" s="153"/>
      <c r="Y157" s="153"/>
      <c r="Z157" s="153"/>
      <c r="AA157" s="153"/>
    </row>
    <row r="158" spans="1:27" ht="15.75" customHeight="1">
      <c r="A158" s="153"/>
      <c r="B158" s="153"/>
      <c r="C158" s="152"/>
      <c r="D158" s="152"/>
      <c r="E158" s="153"/>
      <c r="F158" s="153"/>
      <c r="G158" s="153"/>
      <c r="H158" s="153"/>
      <c r="I158" s="153"/>
      <c r="J158" s="153"/>
      <c r="K158" s="153"/>
      <c r="L158" s="153"/>
      <c r="M158" s="153"/>
      <c r="N158" s="153"/>
      <c r="O158" s="153"/>
      <c r="P158" s="153"/>
      <c r="Q158" s="153"/>
      <c r="R158" s="153"/>
      <c r="S158" s="153"/>
      <c r="T158" s="153"/>
      <c r="U158" s="153"/>
      <c r="V158" s="153"/>
      <c r="W158" s="153"/>
      <c r="X158" s="153"/>
      <c r="Y158" s="153"/>
      <c r="Z158" s="153"/>
      <c r="AA158" s="153"/>
    </row>
    <row r="159" spans="1:27" ht="15.75" customHeight="1">
      <c r="A159" s="153"/>
      <c r="B159" s="153"/>
      <c r="C159" s="152"/>
      <c r="D159" s="152"/>
      <c r="E159" s="153"/>
      <c r="F159" s="153"/>
      <c r="G159" s="153"/>
      <c r="H159" s="153"/>
      <c r="I159" s="153"/>
      <c r="J159" s="153"/>
      <c r="K159" s="153"/>
      <c r="L159" s="153"/>
      <c r="M159" s="153"/>
      <c r="N159" s="153"/>
      <c r="O159" s="153"/>
      <c r="P159" s="153"/>
      <c r="Q159" s="153"/>
      <c r="R159" s="153"/>
      <c r="S159" s="153"/>
      <c r="T159" s="153"/>
      <c r="U159" s="153"/>
      <c r="V159" s="153"/>
      <c r="W159" s="153"/>
      <c r="X159" s="153"/>
      <c r="Y159" s="153"/>
      <c r="Z159" s="153"/>
      <c r="AA159" s="153"/>
    </row>
    <row r="160" spans="1:27" ht="15.75" customHeight="1">
      <c r="A160" s="153"/>
      <c r="B160" s="153"/>
      <c r="C160" s="152"/>
      <c r="D160" s="152"/>
      <c r="E160" s="153"/>
      <c r="F160" s="153"/>
      <c r="G160" s="153"/>
      <c r="H160" s="153"/>
      <c r="I160" s="153"/>
      <c r="J160" s="153"/>
      <c r="K160" s="153"/>
      <c r="L160" s="153"/>
      <c r="M160" s="153"/>
      <c r="N160" s="153"/>
      <c r="O160" s="153"/>
      <c r="P160" s="153"/>
      <c r="Q160" s="153"/>
      <c r="R160" s="153"/>
      <c r="S160" s="153"/>
      <c r="T160" s="153"/>
      <c r="U160" s="153"/>
      <c r="V160" s="153"/>
      <c r="W160" s="153"/>
      <c r="X160" s="153"/>
      <c r="Y160" s="153"/>
      <c r="Z160" s="153"/>
      <c r="AA160" s="153"/>
    </row>
    <row r="161" spans="1:27" ht="15.75" customHeight="1">
      <c r="A161" s="153"/>
      <c r="B161" s="153"/>
      <c r="C161" s="152"/>
      <c r="D161" s="152"/>
      <c r="E161" s="153"/>
      <c r="F161" s="153"/>
      <c r="G161" s="153"/>
      <c r="H161" s="153"/>
      <c r="I161" s="153"/>
      <c r="J161" s="153"/>
      <c r="K161" s="153"/>
      <c r="L161" s="153"/>
      <c r="M161" s="153"/>
      <c r="N161" s="153"/>
      <c r="O161" s="153"/>
      <c r="P161" s="153"/>
      <c r="Q161" s="153"/>
      <c r="R161" s="153"/>
      <c r="S161" s="153"/>
      <c r="T161" s="153"/>
      <c r="U161" s="153"/>
      <c r="V161" s="153"/>
      <c r="W161" s="153"/>
      <c r="X161" s="153"/>
      <c r="Y161" s="153"/>
      <c r="Z161" s="153"/>
      <c r="AA161" s="153"/>
    </row>
    <row r="162" spans="1:27" ht="15.75" customHeight="1">
      <c r="A162" s="153"/>
      <c r="B162" s="153"/>
      <c r="C162" s="152"/>
      <c r="D162" s="152"/>
      <c r="E162" s="153"/>
      <c r="F162" s="153"/>
      <c r="G162" s="153"/>
      <c r="H162" s="153"/>
      <c r="I162" s="153"/>
      <c r="J162" s="153"/>
      <c r="K162" s="153"/>
      <c r="L162" s="153"/>
      <c r="M162" s="153"/>
      <c r="N162" s="153"/>
      <c r="O162" s="153"/>
      <c r="P162" s="153"/>
      <c r="Q162" s="153"/>
      <c r="R162" s="153"/>
      <c r="S162" s="153"/>
      <c r="T162" s="153"/>
      <c r="U162" s="153"/>
      <c r="V162" s="153"/>
      <c r="W162" s="153"/>
      <c r="X162" s="153"/>
      <c r="Y162" s="153"/>
      <c r="Z162" s="153"/>
      <c r="AA162" s="153"/>
    </row>
    <row r="163" spans="1:27" ht="15.75" customHeight="1">
      <c r="A163" s="153"/>
      <c r="B163" s="153"/>
      <c r="C163" s="152"/>
      <c r="D163" s="152"/>
      <c r="E163" s="153"/>
      <c r="F163" s="153"/>
      <c r="G163" s="153"/>
      <c r="H163" s="153"/>
      <c r="I163" s="153"/>
      <c r="J163" s="153"/>
      <c r="K163" s="153"/>
      <c r="L163" s="153"/>
      <c r="M163" s="153"/>
      <c r="N163" s="153"/>
      <c r="O163" s="153"/>
      <c r="P163" s="153"/>
      <c r="Q163" s="153"/>
      <c r="R163" s="153"/>
      <c r="S163" s="153"/>
      <c r="T163" s="153"/>
      <c r="U163" s="153"/>
      <c r="V163" s="153"/>
      <c r="W163" s="153"/>
      <c r="X163" s="153"/>
      <c r="Y163" s="153"/>
      <c r="Z163" s="153"/>
      <c r="AA163" s="153"/>
    </row>
    <row r="164" spans="1:27" ht="15.75" customHeight="1">
      <c r="A164" s="153"/>
      <c r="B164" s="153"/>
      <c r="C164" s="152"/>
      <c r="D164" s="152"/>
      <c r="E164" s="153"/>
      <c r="F164" s="153"/>
      <c r="G164" s="153"/>
      <c r="H164" s="153"/>
      <c r="I164" s="153"/>
      <c r="J164" s="153"/>
      <c r="K164" s="153"/>
      <c r="L164" s="153"/>
      <c r="M164" s="153"/>
      <c r="N164" s="153"/>
      <c r="O164" s="153"/>
      <c r="P164" s="153"/>
      <c r="Q164" s="153"/>
      <c r="R164" s="153"/>
      <c r="S164" s="153"/>
      <c r="T164" s="153"/>
      <c r="U164" s="153"/>
      <c r="V164" s="153"/>
      <c r="W164" s="153"/>
      <c r="X164" s="153"/>
      <c r="Y164" s="153"/>
      <c r="Z164" s="153"/>
      <c r="AA164" s="153"/>
    </row>
    <row r="165" spans="1:27" ht="15.75" customHeight="1">
      <c r="A165" s="153"/>
      <c r="B165" s="153"/>
      <c r="C165" s="152"/>
      <c r="D165" s="152"/>
      <c r="E165" s="153"/>
      <c r="F165" s="153"/>
      <c r="G165" s="153"/>
      <c r="H165" s="153"/>
      <c r="I165" s="153"/>
      <c r="J165" s="153"/>
      <c r="K165" s="153"/>
      <c r="L165" s="153"/>
      <c r="M165" s="153"/>
      <c r="N165" s="153"/>
      <c r="O165" s="153"/>
      <c r="P165" s="153"/>
      <c r="Q165" s="153"/>
      <c r="R165" s="153"/>
      <c r="S165" s="153"/>
      <c r="T165" s="153"/>
      <c r="U165" s="153"/>
      <c r="V165" s="153"/>
      <c r="W165" s="153"/>
      <c r="X165" s="153"/>
      <c r="Y165" s="153"/>
      <c r="Z165" s="153"/>
      <c r="AA165" s="153"/>
    </row>
    <row r="166" spans="1:27" ht="15.75" customHeight="1">
      <c r="A166" s="153"/>
      <c r="B166" s="153"/>
      <c r="C166" s="152"/>
      <c r="D166" s="152"/>
      <c r="E166" s="153"/>
      <c r="F166" s="153"/>
      <c r="G166" s="153"/>
      <c r="H166" s="153"/>
      <c r="I166" s="153"/>
      <c r="J166" s="153"/>
      <c r="K166" s="153"/>
      <c r="L166" s="153"/>
      <c r="M166" s="153"/>
      <c r="N166" s="153"/>
      <c r="O166" s="153"/>
      <c r="P166" s="153"/>
      <c r="Q166" s="153"/>
      <c r="R166" s="153"/>
      <c r="S166" s="153"/>
      <c r="T166" s="153"/>
      <c r="U166" s="153"/>
      <c r="V166" s="153"/>
      <c r="W166" s="153"/>
      <c r="X166" s="153"/>
      <c r="Y166" s="153"/>
      <c r="Z166" s="153"/>
      <c r="AA166" s="153"/>
    </row>
    <row r="167" spans="1:27" ht="15.75" customHeight="1">
      <c r="A167" s="153"/>
      <c r="B167" s="153"/>
      <c r="C167" s="152"/>
      <c r="D167" s="152"/>
      <c r="E167" s="153"/>
      <c r="F167" s="153"/>
      <c r="G167" s="153"/>
      <c r="H167" s="153"/>
      <c r="I167" s="153"/>
      <c r="J167" s="153"/>
      <c r="K167" s="153"/>
      <c r="L167" s="153"/>
      <c r="M167" s="153"/>
      <c r="N167" s="153"/>
      <c r="O167" s="153"/>
      <c r="P167" s="153"/>
      <c r="Q167" s="153"/>
      <c r="R167" s="153"/>
      <c r="S167" s="153"/>
      <c r="T167" s="153"/>
      <c r="U167" s="153"/>
      <c r="V167" s="153"/>
      <c r="W167" s="153"/>
      <c r="X167" s="153"/>
      <c r="Y167" s="153"/>
      <c r="Z167" s="153"/>
      <c r="AA167" s="153"/>
    </row>
    <row r="168" spans="1:27" ht="15.75" customHeight="1">
      <c r="A168" s="153"/>
      <c r="B168" s="153"/>
      <c r="C168" s="152"/>
      <c r="D168" s="152"/>
      <c r="E168" s="153"/>
      <c r="F168" s="153"/>
      <c r="G168" s="153"/>
      <c r="H168" s="153"/>
      <c r="I168" s="153"/>
      <c r="J168" s="153"/>
      <c r="K168" s="153"/>
      <c r="L168" s="153"/>
      <c r="M168" s="153"/>
      <c r="N168" s="153"/>
      <c r="O168" s="153"/>
      <c r="P168" s="153"/>
      <c r="Q168" s="153"/>
      <c r="R168" s="153"/>
      <c r="S168" s="153"/>
      <c r="T168" s="153"/>
      <c r="U168" s="153"/>
      <c r="V168" s="153"/>
      <c r="W168" s="153"/>
      <c r="X168" s="153"/>
      <c r="Y168" s="153"/>
      <c r="Z168" s="153"/>
      <c r="AA168" s="153"/>
    </row>
    <row r="169" spans="1:27" ht="15.75" customHeight="1">
      <c r="A169" s="153"/>
      <c r="B169" s="153"/>
      <c r="C169" s="152"/>
      <c r="D169" s="152"/>
      <c r="E169" s="153"/>
      <c r="F169" s="153"/>
      <c r="G169" s="153"/>
      <c r="H169" s="153"/>
      <c r="I169" s="153"/>
      <c r="J169" s="153"/>
      <c r="K169" s="153"/>
      <c r="L169" s="153"/>
      <c r="M169" s="153"/>
      <c r="N169" s="153"/>
      <c r="O169" s="153"/>
      <c r="P169" s="153"/>
      <c r="Q169" s="153"/>
      <c r="R169" s="153"/>
      <c r="S169" s="153"/>
      <c r="T169" s="153"/>
      <c r="U169" s="153"/>
      <c r="V169" s="153"/>
      <c r="W169" s="153"/>
      <c r="X169" s="153"/>
      <c r="Y169" s="153"/>
      <c r="Z169" s="153"/>
      <c r="AA169" s="153"/>
    </row>
    <row r="170" spans="1:27" ht="15.75" customHeight="1">
      <c r="A170" s="153"/>
      <c r="B170" s="153"/>
      <c r="C170" s="152"/>
      <c r="D170" s="152"/>
      <c r="E170" s="153"/>
      <c r="F170" s="153"/>
      <c r="G170" s="153"/>
      <c r="H170" s="153"/>
      <c r="I170" s="153"/>
      <c r="J170" s="153"/>
      <c r="K170" s="153"/>
      <c r="L170" s="153"/>
      <c r="M170" s="153"/>
      <c r="N170" s="153"/>
      <c r="O170" s="153"/>
      <c r="P170" s="153"/>
      <c r="Q170" s="153"/>
      <c r="R170" s="153"/>
      <c r="S170" s="153"/>
      <c r="T170" s="153"/>
      <c r="U170" s="153"/>
      <c r="V170" s="153"/>
      <c r="W170" s="153"/>
      <c r="X170" s="153"/>
      <c r="Y170" s="153"/>
      <c r="Z170" s="153"/>
      <c r="AA170" s="153"/>
    </row>
    <row r="171" spans="1:27" ht="15.75" customHeight="1">
      <c r="A171" s="153"/>
      <c r="B171" s="153"/>
      <c r="C171" s="152"/>
      <c r="D171" s="152"/>
      <c r="E171" s="153"/>
      <c r="F171" s="153"/>
      <c r="G171" s="153"/>
      <c r="H171" s="153"/>
      <c r="I171" s="153"/>
      <c r="J171" s="153"/>
      <c r="K171" s="153"/>
      <c r="L171" s="153"/>
      <c r="M171" s="153"/>
      <c r="N171" s="153"/>
      <c r="O171" s="153"/>
      <c r="P171" s="153"/>
      <c r="Q171" s="153"/>
      <c r="R171" s="153"/>
      <c r="S171" s="153"/>
      <c r="T171" s="153"/>
      <c r="U171" s="153"/>
      <c r="V171" s="153"/>
      <c r="W171" s="153"/>
      <c r="X171" s="153"/>
      <c r="Y171" s="153"/>
      <c r="Z171" s="153"/>
      <c r="AA171" s="153"/>
    </row>
    <row r="172" spans="1:27" ht="15.75" customHeight="1">
      <c r="A172" s="153"/>
      <c r="B172" s="153"/>
      <c r="C172" s="152"/>
      <c r="D172" s="152"/>
      <c r="E172" s="153"/>
      <c r="F172" s="153"/>
      <c r="G172" s="153"/>
      <c r="H172" s="153"/>
      <c r="I172" s="153"/>
      <c r="J172" s="153"/>
      <c r="K172" s="153"/>
      <c r="L172" s="153"/>
      <c r="M172" s="153"/>
      <c r="N172" s="153"/>
      <c r="O172" s="153"/>
      <c r="P172" s="153"/>
      <c r="Q172" s="153"/>
      <c r="R172" s="153"/>
      <c r="S172" s="153"/>
      <c r="T172" s="153"/>
      <c r="U172" s="153"/>
      <c r="V172" s="153"/>
      <c r="W172" s="153"/>
      <c r="X172" s="153"/>
      <c r="Y172" s="153"/>
      <c r="Z172" s="153"/>
      <c r="AA172" s="153"/>
    </row>
    <row r="173" spans="1:27" ht="15.75" customHeight="1">
      <c r="A173" s="153"/>
      <c r="B173" s="153"/>
      <c r="C173" s="152"/>
      <c r="D173" s="152"/>
      <c r="E173" s="153"/>
      <c r="F173" s="153"/>
      <c r="G173" s="153"/>
      <c r="H173" s="153"/>
      <c r="I173" s="153"/>
      <c r="J173" s="153"/>
      <c r="K173" s="153"/>
      <c r="L173" s="153"/>
      <c r="M173" s="153"/>
      <c r="N173" s="153"/>
      <c r="O173" s="153"/>
      <c r="P173" s="153"/>
      <c r="Q173" s="153"/>
      <c r="R173" s="153"/>
      <c r="S173" s="153"/>
      <c r="T173" s="153"/>
      <c r="U173" s="153"/>
      <c r="V173" s="153"/>
      <c r="W173" s="153"/>
      <c r="X173" s="153"/>
      <c r="Y173" s="153"/>
      <c r="Z173" s="153"/>
      <c r="AA173" s="153"/>
    </row>
    <row r="174" spans="1:27" ht="15.75" customHeight="1">
      <c r="A174" s="153"/>
      <c r="B174" s="153"/>
      <c r="C174" s="152"/>
      <c r="D174" s="152"/>
      <c r="E174" s="153"/>
      <c r="F174" s="153"/>
      <c r="G174" s="153"/>
      <c r="H174" s="153"/>
      <c r="I174" s="153"/>
      <c r="J174" s="153"/>
      <c r="K174" s="153"/>
      <c r="L174" s="153"/>
      <c r="M174" s="153"/>
      <c r="N174" s="153"/>
      <c r="O174" s="153"/>
      <c r="P174" s="153"/>
      <c r="Q174" s="153"/>
      <c r="R174" s="153"/>
      <c r="S174" s="153"/>
      <c r="T174" s="153"/>
      <c r="U174" s="153"/>
      <c r="V174" s="153"/>
      <c r="W174" s="153"/>
      <c r="X174" s="153"/>
      <c r="Y174" s="153"/>
      <c r="Z174" s="153"/>
      <c r="AA174" s="153"/>
    </row>
    <row r="175" spans="1:27" ht="15.75" customHeight="1">
      <c r="A175" s="153"/>
      <c r="B175" s="153"/>
      <c r="C175" s="152"/>
      <c r="D175" s="152"/>
      <c r="E175" s="153"/>
      <c r="F175" s="153"/>
      <c r="G175" s="153"/>
      <c r="H175" s="153"/>
      <c r="I175" s="153"/>
      <c r="J175" s="153"/>
      <c r="K175" s="153"/>
      <c r="L175" s="153"/>
      <c r="M175" s="153"/>
      <c r="N175" s="153"/>
      <c r="O175" s="153"/>
      <c r="P175" s="153"/>
      <c r="Q175" s="153"/>
      <c r="R175" s="153"/>
      <c r="S175" s="153"/>
      <c r="T175" s="153"/>
      <c r="U175" s="153"/>
      <c r="V175" s="153"/>
      <c r="W175" s="153"/>
      <c r="X175" s="153"/>
      <c r="Y175" s="153"/>
      <c r="Z175" s="153"/>
      <c r="AA175" s="153"/>
    </row>
    <row r="176" spans="1:27" ht="15.75" customHeight="1">
      <c r="A176" s="153"/>
      <c r="B176" s="153"/>
      <c r="C176" s="152"/>
      <c r="D176" s="152"/>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c r="AA176" s="153"/>
    </row>
    <row r="177" spans="1:27" ht="15.75" customHeight="1">
      <c r="A177" s="153"/>
      <c r="B177" s="153"/>
      <c r="C177" s="152"/>
      <c r="D177" s="152"/>
      <c r="E177" s="153"/>
      <c r="F177" s="153"/>
      <c r="G177" s="153"/>
      <c r="H177" s="153"/>
      <c r="I177" s="153"/>
      <c r="J177" s="153"/>
      <c r="K177" s="153"/>
      <c r="L177" s="153"/>
      <c r="M177" s="153"/>
      <c r="N177" s="153"/>
      <c r="O177" s="153"/>
      <c r="P177" s="153"/>
      <c r="Q177" s="153"/>
      <c r="R177" s="153"/>
      <c r="S177" s="153"/>
      <c r="T177" s="153"/>
      <c r="U177" s="153"/>
      <c r="V177" s="153"/>
      <c r="W177" s="153"/>
      <c r="X177" s="153"/>
      <c r="Y177" s="153"/>
      <c r="Z177" s="153"/>
      <c r="AA177" s="153"/>
    </row>
    <row r="178" spans="1:27" ht="15.75" customHeight="1">
      <c r="A178" s="153"/>
      <c r="B178" s="153"/>
      <c r="C178" s="152"/>
      <c r="D178" s="152"/>
      <c r="E178" s="153"/>
      <c r="F178" s="153"/>
      <c r="G178" s="153"/>
      <c r="H178" s="153"/>
      <c r="I178" s="153"/>
      <c r="J178" s="153"/>
      <c r="K178" s="153"/>
      <c r="L178" s="153"/>
      <c r="M178" s="153"/>
      <c r="N178" s="153"/>
      <c r="O178" s="153"/>
      <c r="P178" s="153"/>
      <c r="Q178" s="153"/>
      <c r="R178" s="153"/>
      <c r="S178" s="153"/>
      <c r="T178" s="153"/>
      <c r="U178" s="153"/>
      <c r="V178" s="153"/>
      <c r="W178" s="153"/>
      <c r="X178" s="153"/>
      <c r="Y178" s="153"/>
      <c r="Z178" s="153"/>
      <c r="AA178" s="153"/>
    </row>
    <row r="179" spans="1:27" ht="15.75" customHeight="1">
      <c r="A179" s="153"/>
      <c r="B179" s="153"/>
      <c r="C179" s="152"/>
      <c r="D179" s="152"/>
      <c r="E179" s="153"/>
      <c r="F179" s="153"/>
      <c r="G179" s="153"/>
      <c r="H179" s="153"/>
      <c r="I179" s="153"/>
      <c r="J179" s="153"/>
      <c r="K179" s="153"/>
      <c r="L179" s="153"/>
      <c r="M179" s="153"/>
      <c r="N179" s="153"/>
      <c r="O179" s="153"/>
      <c r="P179" s="153"/>
      <c r="Q179" s="153"/>
      <c r="R179" s="153"/>
      <c r="S179" s="153"/>
      <c r="T179" s="153"/>
      <c r="U179" s="153"/>
      <c r="V179" s="153"/>
      <c r="W179" s="153"/>
      <c r="X179" s="153"/>
      <c r="Y179" s="153"/>
      <c r="Z179" s="153"/>
      <c r="AA179" s="153"/>
    </row>
    <row r="180" spans="1:27" ht="15.75" customHeight="1">
      <c r="A180" s="153"/>
      <c r="B180" s="153"/>
      <c r="C180" s="152"/>
      <c r="D180" s="152"/>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c r="AA180" s="153"/>
    </row>
    <row r="181" spans="1:27" ht="15.75" customHeight="1">
      <c r="A181" s="153"/>
      <c r="B181" s="153"/>
      <c r="C181" s="152"/>
      <c r="D181" s="152"/>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c r="AA181" s="153"/>
    </row>
    <row r="182" spans="1:27" ht="15.75" customHeight="1">
      <c r="A182" s="153"/>
      <c r="B182" s="153"/>
      <c r="C182" s="152"/>
      <c r="D182" s="152"/>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c r="AA182" s="153"/>
    </row>
    <row r="183" spans="1:27" ht="15.75" customHeight="1">
      <c r="A183" s="153"/>
      <c r="B183" s="153"/>
      <c r="C183" s="152"/>
      <c r="D183" s="152"/>
      <c r="E183" s="153"/>
      <c r="F183" s="153"/>
      <c r="G183" s="153"/>
      <c r="H183" s="153"/>
      <c r="I183" s="153"/>
      <c r="J183" s="153"/>
      <c r="K183" s="153"/>
      <c r="L183" s="153"/>
      <c r="M183" s="153"/>
      <c r="N183" s="153"/>
      <c r="O183" s="153"/>
      <c r="P183" s="153"/>
      <c r="Q183" s="153"/>
      <c r="R183" s="153"/>
      <c r="S183" s="153"/>
      <c r="T183" s="153"/>
      <c r="U183" s="153"/>
      <c r="V183" s="153"/>
      <c r="W183" s="153"/>
      <c r="X183" s="153"/>
      <c r="Y183" s="153"/>
      <c r="Z183" s="153"/>
      <c r="AA183" s="153"/>
    </row>
    <row r="184" spans="1:27" ht="15.75" customHeight="1">
      <c r="A184" s="153"/>
      <c r="B184" s="153"/>
      <c r="C184" s="152"/>
      <c r="D184" s="152"/>
      <c r="E184" s="153"/>
      <c r="F184" s="153"/>
      <c r="G184" s="153"/>
      <c r="H184" s="153"/>
      <c r="I184" s="153"/>
      <c r="J184" s="153"/>
      <c r="K184" s="153"/>
      <c r="L184" s="153"/>
      <c r="M184" s="153"/>
      <c r="N184" s="153"/>
      <c r="O184" s="153"/>
      <c r="P184" s="153"/>
      <c r="Q184" s="153"/>
      <c r="R184" s="153"/>
      <c r="S184" s="153"/>
      <c r="T184" s="153"/>
      <c r="U184" s="153"/>
      <c r="V184" s="153"/>
      <c r="W184" s="153"/>
      <c r="X184" s="153"/>
      <c r="Y184" s="153"/>
      <c r="Z184" s="153"/>
      <c r="AA184" s="153"/>
    </row>
    <row r="185" spans="1:27" ht="15.75" customHeight="1">
      <c r="A185" s="153"/>
      <c r="B185" s="153"/>
      <c r="C185" s="152"/>
      <c r="D185" s="152"/>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53"/>
      <c r="AA185" s="153"/>
    </row>
    <row r="186" spans="1:27" ht="15.75" customHeight="1">
      <c r="A186" s="153"/>
      <c r="B186" s="153"/>
      <c r="C186" s="152"/>
      <c r="D186" s="152"/>
      <c r="E186" s="153"/>
      <c r="F186" s="153"/>
      <c r="G186" s="153"/>
      <c r="H186" s="153"/>
      <c r="I186" s="153"/>
      <c r="J186" s="153"/>
      <c r="K186" s="153"/>
      <c r="L186" s="153"/>
      <c r="M186" s="153"/>
      <c r="N186" s="153"/>
      <c r="O186" s="153"/>
      <c r="P186" s="153"/>
      <c r="Q186" s="153"/>
      <c r="R186" s="153"/>
      <c r="S186" s="153"/>
      <c r="T186" s="153"/>
      <c r="U186" s="153"/>
      <c r="V186" s="153"/>
      <c r="W186" s="153"/>
      <c r="X186" s="153"/>
      <c r="Y186" s="153"/>
      <c r="Z186" s="153"/>
      <c r="AA186" s="153"/>
    </row>
    <row r="187" spans="1:27" ht="15.75" customHeight="1">
      <c r="A187" s="153"/>
      <c r="B187" s="153"/>
      <c r="C187" s="152"/>
      <c r="D187" s="152"/>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c r="AA187" s="153"/>
    </row>
    <row r="188" spans="1:27" ht="15.75" customHeight="1">
      <c r="A188" s="153"/>
      <c r="B188" s="153"/>
      <c r="C188" s="152"/>
      <c r="D188" s="152"/>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c r="AA188" s="153"/>
    </row>
    <row r="189" spans="1:27" ht="15.75" customHeight="1">
      <c r="A189" s="153"/>
      <c r="B189" s="153"/>
      <c r="C189" s="152"/>
      <c r="D189" s="152"/>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c r="AA189" s="153"/>
    </row>
    <row r="190" spans="1:27" ht="15.75" customHeight="1">
      <c r="A190" s="153"/>
      <c r="B190" s="153"/>
      <c r="C190" s="152"/>
      <c r="D190" s="152"/>
      <c r="E190" s="153"/>
      <c r="F190" s="153"/>
      <c r="G190" s="153"/>
      <c r="H190" s="153"/>
      <c r="I190" s="153"/>
      <c r="J190" s="153"/>
      <c r="K190" s="153"/>
      <c r="L190" s="153"/>
      <c r="M190" s="153"/>
      <c r="N190" s="153"/>
      <c r="O190" s="153"/>
      <c r="P190" s="153"/>
      <c r="Q190" s="153"/>
      <c r="R190" s="153"/>
      <c r="S190" s="153"/>
      <c r="T190" s="153"/>
      <c r="U190" s="153"/>
      <c r="V190" s="153"/>
      <c r="W190" s="153"/>
      <c r="X190" s="153"/>
      <c r="Y190" s="153"/>
      <c r="Z190" s="153"/>
      <c r="AA190" s="153"/>
    </row>
    <row r="191" spans="1:27" ht="15.75" customHeight="1">
      <c r="A191" s="153"/>
      <c r="B191" s="153"/>
      <c r="C191" s="152"/>
      <c r="D191" s="152"/>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c r="AA191" s="153"/>
    </row>
    <row r="192" spans="1:27" ht="15.75" customHeight="1">
      <c r="A192" s="153"/>
      <c r="B192" s="153"/>
      <c r="C192" s="152"/>
      <c r="D192" s="152"/>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c r="AA192" s="153"/>
    </row>
    <row r="193" spans="1:27" ht="15.75" customHeight="1">
      <c r="A193" s="153"/>
      <c r="B193" s="153"/>
      <c r="C193" s="152"/>
      <c r="D193" s="152"/>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c r="AA193" s="153"/>
    </row>
    <row r="194" spans="1:27" ht="15.75" customHeight="1">
      <c r="A194" s="153"/>
      <c r="B194" s="153"/>
      <c r="C194" s="152"/>
      <c r="D194" s="152"/>
      <c r="E194" s="153"/>
      <c r="F194" s="153"/>
      <c r="G194" s="153"/>
      <c r="H194" s="153"/>
      <c r="I194" s="153"/>
      <c r="J194" s="153"/>
      <c r="K194" s="153"/>
      <c r="L194" s="153"/>
      <c r="M194" s="153"/>
      <c r="N194" s="153"/>
      <c r="O194" s="153"/>
      <c r="P194" s="153"/>
      <c r="Q194" s="153"/>
      <c r="R194" s="153"/>
      <c r="S194" s="153"/>
      <c r="T194" s="153"/>
      <c r="U194" s="153"/>
      <c r="V194" s="153"/>
      <c r="W194" s="153"/>
      <c r="X194" s="153"/>
      <c r="Y194" s="153"/>
      <c r="Z194" s="153"/>
      <c r="AA194" s="153"/>
    </row>
    <row r="195" spans="1:27" ht="15.75" customHeight="1">
      <c r="A195" s="153"/>
      <c r="B195" s="153"/>
      <c r="C195" s="152"/>
      <c r="D195" s="152"/>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c r="AA195" s="153"/>
    </row>
    <row r="196" spans="1:27" ht="15.75" customHeight="1">
      <c r="A196" s="153"/>
      <c r="B196" s="153"/>
      <c r="C196" s="152"/>
      <c r="D196" s="152"/>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c r="AA196" s="153"/>
    </row>
    <row r="197" spans="1:27" ht="15.75" customHeight="1">
      <c r="A197" s="153"/>
      <c r="B197" s="153"/>
      <c r="C197" s="152"/>
      <c r="D197" s="152"/>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c r="AA197" s="153"/>
    </row>
    <row r="198" spans="1:27" ht="15.75" customHeight="1">
      <c r="A198" s="153"/>
      <c r="B198" s="153"/>
      <c r="C198" s="152"/>
      <c r="D198" s="152"/>
      <c r="E198" s="153"/>
      <c r="F198" s="153"/>
      <c r="G198" s="153"/>
      <c r="H198" s="153"/>
      <c r="I198" s="153"/>
      <c r="J198" s="153"/>
      <c r="K198" s="153"/>
      <c r="L198" s="153"/>
      <c r="M198" s="153"/>
      <c r="N198" s="153"/>
      <c r="O198" s="153"/>
      <c r="P198" s="153"/>
      <c r="Q198" s="153"/>
      <c r="R198" s="153"/>
      <c r="S198" s="153"/>
      <c r="T198" s="153"/>
      <c r="U198" s="153"/>
      <c r="V198" s="153"/>
      <c r="W198" s="153"/>
      <c r="X198" s="153"/>
      <c r="Y198" s="153"/>
      <c r="Z198" s="153"/>
      <c r="AA198" s="153"/>
    </row>
    <row r="199" spans="1:27" ht="15.75" customHeight="1">
      <c r="A199" s="153"/>
      <c r="B199" s="153"/>
      <c r="C199" s="152"/>
      <c r="D199" s="152"/>
      <c r="E199" s="153"/>
      <c r="F199" s="153"/>
      <c r="G199" s="153"/>
      <c r="H199" s="153"/>
      <c r="I199" s="153"/>
      <c r="J199" s="153"/>
      <c r="K199" s="153"/>
      <c r="L199" s="153"/>
      <c r="M199" s="153"/>
      <c r="N199" s="153"/>
      <c r="O199" s="153"/>
      <c r="P199" s="153"/>
      <c r="Q199" s="153"/>
      <c r="R199" s="153"/>
      <c r="S199" s="153"/>
      <c r="T199" s="153"/>
      <c r="U199" s="153"/>
      <c r="V199" s="153"/>
      <c r="W199" s="153"/>
      <c r="X199" s="153"/>
      <c r="Y199" s="153"/>
      <c r="Z199" s="153"/>
      <c r="AA199" s="153"/>
    </row>
    <row r="200" spans="1:27" ht="15.75" customHeight="1">
      <c r="A200" s="153"/>
      <c r="B200" s="153"/>
      <c r="C200" s="152"/>
      <c r="D200" s="152"/>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c r="AA200" s="153"/>
    </row>
    <row r="201" spans="1:27" ht="15.75" customHeight="1">
      <c r="A201" s="153"/>
      <c r="B201" s="153"/>
      <c r="C201" s="152"/>
      <c r="D201" s="152"/>
      <c r="E201" s="153"/>
      <c r="F201" s="153"/>
      <c r="G201" s="153"/>
      <c r="H201" s="153"/>
      <c r="I201" s="153"/>
      <c r="J201" s="153"/>
      <c r="K201" s="153"/>
      <c r="L201" s="153"/>
      <c r="M201" s="153"/>
      <c r="N201" s="153"/>
      <c r="O201" s="153"/>
      <c r="P201" s="153"/>
      <c r="Q201" s="153"/>
      <c r="R201" s="153"/>
      <c r="S201" s="153"/>
      <c r="T201" s="153"/>
      <c r="U201" s="153"/>
      <c r="V201" s="153"/>
      <c r="W201" s="153"/>
      <c r="X201" s="153"/>
      <c r="Y201" s="153"/>
      <c r="Z201" s="153"/>
      <c r="AA201" s="153"/>
    </row>
    <row r="202" spans="1:27" ht="15.75" customHeight="1">
      <c r="A202" s="153"/>
      <c r="B202" s="153"/>
      <c r="C202" s="152"/>
      <c r="D202" s="152"/>
      <c r="E202" s="153"/>
      <c r="F202" s="153"/>
      <c r="G202" s="153"/>
      <c r="H202" s="153"/>
      <c r="I202" s="153"/>
      <c r="J202" s="153"/>
      <c r="K202" s="153"/>
      <c r="L202" s="153"/>
      <c r="M202" s="153"/>
      <c r="N202" s="153"/>
      <c r="O202" s="153"/>
      <c r="P202" s="153"/>
      <c r="Q202" s="153"/>
      <c r="R202" s="153"/>
      <c r="S202" s="153"/>
      <c r="T202" s="153"/>
      <c r="U202" s="153"/>
      <c r="V202" s="153"/>
      <c r="W202" s="153"/>
      <c r="X202" s="153"/>
      <c r="Y202" s="153"/>
      <c r="Z202" s="153"/>
      <c r="AA202" s="153"/>
    </row>
    <row r="203" spans="1:27" ht="15.75" customHeight="1">
      <c r="A203" s="153"/>
      <c r="B203" s="153"/>
      <c r="C203" s="152"/>
      <c r="D203" s="152"/>
      <c r="E203" s="153"/>
      <c r="F203" s="153"/>
      <c r="G203" s="153"/>
      <c r="H203" s="153"/>
      <c r="I203" s="153"/>
      <c r="J203" s="153"/>
      <c r="K203" s="153"/>
      <c r="L203" s="153"/>
      <c r="M203" s="153"/>
      <c r="N203" s="153"/>
      <c r="O203" s="153"/>
      <c r="P203" s="153"/>
      <c r="Q203" s="153"/>
      <c r="R203" s="153"/>
      <c r="S203" s="153"/>
      <c r="T203" s="153"/>
      <c r="U203" s="153"/>
      <c r="V203" s="153"/>
      <c r="W203" s="153"/>
      <c r="X203" s="153"/>
      <c r="Y203" s="153"/>
      <c r="Z203" s="153"/>
      <c r="AA203" s="153"/>
    </row>
    <row r="204" spans="1:27" ht="15.75" customHeight="1">
      <c r="A204" s="153"/>
      <c r="B204" s="153"/>
      <c r="C204" s="152"/>
      <c r="D204" s="152"/>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c r="AA204" s="153"/>
    </row>
    <row r="205" spans="1:27" ht="15.75" customHeight="1">
      <c r="A205" s="153"/>
      <c r="B205" s="153"/>
      <c r="C205" s="152"/>
      <c r="D205" s="152"/>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c r="AA205" s="153"/>
    </row>
    <row r="206" spans="1:27" ht="15.75" customHeight="1">
      <c r="A206" s="153"/>
      <c r="B206" s="153"/>
      <c r="C206" s="152"/>
      <c r="D206" s="152"/>
      <c r="E206" s="153"/>
      <c r="F206" s="153"/>
      <c r="G206" s="153"/>
      <c r="H206" s="153"/>
      <c r="I206" s="153"/>
      <c r="J206" s="153"/>
      <c r="K206" s="153"/>
      <c r="L206" s="153"/>
      <c r="M206" s="153"/>
      <c r="N206" s="153"/>
      <c r="O206" s="153"/>
      <c r="P206" s="153"/>
      <c r="Q206" s="153"/>
      <c r="R206" s="153"/>
      <c r="S206" s="153"/>
      <c r="T206" s="153"/>
      <c r="U206" s="153"/>
      <c r="V206" s="153"/>
      <c r="W206" s="153"/>
      <c r="X206" s="153"/>
      <c r="Y206" s="153"/>
      <c r="Z206" s="153"/>
      <c r="AA206" s="153"/>
    </row>
    <row r="207" spans="1:27" ht="15.75" customHeight="1">
      <c r="A207" s="153"/>
      <c r="B207" s="153"/>
      <c r="C207" s="152"/>
      <c r="D207" s="152"/>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c r="AA207" s="153"/>
    </row>
    <row r="208" spans="1:27" ht="15.75" customHeight="1">
      <c r="A208" s="153"/>
      <c r="B208" s="153"/>
      <c r="C208" s="152"/>
      <c r="D208" s="152"/>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c r="AA208" s="153"/>
    </row>
    <row r="209" spans="1:27" ht="15.75" customHeight="1">
      <c r="A209" s="153"/>
      <c r="B209" s="153"/>
      <c r="C209" s="152"/>
      <c r="D209" s="152"/>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c r="AA209" s="153"/>
    </row>
    <row r="210" spans="1:27" ht="15.75" customHeight="1">
      <c r="A210" s="153"/>
      <c r="B210" s="153"/>
      <c r="C210" s="152"/>
      <c r="D210" s="152"/>
      <c r="E210" s="153"/>
      <c r="F210" s="153"/>
      <c r="G210" s="153"/>
      <c r="H210" s="153"/>
      <c r="I210" s="153"/>
      <c r="J210" s="153"/>
      <c r="K210" s="153"/>
      <c r="L210" s="153"/>
      <c r="M210" s="153"/>
      <c r="N210" s="153"/>
      <c r="O210" s="153"/>
      <c r="P210" s="153"/>
      <c r="Q210" s="153"/>
      <c r="R210" s="153"/>
      <c r="S210" s="153"/>
      <c r="T210" s="153"/>
      <c r="U210" s="153"/>
      <c r="V210" s="153"/>
      <c r="W210" s="153"/>
      <c r="X210" s="153"/>
      <c r="Y210" s="153"/>
      <c r="Z210" s="153"/>
      <c r="AA210" s="153"/>
    </row>
    <row r="211" spans="1:27" ht="15.75" customHeight="1">
      <c r="A211" s="153"/>
      <c r="B211" s="153"/>
      <c r="C211" s="152"/>
      <c r="D211" s="152"/>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c r="AA211" s="153"/>
    </row>
    <row r="212" spans="1:27" ht="15.75" customHeight="1">
      <c r="A212" s="153"/>
      <c r="B212" s="153"/>
      <c r="C212" s="152"/>
      <c r="D212" s="152"/>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c r="AA212" s="153"/>
    </row>
    <row r="213" spans="1:27" ht="15.75" customHeight="1">
      <c r="A213" s="153"/>
      <c r="B213" s="153"/>
      <c r="C213" s="152"/>
      <c r="D213" s="152"/>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c r="AA213" s="153"/>
    </row>
    <row r="214" spans="1:27" ht="15.75" customHeight="1">
      <c r="A214" s="153"/>
      <c r="B214" s="153"/>
      <c r="C214" s="152"/>
      <c r="D214" s="152"/>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c r="AA214" s="153"/>
    </row>
    <row r="215" spans="1:27" ht="15.75" customHeight="1">
      <c r="A215" s="153"/>
      <c r="B215" s="153"/>
      <c r="C215" s="152"/>
      <c r="D215" s="152"/>
      <c r="E215" s="153"/>
      <c r="F215" s="153"/>
      <c r="G215" s="153"/>
      <c r="H215" s="153"/>
      <c r="I215" s="153"/>
      <c r="J215" s="153"/>
      <c r="K215" s="153"/>
      <c r="L215" s="153"/>
      <c r="M215" s="153"/>
      <c r="N215" s="153"/>
      <c r="O215" s="153"/>
      <c r="P215" s="153"/>
      <c r="Q215" s="153"/>
      <c r="R215" s="153"/>
      <c r="S215" s="153"/>
      <c r="T215" s="153"/>
      <c r="U215" s="153"/>
      <c r="V215" s="153"/>
      <c r="W215" s="153"/>
      <c r="X215" s="153"/>
      <c r="Y215" s="153"/>
      <c r="Z215" s="153"/>
      <c r="AA215" s="153"/>
    </row>
    <row r="216" spans="1:27" ht="15.75" customHeight="1">
      <c r="A216" s="153"/>
      <c r="B216" s="153"/>
      <c r="C216" s="152"/>
      <c r="D216" s="152"/>
      <c r="E216" s="153"/>
      <c r="F216" s="153"/>
      <c r="G216" s="153"/>
      <c r="H216" s="153"/>
      <c r="I216" s="153"/>
      <c r="J216" s="153"/>
      <c r="K216" s="153"/>
      <c r="L216" s="153"/>
      <c r="M216" s="153"/>
      <c r="N216" s="153"/>
      <c r="O216" s="153"/>
      <c r="P216" s="153"/>
      <c r="Q216" s="153"/>
      <c r="R216" s="153"/>
      <c r="S216" s="153"/>
      <c r="T216" s="153"/>
      <c r="U216" s="153"/>
      <c r="V216" s="153"/>
      <c r="W216" s="153"/>
      <c r="X216" s="153"/>
      <c r="Y216" s="153"/>
      <c r="Z216" s="153"/>
      <c r="AA216" s="153"/>
    </row>
    <row r="217" spans="1:27" ht="15.75" customHeight="1">
      <c r="A217" s="153"/>
      <c r="B217" s="153"/>
      <c r="C217" s="152"/>
      <c r="D217" s="152"/>
      <c r="E217" s="153"/>
      <c r="F217" s="153"/>
      <c r="G217" s="153"/>
      <c r="H217" s="153"/>
      <c r="I217" s="153"/>
      <c r="J217" s="153"/>
      <c r="K217" s="153"/>
      <c r="L217" s="153"/>
      <c r="M217" s="153"/>
      <c r="N217" s="153"/>
      <c r="O217" s="153"/>
      <c r="P217" s="153"/>
      <c r="Q217" s="153"/>
      <c r="R217" s="153"/>
      <c r="S217" s="153"/>
      <c r="T217" s="153"/>
      <c r="U217" s="153"/>
      <c r="V217" s="153"/>
      <c r="W217" s="153"/>
      <c r="X217" s="153"/>
      <c r="Y217" s="153"/>
      <c r="Z217" s="153"/>
      <c r="AA217" s="153"/>
    </row>
    <row r="218" spans="1:27" ht="15.75" customHeight="1">
      <c r="A218" s="153"/>
      <c r="B218" s="153"/>
      <c r="C218" s="152"/>
      <c r="D218" s="152"/>
      <c r="E218" s="153"/>
      <c r="F218" s="153"/>
      <c r="G218" s="153"/>
      <c r="H218" s="153"/>
      <c r="I218" s="153"/>
      <c r="J218" s="153"/>
      <c r="K218" s="153"/>
      <c r="L218" s="153"/>
      <c r="M218" s="153"/>
      <c r="N218" s="153"/>
      <c r="O218" s="153"/>
      <c r="P218" s="153"/>
      <c r="Q218" s="153"/>
      <c r="R218" s="153"/>
      <c r="S218" s="153"/>
      <c r="T218" s="153"/>
      <c r="U218" s="153"/>
      <c r="V218" s="153"/>
      <c r="W218" s="153"/>
      <c r="X218" s="153"/>
      <c r="Y218" s="153"/>
      <c r="Z218" s="153"/>
      <c r="AA218" s="153"/>
    </row>
    <row r="219" spans="1:27" ht="15.75" customHeight="1">
      <c r="A219" s="153"/>
      <c r="B219" s="153"/>
      <c r="C219" s="152"/>
      <c r="D219" s="152"/>
      <c r="E219" s="153"/>
      <c r="F219" s="153"/>
      <c r="G219" s="153"/>
      <c r="H219" s="153"/>
      <c r="I219" s="153"/>
      <c r="J219" s="153"/>
      <c r="K219" s="153"/>
      <c r="L219" s="153"/>
      <c r="M219" s="153"/>
      <c r="N219" s="153"/>
      <c r="O219" s="153"/>
      <c r="P219" s="153"/>
      <c r="Q219" s="153"/>
      <c r="R219" s="153"/>
      <c r="S219" s="153"/>
      <c r="T219" s="153"/>
      <c r="U219" s="153"/>
      <c r="V219" s="153"/>
      <c r="W219" s="153"/>
      <c r="X219" s="153"/>
      <c r="Y219" s="153"/>
      <c r="Z219" s="153"/>
      <c r="AA219" s="153"/>
    </row>
    <row r="220" spans="1:27" ht="15.75" customHeight="1">
      <c r="A220" s="153"/>
      <c r="B220" s="153"/>
      <c r="C220" s="152"/>
      <c r="D220" s="152"/>
      <c r="E220" s="153"/>
      <c r="F220" s="153"/>
      <c r="G220" s="153"/>
      <c r="H220" s="153"/>
      <c r="I220" s="153"/>
      <c r="J220" s="153"/>
      <c r="K220" s="153"/>
      <c r="L220" s="153"/>
      <c r="M220" s="153"/>
      <c r="N220" s="153"/>
      <c r="O220" s="153"/>
      <c r="P220" s="153"/>
      <c r="Q220" s="153"/>
      <c r="R220" s="153"/>
      <c r="S220" s="153"/>
      <c r="T220" s="153"/>
      <c r="U220" s="153"/>
      <c r="V220" s="153"/>
      <c r="W220" s="153"/>
      <c r="X220" s="153"/>
      <c r="Y220" s="153"/>
      <c r="Z220" s="153"/>
      <c r="AA220" s="153"/>
    </row>
    <row r="221" spans="1:27" ht="15.75" customHeight="1">
      <c r="A221" s="153"/>
      <c r="B221" s="153"/>
      <c r="C221" s="152"/>
      <c r="D221" s="152"/>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c r="AA221" s="153"/>
    </row>
    <row r="222" spans="1:27" ht="15.75" customHeight="1">
      <c r="A222" s="153"/>
      <c r="B222" s="153"/>
      <c r="C222" s="152"/>
      <c r="D222" s="152"/>
      <c r="E222" s="153"/>
      <c r="F222" s="153"/>
      <c r="G222" s="153"/>
      <c r="H222" s="153"/>
      <c r="I222" s="153"/>
      <c r="J222" s="153"/>
      <c r="K222" s="153"/>
      <c r="L222" s="153"/>
      <c r="M222" s="153"/>
      <c r="N222" s="153"/>
      <c r="O222" s="153"/>
      <c r="P222" s="153"/>
      <c r="Q222" s="153"/>
      <c r="R222" s="153"/>
      <c r="S222" s="153"/>
      <c r="T222" s="153"/>
      <c r="U222" s="153"/>
      <c r="V222" s="153"/>
      <c r="W222" s="153"/>
      <c r="X222" s="153"/>
      <c r="Y222" s="153"/>
      <c r="Z222" s="153"/>
      <c r="AA222" s="153"/>
    </row>
    <row r="223" spans="1:27" ht="15.75" customHeight="1">
      <c r="A223" s="153"/>
      <c r="B223" s="153"/>
      <c r="C223" s="152"/>
      <c r="D223" s="152"/>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c r="AA223" s="153"/>
    </row>
    <row r="224" spans="1:27" ht="15.75" customHeight="1">
      <c r="A224" s="153"/>
      <c r="B224" s="153"/>
      <c r="C224" s="152"/>
      <c r="D224" s="152"/>
      <c r="E224" s="153"/>
      <c r="F224" s="153"/>
      <c r="G224" s="153"/>
      <c r="H224" s="153"/>
      <c r="I224" s="153"/>
      <c r="J224" s="153"/>
      <c r="K224" s="153"/>
      <c r="L224" s="153"/>
      <c r="M224" s="153"/>
      <c r="N224" s="153"/>
      <c r="O224" s="153"/>
      <c r="P224" s="153"/>
      <c r="Q224" s="153"/>
      <c r="R224" s="153"/>
      <c r="S224" s="153"/>
      <c r="T224" s="153"/>
      <c r="U224" s="153"/>
      <c r="V224" s="153"/>
      <c r="W224" s="153"/>
      <c r="X224" s="153"/>
      <c r="Y224" s="153"/>
      <c r="Z224" s="153"/>
      <c r="AA224" s="153"/>
    </row>
    <row r="225" spans="1:27" ht="15.75" customHeight="1">
      <c r="A225" s="153"/>
      <c r="B225" s="153"/>
      <c r="C225" s="152"/>
      <c r="D225" s="152"/>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c r="AA225" s="153"/>
    </row>
    <row r="226" spans="1:27" ht="15.75" customHeight="1">
      <c r="A226" s="153"/>
      <c r="B226" s="153"/>
      <c r="C226" s="152"/>
      <c r="D226" s="152"/>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c r="AA226" s="153"/>
    </row>
    <row r="227" spans="1:27" ht="15.75" customHeight="1">
      <c r="A227" s="153"/>
      <c r="B227" s="153"/>
      <c r="C227" s="152"/>
      <c r="D227" s="152"/>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c r="AA227" s="153"/>
    </row>
    <row r="228" spans="1:27" ht="15.75" customHeight="1">
      <c r="A228" s="153"/>
      <c r="B228" s="153"/>
      <c r="C228" s="152"/>
      <c r="D228" s="152"/>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c r="AA228" s="153"/>
    </row>
    <row r="229" spans="1:27" ht="15.75" customHeight="1">
      <c r="A229" s="153"/>
      <c r="B229" s="153"/>
      <c r="C229" s="152"/>
      <c r="D229" s="152"/>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c r="AA229" s="153"/>
    </row>
    <row r="230" spans="1:27" ht="15.75" customHeight="1">
      <c r="A230" s="153"/>
      <c r="B230" s="153"/>
      <c r="C230" s="152"/>
      <c r="D230" s="152"/>
      <c r="E230" s="153"/>
      <c r="F230" s="153"/>
      <c r="G230" s="153"/>
      <c r="H230" s="153"/>
      <c r="I230" s="153"/>
      <c r="J230" s="153"/>
      <c r="K230" s="153"/>
      <c r="L230" s="153"/>
      <c r="M230" s="153"/>
      <c r="N230" s="153"/>
      <c r="O230" s="153"/>
      <c r="P230" s="153"/>
      <c r="Q230" s="153"/>
      <c r="R230" s="153"/>
      <c r="S230" s="153"/>
      <c r="T230" s="153"/>
      <c r="U230" s="153"/>
      <c r="V230" s="153"/>
      <c r="W230" s="153"/>
      <c r="X230" s="153"/>
      <c r="Y230" s="153"/>
      <c r="Z230" s="153"/>
      <c r="AA230" s="153"/>
    </row>
    <row r="231" spans="1:27" ht="15.75" customHeight="1">
      <c r="A231" s="153"/>
      <c r="B231" s="153"/>
      <c r="C231" s="152"/>
      <c r="D231" s="152"/>
      <c r="E231" s="153"/>
      <c r="F231" s="153"/>
      <c r="G231" s="153"/>
      <c r="H231" s="153"/>
      <c r="I231" s="153"/>
      <c r="J231" s="153"/>
      <c r="K231" s="153"/>
      <c r="L231" s="153"/>
      <c r="M231" s="153"/>
      <c r="N231" s="153"/>
      <c r="O231" s="153"/>
      <c r="P231" s="153"/>
      <c r="Q231" s="153"/>
      <c r="R231" s="153"/>
      <c r="S231" s="153"/>
      <c r="T231" s="153"/>
      <c r="U231" s="153"/>
      <c r="V231" s="153"/>
      <c r="W231" s="153"/>
      <c r="X231" s="153"/>
      <c r="Y231" s="153"/>
      <c r="Z231" s="153"/>
      <c r="AA231" s="153"/>
    </row>
    <row r="232" spans="1:27" ht="15.75" customHeight="1">
      <c r="A232" s="153"/>
      <c r="B232" s="153"/>
      <c r="C232" s="152"/>
      <c r="D232" s="152"/>
      <c r="E232" s="153"/>
      <c r="F232" s="153"/>
      <c r="G232" s="153"/>
      <c r="H232" s="153"/>
      <c r="I232" s="153"/>
      <c r="J232" s="153"/>
      <c r="K232" s="153"/>
      <c r="L232" s="153"/>
      <c r="M232" s="153"/>
      <c r="N232" s="153"/>
      <c r="O232" s="153"/>
      <c r="P232" s="153"/>
      <c r="Q232" s="153"/>
      <c r="R232" s="153"/>
      <c r="S232" s="153"/>
      <c r="T232" s="153"/>
      <c r="U232" s="153"/>
      <c r="V232" s="153"/>
      <c r="W232" s="153"/>
      <c r="X232" s="153"/>
      <c r="Y232" s="153"/>
      <c r="Z232" s="153"/>
      <c r="AA232" s="153"/>
    </row>
    <row r="233" spans="1:27" ht="15.75" customHeight="1">
      <c r="A233" s="153"/>
      <c r="B233" s="153"/>
      <c r="C233" s="152"/>
      <c r="D233" s="152"/>
      <c r="E233" s="153"/>
      <c r="F233" s="153"/>
      <c r="G233" s="153"/>
      <c r="H233" s="153"/>
      <c r="I233" s="153"/>
      <c r="J233" s="153"/>
      <c r="K233" s="153"/>
      <c r="L233" s="153"/>
      <c r="M233" s="153"/>
      <c r="N233" s="153"/>
      <c r="O233" s="153"/>
      <c r="P233" s="153"/>
      <c r="Q233" s="153"/>
      <c r="R233" s="153"/>
      <c r="S233" s="153"/>
      <c r="T233" s="153"/>
      <c r="U233" s="153"/>
      <c r="V233" s="153"/>
      <c r="W233" s="153"/>
      <c r="X233" s="153"/>
      <c r="Y233" s="153"/>
      <c r="Z233" s="153"/>
      <c r="AA233" s="153"/>
    </row>
    <row r="234" spans="1:27" ht="15.75" customHeight="1">
      <c r="A234" s="153"/>
      <c r="B234" s="153"/>
      <c r="C234" s="152"/>
      <c r="D234" s="152"/>
      <c r="E234" s="153"/>
      <c r="F234" s="153"/>
      <c r="G234" s="153"/>
      <c r="H234" s="153"/>
      <c r="I234" s="153"/>
      <c r="J234" s="153"/>
      <c r="K234" s="153"/>
      <c r="L234" s="153"/>
      <c r="M234" s="153"/>
      <c r="N234" s="153"/>
      <c r="O234" s="153"/>
      <c r="P234" s="153"/>
      <c r="Q234" s="153"/>
      <c r="R234" s="153"/>
      <c r="S234" s="153"/>
      <c r="T234" s="153"/>
      <c r="U234" s="153"/>
      <c r="V234" s="153"/>
      <c r="W234" s="153"/>
      <c r="X234" s="153"/>
      <c r="Y234" s="153"/>
      <c r="Z234" s="153"/>
      <c r="AA234" s="153"/>
    </row>
    <row r="235" spans="1:27" ht="15.75" customHeight="1">
      <c r="A235" s="153"/>
      <c r="B235" s="153"/>
      <c r="C235" s="152"/>
      <c r="D235" s="152"/>
      <c r="E235" s="153"/>
      <c r="F235" s="153"/>
      <c r="G235" s="153"/>
      <c r="H235" s="153"/>
      <c r="I235" s="153"/>
      <c r="J235" s="153"/>
      <c r="K235" s="153"/>
      <c r="L235" s="153"/>
      <c r="M235" s="153"/>
      <c r="N235" s="153"/>
      <c r="O235" s="153"/>
      <c r="P235" s="153"/>
      <c r="Q235" s="153"/>
      <c r="R235" s="153"/>
      <c r="S235" s="153"/>
      <c r="T235" s="153"/>
      <c r="U235" s="153"/>
      <c r="V235" s="153"/>
      <c r="W235" s="153"/>
      <c r="X235" s="153"/>
      <c r="Y235" s="153"/>
      <c r="Z235" s="153"/>
      <c r="AA235" s="153"/>
    </row>
    <row r="236" spans="1:27" ht="15.75" customHeight="1">
      <c r="A236" s="153"/>
      <c r="B236" s="153"/>
      <c r="C236" s="152"/>
      <c r="D236" s="152"/>
      <c r="E236" s="153"/>
      <c r="F236" s="153"/>
      <c r="G236" s="153"/>
      <c r="H236" s="153"/>
      <c r="I236" s="153"/>
      <c r="J236" s="153"/>
      <c r="K236" s="153"/>
      <c r="L236" s="153"/>
      <c r="M236" s="153"/>
      <c r="N236" s="153"/>
      <c r="O236" s="153"/>
      <c r="P236" s="153"/>
      <c r="Q236" s="153"/>
      <c r="R236" s="153"/>
      <c r="S236" s="153"/>
      <c r="T236" s="153"/>
      <c r="U236" s="153"/>
      <c r="V236" s="153"/>
      <c r="W236" s="153"/>
      <c r="X236" s="153"/>
      <c r="Y236" s="153"/>
      <c r="Z236" s="153"/>
      <c r="AA236" s="153"/>
    </row>
    <row r="237" spans="1:27" ht="15.75" customHeight="1">
      <c r="A237" s="153"/>
      <c r="B237" s="153"/>
      <c r="C237" s="152"/>
      <c r="D237" s="152"/>
      <c r="E237" s="153"/>
      <c r="F237" s="153"/>
      <c r="G237" s="153"/>
      <c r="H237" s="153"/>
      <c r="I237" s="153"/>
      <c r="J237" s="153"/>
      <c r="K237" s="153"/>
      <c r="L237" s="153"/>
      <c r="M237" s="153"/>
      <c r="N237" s="153"/>
      <c r="O237" s="153"/>
      <c r="P237" s="153"/>
      <c r="Q237" s="153"/>
      <c r="R237" s="153"/>
      <c r="S237" s="153"/>
      <c r="T237" s="153"/>
      <c r="U237" s="153"/>
      <c r="V237" s="153"/>
      <c r="W237" s="153"/>
      <c r="X237" s="153"/>
      <c r="Y237" s="153"/>
      <c r="Z237" s="153"/>
      <c r="AA237" s="153"/>
    </row>
    <row r="238" spans="1:27" ht="15.75" customHeight="1">
      <c r="A238" s="153"/>
      <c r="B238" s="153"/>
      <c r="C238" s="152"/>
      <c r="D238" s="152"/>
      <c r="E238" s="153"/>
      <c r="F238" s="153"/>
      <c r="G238" s="153"/>
      <c r="H238" s="153"/>
      <c r="I238" s="153"/>
      <c r="J238" s="153"/>
      <c r="K238" s="153"/>
      <c r="L238" s="153"/>
      <c r="M238" s="153"/>
      <c r="N238" s="153"/>
      <c r="O238" s="153"/>
      <c r="P238" s="153"/>
      <c r="Q238" s="153"/>
      <c r="R238" s="153"/>
      <c r="S238" s="153"/>
      <c r="T238" s="153"/>
      <c r="U238" s="153"/>
      <c r="V238" s="153"/>
      <c r="W238" s="153"/>
      <c r="X238" s="153"/>
      <c r="Y238" s="153"/>
      <c r="Z238" s="153"/>
      <c r="AA238" s="153"/>
    </row>
    <row r="239" spans="1:27" ht="15.75" customHeight="1">
      <c r="A239" s="153"/>
      <c r="B239" s="153"/>
      <c r="C239" s="152"/>
      <c r="D239" s="152"/>
      <c r="E239" s="153"/>
      <c r="F239" s="153"/>
      <c r="G239" s="153"/>
      <c r="H239" s="153"/>
      <c r="I239" s="153"/>
      <c r="J239" s="153"/>
      <c r="K239" s="153"/>
      <c r="L239" s="153"/>
      <c r="M239" s="153"/>
      <c r="N239" s="153"/>
      <c r="O239" s="153"/>
      <c r="P239" s="153"/>
      <c r="Q239" s="153"/>
      <c r="R239" s="153"/>
      <c r="S239" s="153"/>
      <c r="T239" s="153"/>
      <c r="U239" s="153"/>
      <c r="V239" s="153"/>
      <c r="W239" s="153"/>
      <c r="X239" s="153"/>
      <c r="Y239" s="153"/>
      <c r="Z239" s="153"/>
      <c r="AA239" s="153"/>
    </row>
    <row r="240" spans="1:27" ht="15.75" customHeight="1">
      <c r="A240" s="153"/>
      <c r="B240" s="153"/>
      <c r="C240" s="152"/>
      <c r="D240" s="152"/>
      <c r="E240" s="153"/>
      <c r="F240" s="153"/>
      <c r="G240" s="153"/>
      <c r="H240" s="153"/>
      <c r="I240" s="153"/>
      <c r="J240" s="153"/>
      <c r="K240" s="153"/>
      <c r="L240" s="153"/>
      <c r="M240" s="153"/>
      <c r="N240" s="153"/>
      <c r="O240" s="153"/>
      <c r="P240" s="153"/>
      <c r="Q240" s="153"/>
      <c r="R240" s="153"/>
      <c r="S240" s="153"/>
      <c r="T240" s="153"/>
      <c r="U240" s="153"/>
      <c r="V240" s="153"/>
      <c r="W240" s="153"/>
      <c r="X240" s="153"/>
      <c r="Y240" s="153"/>
      <c r="Z240" s="153"/>
      <c r="AA240" s="153"/>
    </row>
    <row r="241" spans="1:27" ht="15.75" customHeight="1">
      <c r="A241" s="153"/>
      <c r="B241" s="153"/>
      <c r="C241" s="152"/>
      <c r="D241" s="152"/>
      <c r="E241" s="153"/>
      <c r="F241" s="153"/>
      <c r="G241" s="153"/>
      <c r="H241" s="153"/>
      <c r="I241" s="153"/>
      <c r="J241" s="153"/>
      <c r="K241" s="153"/>
      <c r="L241" s="153"/>
      <c r="M241" s="153"/>
      <c r="N241" s="153"/>
      <c r="O241" s="153"/>
      <c r="P241" s="153"/>
      <c r="Q241" s="153"/>
      <c r="R241" s="153"/>
      <c r="S241" s="153"/>
      <c r="T241" s="153"/>
      <c r="U241" s="153"/>
      <c r="V241" s="153"/>
      <c r="W241" s="153"/>
      <c r="X241" s="153"/>
      <c r="Y241" s="153"/>
      <c r="Z241" s="153"/>
      <c r="AA241" s="153"/>
    </row>
    <row r="242" spans="1:27" ht="15.75" customHeight="1">
      <c r="A242" s="153"/>
      <c r="B242" s="153"/>
      <c r="C242" s="152"/>
      <c r="D242" s="152"/>
      <c r="E242" s="153"/>
      <c r="F242" s="153"/>
      <c r="G242" s="153"/>
      <c r="H242" s="153"/>
      <c r="I242" s="153"/>
      <c r="J242" s="153"/>
      <c r="K242" s="153"/>
      <c r="L242" s="153"/>
      <c r="M242" s="153"/>
      <c r="N242" s="153"/>
      <c r="O242" s="153"/>
      <c r="P242" s="153"/>
      <c r="Q242" s="153"/>
      <c r="R242" s="153"/>
      <c r="S242" s="153"/>
      <c r="T242" s="153"/>
      <c r="U242" s="153"/>
      <c r="V242" s="153"/>
      <c r="W242" s="153"/>
      <c r="X242" s="153"/>
      <c r="Y242" s="153"/>
      <c r="Z242" s="153"/>
      <c r="AA242" s="153"/>
    </row>
    <row r="243" spans="1:27" ht="15.75" customHeight="1">
      <c r="A243" s="153"/>
      <c r="B243" s="153"/>
      <c r="C243" s="152"/>
      <c r="D243" s="152"/>
      <c r="E243" s="153"/>
      <c r="F243" s="153"/>
      <c r="G243" s="153"/>
      <c r="H243" s="153"/>
      <c r="I243" s="153"/>
      <c r="J243" s="153"/>
      <c r="K243" s="153"/>
      <c r="L243" s="153"/>
      <c r="M243" s="153"/>
      <c r="N243" s="153"/>
      <c r="O243" s="153"/>
      <c r="P243" s="153"/>
      <c r="Q243" s="153"/>
      <c r="R243" s="153"/>
      <c r="S243" s="153"/>
      <c r="T243" s="153"/>
      <c r="U243" s="153"/>
      <c r="V243" s="153"/>
      <c r="W243" s="153"/>
      <c r="X243" s="153"/>
      <c r="Y243" s="153"/>
      <c r="Z243" s="153"/>
      <c r="AA243" s="153"/>
    </row>
    <row r="244" spans="1:27" ht="15.75" customHeight="1">
      <c r="A244" s="153"/>
      <c r="B244" s="153"/>
      <c r="C244" s="152"/>
      <c r="D244" s="152"/>
      <c r="E244" s="153"/>
      <c r="F244" s="153"/>
      <c r="G244" s="153"/>
      <c r="H244" s="153"/>
      <c r="I244" s="153"/>
      <c r="J244" s="153"/>
      <c r="K244" s="153"/>
      <c r="L244" s="153"/>
      <c r="M244" s="153"/>
      <c r="N244" s="153"/>
      <c r="O244" s="153"/>
      <c r="P244" s="153"/>
      <c r="Q244" s="153"/>
      <c r="R244" s="153"/>
      <c r="S244" s="153"/>
      <c r="T244" s="153"/>
      <c r="U244" s="153"/>
      <c r="V244" s="153"/>
      <c r="W244" s="153"/>
      <c r="X244" s="153"/>
      <c r="Y244" s="153"/>
      <c r="Z244" s="153"/>
      <c r="AA244" s="153"/>
    </row>
    <row r="245" spans="1:27" ht="15.75" customHeight="1">
      <c r="A245" s="153"/>
      <c r="B245" s="153"/>
      <c r="C245" s="152"/>
      <c r="D245" s="152"/>
      <c r="E245" s="153"/>
      <c r="F245" s="153"/>
      <c r="G245" s="153"/>
      <c r="H245" s="153"/>
      <c r="I245" s="153"/>
      <c r="J245" s="153"/>
      <c r="K245" s="153"/>
      <c r="L245" s="153"/>
      <c r="M245" s="153"/>
      <c r="N245" s="153"/>
      <c r="O245" s="153"/>
      <c r="P245" s="153"/>
      <c r="Q245" s="153"/>
      <c r="R245" s="153"/>
      <c r="S245" s="153"/>
      <c r="T245" s="153"/>
      <c r="U245" s="153"/>
      <c r="V245" s="153"/>
      <c r="W245" s="153"/>
      <c r="X245" s="153"/>
      <c r="Y245" s="153"/>
      <c r="Z245" s="153"/>
      <c r="AA245" s="153"/>
    </row>
    <row r="246" spans="1:27" ht="15.75" customHeight="1">
      <c r="A246" s="153"/>
      <c r="B246" s="153"/>
      <c r="C246" s="152"/>
      <c r="D246" s="152"/>
      <c r="E246" s="153"/>
      <c r="F246" s="153"/>
      <c r="G246" s="153"/>
      <c r="H246" s="153"/>
      <c r="I246" s="153"/>
      <c r="J246" s="153"/>
      <c r="K246" s="153"/>
      <c r="L246" s="153"/>
      <c r="M246" s="153"/>
      <c r="N246" s="153"/>
      <c r="O246" s="153"/>
      <c r="P246" s="153"/>
      <c r="Q246" s="153"/>
      <c r="R246" s="153"/>
      <c r="S246" s="153"/>
      <c r="T246" s="153"/>
      <c r="U246" s="153"/>
      <c r="V246" s="153"/>
      <c r="W246" s="153"/>
      <c r="X246" s="153"/>
      <c r="Y246" s="153"/>
      <c r="Z246" s="153"/>
      <c r="AA246" s="153"/>
    </row>
    <row r="247" spans="1:27" ht="15.75" customHeight="1"/>
    <row r="248" spans="1:27" ht="15.75" customHeight="1"/>
    <row r="249" spans="1:27" ht="15.75" customHeight="1"/>
    <row r="250" spans="1:27" ht="15.75" customHeight="1"/>
    <row r="251" spans="1:27" ht="15.75" customHeight="1"/>
    <row r="252" spans="1:27" ht="15.75" customHeight="1"/>
    <row r="253" spans="1:27" ht="15.75" customHeight="1"/>
    <row r="254" spans="1:27" ht="15.75" customHeight="1"/>
    <row r="255" spans="1:27" ht="15.75" customHeight="1"/>
    <row r="256" spans="1:27"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C46:G48"/>
    <mergeCell ref="C28:D28"/>
    <mergeCell ref="C29:D29"/>
    <mergeCell ref="C31:D31"/>
    <mergeCell ref="C32:D32"/>
    <mergeCell ref="C33:D33"/>
    <mergeCell ref="C34:D34"/>
    <mergeCell ref="C35:D35"/>
    <mergeCell ref="C26:D26"/>
    <mergeCell ref="E26:F26"/>
    <mergeCell ref="C27:D27"/>
    <mergeCell ref="C36:D36"/>
    <mergeCell ref="C37:D37"/>
    <mergeCell ref="C22:D22"/>
    <mergeCell ref="C23:D23"/>
    <mergeCell ref="C24:D24"/>
    <mergeCell ref="E24:F24"/>
    <mergeCell ref="C25:D25"/>
    <mergeCell ref="C17:D17"/>
    <mergeCell ref="C18:D18"/>
    <mergeCell ref="C19:D19"/>
    <mergeCell ref="C20:D20"/>
    <mergeCell ref="C21:D21"/>
    <mergeCell ref="C13:D13"/>
    <mergeCell ref="C14:D14"/>
    <mergeCell ref="C15:D15"/>
    <mergeCell ref="E15:F15"/>
    <mergeCell ref="C16:D16"/>
    <mergeCell ref="C9:D9"/>
    <mergeCell ref="E10:F10"/>
    <mergeCell ref="C10:D10"/>
    <mergeCell ref="C11:D11"/>
    <mergeCell ref="C12:D12"/>
    <mergeCell ref="C4:H4"/>
    <mergeCell ref="E5:F5"/>
    <mergeCell ref="C6:D6"/>
    <mergeCell ref="C7:D7"/>
    <mergeCell ref="C8:D8"/>
  </mergeCells>
  <conditionalFormatting sqref="G8:G28">
    <cfRule type="cellIs" dxfId="1" priority="1" operator="lessThan">
      <formula>0</formula>
    </cfRule>
  </conditionalFormatting>
  <pageMargins left="0.7" right="0.7" top="0.75" bottom="0.75" header="0" footer="0"/>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00"/>
  <sheetViews>
    <sheetView showGridLines="0" tabSelected="1" workbookViewId="0"/>
  </sheetViews>
  <sheetFormatPr defaultColWidth="12.625" defaultRowHeight="15" customHeight="1"/>
  <cols>
    <col min="1" max="2" width="3.125" customWidth="1"/>
    <col min="3" max="3" width="26.125" customWidth="1"/>
    <col min="4" max="4" width="14.875" customWidth="1"/>
    <col min="5" max="7" width="11" customWidth="1"/>
    <col min="8" max="8" width="9.375" customWidth="1"/>
    <col min="9" max="9" width="9.625" customWidth="1"/>
    <col min="10" max="12" width="9.375" customWidth="1"/>
    <col min="13" max="13" width="9.875" customWidth="1"/>
    <col min="14" max="14" width="8.125" customWidth="1"/>
    <col min="15" max="15" width="7.875" customWidth="1"/>
    <col min="16" max="16" width="8.125" customWidth="1"/>
    <col min="17" max="17" width="7.875" customWidth="1"/>
    <col min="18" max="18" width="8.125" customWidth="1"/>
    <col min="19" max="19" width="3.125" customWidth="1"/>
    <col min="20" max="20" width="7.875" customWidth="1"/>
    <col min="21" max="21" width="9.375" customWidth="1"/>
    <col min="22" max="22" width="8.5" customWidth="1"/>
    <col min="23" max="23" width="8.125" customWidth="1"/>
    <col min="24" max="24" width="7.875" customWidth="1"/>
    <col min="25" max="25" width="8.125" customWidth="1"/>
    <col min="26" max="26" width="7.875" customWidth="1"/>
    <col min="27" max="27" width="8.125" customWidth="1"/>
  </cols>
  <sheetData>
    <row r="1" spans="1:27">
      <c r="A1" s="92"/>
      <c r="B1" s="92"/>
      <c r="C1" s="9"/>
      <c r="D1" s="31"/>
      <c r="E1" s="1"/>
      <c r="F1" s="1"/>
      <c r="G1" s="1"/>
      <c r="H1" s="1"/>
      <c r="I1" s="1"/>
      <c r="J1" s="1"/>
      <c r="K1" s="1"/>
      <c r="L1" s="1"/>
      <c r="M1" s="1"/>
      <c r="N1" s="1"/>
      <c r="O1" s="1"/>
      <c r="P1" s="1"/>
      <c r="Q1" s="1"/>
      <c r="R1" s="1"/>
      <c r="S1" s="1"/>
      <c r="T1" s="1"/>
      <c r="U1" s="1"/>
      <c r="V1" s="1"/>
      <c r="W1" s="1"/>
      <c r="X1" s="1"/>
      <c r="Y1" s="1"/>
      <c r="Z1" s="1"/>
      <c r="AA1" s="1"/>
    </row>
    <row r="2" spans="1:27">
      <c r="A2" s="92"/>
      <c r="B2" s="93"/>
      <c r="C2" s="94"/>
      <c r="D2" s="33"/>
      <c r="E2" s="34"/>
      <c r="F2" s="34"/>
      <c r="G2" s="34"/>
      <c r="H2" s="34"/>
      <c r="I2" s="34"/>
      <c r="J2" s="34"/>
      <c r="K2" s="34"/>
      <c r="L2" s="34"/>
      <c r="M2" s="34"/>
      <c r="N2" s="34"/>
      <c r="O2" s="34"/>
      <c r="P2" s="34"/>
      <c r="Q2" s="34"/>
      <c r="R2" s="34"/>
      <c r="S2" s="35"/>
      <c r="T2" s="1"/>
      <c r="U2" s="1"/>
      <c r="V2" s="1"/>
      <c r="W2" s="1"/>
      <c r="X2" s="1"/>
      <c r="Y2" s="1"/>
      <c r="Z2" s="1"/>
      <c r="AA2" s="1"/>
    </row>
    <row r="3" spans="1:27" ht="46.5" customHeight="1">
      <c r="A3" s="92"/>
      <c r="B3" s="97"/>
      <c r="C3" s="98"/>
      <c r="K3" s="157"/>
      <c r="L3" s="157"/>
      <c r="M3" s="157"/>
      <c r="N3" s="157"/>
      <c r="O3" s="157"/>
      <c r="P3" s="157"/>
      <c r="Q3" s="157"/>
      <c r="R3" s="157"/>
      <c r="S3" s="39"/>
      <c r="T3" s="1"/>
      <c r="U3" s="1"/>
      <c r="V3" s="1"/>
      <c r="W3" s="1"/>
      <c r="X3" s="1"/>
      <c r="Y3" s="1"/>
      <c r="Z3" s="1"/>
      <c r="AA3" s="1"/>
    </row>
    <row r="4" spans="1:27" ht="31.5" customHeight="1">
      <c r="A4" s="1"/>
      <c r="B4" s="97"/>
      <c r="C4" s="276" t="s">
        <v>186</v>
      </c>
      <c r="D4" s="267"/>
      <c r="E4" s="267"/>
      <c r="F4" s="267"/>
      <c r="G4" s="267"/>
      <c r="H4" s="267"/>
      <c r="I4" s="267"/>
      <c r="J4" s="157"/>
      <c r="K4" s="157"/>
      <c r="L4" s="157"/>
      <c r="M4" s="157"/>
      <c r="N4" s="157"/>
      <c r="O4" s="157"/>
      <c r="P4" s="157"/>
      <c r="Q4" s="157"/>
      <c r="R4" s="157"/>
      <c r="S4" s="39"/>
      <c r="T4" s="1"/>
      <c r="U4" s="1"/>
      <c r="V4" s="1"/>
      <c r="W4" s="1"/>
      <c r="X4" s="1"/>
      <c r="Y4" s="1"/>
      <c r="Z4" s="1"/>
      <c r="AA4" s="1"/>
    </row>
    <row r="5" spans="1:27" ht="31.5" customHeight="1">
      <c r="A5" s="1"/>
      <c r="B5" s="36"/>
      <c r="C5" s="31"/>
      <c r="D5" s="31"/>
      <c r="E5" s="328"/>
      <c r="F5" s="267"/>
      <c r="G5" s="250"/>
      <c r="H5" s="250"/>
      <c r="I5" s="250"/>
      <c r="J5" s="250"/>
      <c r="K5" s="250"/>
      <c r="L5" s="250"/>
      <c r="M5" s="250"/>
      <c r="N5" s="250"/>
      <c r="O5" s="250"/>
      <c r="P5" s="250"/>
      <c r="Q5" s="250"/>
      <c r="R5" s="250"/>
      <c r="S5" s="251"/>
      <c r="T5" s="250"/>
      <c r="U5" s="250"/>
      <c r="V5" s="250"/>
      <c r="W5" s="250"/>
      <c r="X5" s="250"/>
      <c r="Y5" s="250"/>
      <c r="Z5" s="250"/>
      <c r="AA5" s="250"/>
    </row>
    <row r="6" spans="1:27" ht="31.5" customHeight="1">
      <c r="A6" s="1"/>
      <c r="B6" s="36"/>
      <c r="C6" s="308"/>
      <c r="D6" s="293"/>
      <c r="E6" s="228" t="s">
        <v>32</v>
      </c>
      <c r="F6" s="229" t="s">
        <v>33</v>
      </c>
      <c r="G6" s="230" t="s">
        <v>34</v>
      </c>
      <c r="H6" s="252"/>
      <c r="I6" s="252"/>
      <c r="J6" s="252"/>
      <c r="K6" s="252"/>
      <c r="L6" s="252"/>
      <c r="M6" s="253"/>
      <c r="N6" s="252"/>
      <c r="O6" s="252"/>
      <c r="P6" s="252"/>
      <c r="Q6" s="252"/>
      <c r="R6" s="252"/>
      <c r="S6" s="254"/>
      <c r="T6" s="252"/>
      <c r="U6" s="252"/>
      <c r="V6" s="253"/>
      <c r="W6" s="252"/>
      <c r="X6" s="252"/>
      <c r="Y6" s="252"/>
      <c r="Z6" s="252"/>
      <c r="AA6" s="252"/>
    </row>
    <row r="7" spans="1:27">
      <c r="A7" s="1"/>
      <c r="B7" s="36"/>
      <c r="C7" s="309" t="s">
        <v>187</v>
      </c>
      <c r="D7" s="286"/>
      <c r="E7" s="255"/>
      <c r="F7" s="256"/>
      <c r="G7" s="256"/>
      <c r="H7" s="257"/>
      <c r="I7" s="257"/>
      <c r="J7" s="257"/>
      <c r="K7" s="258"/>
      <c r="L7" s="258"/>
      <c r="M7" s="258"/>
      <c r="N7" s="257"/>
      <c r="O7" s="257"/>
      <c r="P7" s="257"/>
      <c r="Q7" s="257"/>
      <c r="R7" s="257"/>
      <c r="S7" s="259"/>
      <c r="T7" s="257"/>
      <c r="U7" s="257"/>
      <c r="V7" s="260"/>
      <c r="W7" s="257"/>
      <c r="X7" s="257"/>
      <c r="Y7" s="257"/>
      <c r="Z7" s="257"/>
      <c r="AA7" s="257"/>
    </row>
    <row r="8" spans="1:27" ht="14.25">
      <c r="A8" s="1"/>
      <c r="B8" s="36"/>
      <c r="C8" s="300" t="s">
        <v>188</v>
      </c>
      <c r="D8" s="267"/>
      <c r="E8" s="76">
        <v>100</v>
      </c>
      <c r="F8" s="77">
        <v>100</v>
      </c>
      <c r="G8" s="77">
        <f t="shared" ref="G8:G12" si="0">E8-F8</f>
        <v>0</v>
      </c>
      <c r="H8" s="260"/>
      <c r="I8" s="260"/>
      <c r="J8" s="260"/>
      <c r="K8" s="260"/>
      <c r="L8" s="260"/>
      <c r="M8" s="260"/>
      <c r="N8" s="260"/>
      <c r="O8" s="260"/>
      <c r="P8" s="260"/>
      <c r="Q8" s="260"/>
      <c r="R8" s="260"/>
      <c r="S8" s="261"/>
      <c r="T8" s="260"/>
      <c r="U8" s="260"/>
      <c r="V8" s="260"/>
      <c r="W8" s="260"/>
      <c r="X8" s="260"/>
      <c r="Y8" s="260"/>
      <c r="Z8" s="260"/>
      <c r="AA8" s="260"/>
    </row>
    <row r="9" spans="1:27" ht="14.25">
      <c r="A9" s="1"/>
      <c r="B9" s="36"/>
      <c r="C9" s="300" t="s">
        <v>189</v>
      </c>
      <c r="D9" s="267"/>
      <c r="E9" s="76">
        <v>100</v>
      </c>
      <c r="F9" s="77">
        <v>100</v>
      </c>
      <c r="G9" s="77">
        <f t="shared" si="0"/>
        <v>0</v>
      </c>
      <c r="H9" s="260"/>
      <c r="I9" s="260"/>
      <c r="J9" s="260"/>
      <c r="K9" s="260"/>
      <c r="L9" s="260"/>
      <c r="M9" s="260"/>
      <c r="N9" s="260"/>
      <c r="O9" s="260"/>
      <c r="P9" s="260"/>
      <c r="Q9" s="260"/>
      <c r="R9" s="260"/>
      <c r="S9" s="261"/>
      <c r="T9" s="260"/>
      <c r="U9" s="260"/>
      <c r="V9" s="260"/>
      <c r="W9" s="260"/>
      <c r="X9" s="260"/>
      <c r="Y9" s="260"/>
      <c r="Z9" s="260"/>
      <c r="AA9" s="260"/>
    </row>
    <row r="10" spans="1:27" ht="14.25">
      <c r="A10" s="1"/>
      <c r="B10" s="36"/>
      <c r="C10" s="300" t="s">
        <v>190</v>
      </c>
      <c r="D10" s="267"/>
      <c r="E10" s="76">
        <v>100</v>
      </c>
      <c r="F10" s="77">
        <v>100</v>
      </c>
      <c r="G10" s="77">
        <f t="shared" si="0"/>
        <v>0</v>
      </c>
      <c r="H10" s="260"/>
      <c r="I10" s="260"/>
      <c r="J10" s="260"/>
      <c r="K10" s="260"/>
      <c r="L10" s="260"/>
      <c r="M10" s="260"/>
      <c r="N10" s="260"/>
      <c r="O10" s="260"/>
      <c r="P10" s="260"/>
      <c r="Q10" s="260"/>
      <c r="R10" s="260"/>
      <c r="S10" s="261"/>
      <c r="T10" s="260"/>
      <c r="U10" s="260"/>
      <c r="V10" s="260"/>
      <c r="W10" s="260"/>
      <c r="X10" s="260"/>
      <c r="Y10" s="260"/>
      <c r="Z10" s="260"/>
      <c r="AA10" s="260"/>
    </row>
    <row r="11" spans="1:27" ht="14.25">
      <c r="A11" s="1"/>
      <c r="B11" s="36"/>
      <c r="C11" s="300" t="s">
        <v>191</v>
      </c>
      <c r="D11" s="267"/>
      <c r="E11" s="76">
        <v>100</v>
      </c>
      <c r="F11" s="77">
        <v>100</v>
      </c>
      <c r="G11" s="77">
        <f t="shared" si="0"/>
        <v>0</v>
      </c>
      <c r="H11" s="260"/>
      <c r="I11" s="260"/>
      <c r="J11" s="260"/>
      <c r="K11" s="260"/>
      <c r="L11" s="260"/>
      <c r="M11" s="260"/>
      <c r="N11" s="260"/>
      <c r="O11" s="260"/>
      <c r="P11" s="260"/>
      <c r="Q11" s="260"/>
      <c r="R11" s="260"/>
      <c r="S11" s="261"/>
      <c r="T11" s="260"/>
      <c r="U11" s="260"/>
      <c r="V11" s="260"/>
      <c r="W11" s="260"/>
      <c r="X11" s="260"/>
      <c r="Y11" s="260"/>
      <c r="Z11" s="260"/>
      <c r="AA11" s="260"/>
    </row>
    <row r="12" spans="1:27" ht="14.25">
      <c r="A12" s="1"/>
      <c r="B12" s="36"/>
      <c r="C12" s="300" t="s">
        <v>192</v>
      </c>
      <c r="D12" s="267"/>
      <c r="E12" s="76">
        <v>100</v>
      </c>
      <c r="F12" s="77">
        <v>100</v>
      </c>
      <c r="G12" s="77">
        <f t="shared" si="0"/>
        <v>0</v>
      </c>
      <c r="H12" s="260"/>
      <c r="I12" s="260"/>
      <c r="J12" s="260"/>
      <c r="K12" s="260"/>
      <c r="L12" s="260"/>
      <c r="M12" s="260"/>
      <c r="N12" s="260"/>
      <c r="O12" s="260"/>
      <c r="P12" s="260"/>
      <c r="Q12" s="260"/>
      <c r="R12" s="260"/>
      <c r="S12" s="261"/>
      <c r="T12" s="260"/>
      <c r="U12" s="260"/>
      <c r="V12" s="260"/>
      <c r="W12" s="260"/>
      <c r="X12" s="260"/>
      <c r="Y12" s="260"/>
      <c r="Z12" s="260"/>
      <c r="AA12" s="260"/>
    </row>
    <row r="13" spans="1:27">
      <c r="A13" s="1"/>
      <c r="B13" s="36"/>
      <c r="C13" s="301" t="s">
        <v>193</v>
      </c>
      <c r="D13" s="265"/>
      <c r="E13" s="323"/>
      <c r="F13" s="265"/>
      <c r="G13" s="244"/>
      <c r="H13" s="260"/>
      <c r="I13" s="260"/>
      <c r="J13" s="260"/>
      <c r="K13" s="260"/>
      <c r="L13" s="260"/>
      <c r="M13" s="260"/>
      <c r="N13" s="260"/>
      <c r="O13" s="260"/>
      <c r="P13" s="260"/>
      <c r="Q13" s="260"/>
      <c r="R13" s="260"/>
      <c r="S13" s="261"/>
      <c r="T13" s="260"/>
      <c r="U13" s="260"/>
      <c r="V13" s="260"/>
      <c r="W13" s="260"/>
      <c r="X13" s="260"/>
      <c r="Y13" s="260"/>
      <c r="Z13" s="260"/>
      <c r="AA13" s="260"/>
    </row>
    <row r="14" spans="1:27" ht="14.25">
      <c r="A14" s="1"/>
      <c r="B14" s="36"/>
      <c r="C14" s="300" t="s">
        <v>194</v>
      </c>
      <c r="D14" s="267"/>
      <c r="E14" s="76">
        <v>100</v>
      </c>
      <c r="F14" s="77">
        <v>100</v>
      </c>
      <c r="G14" s="77">
        <f t="shared" ref="G14:G16" si="1">E14-F14</f>
        <v>0</v>
      </c>
      <c r="H14" s="260"/>
      <c r="I14" s="260"/>
      <c r="J14" s="260"/>
      <c r="K14" s="260"/>
      <c r="L14" s="260"/>
      <c r="M14" s="260"/>
      <c r="N14" s="260"/>
      <c r="O14" s="260"/>
      <c r="P14" s="260"/>
      <c r="Q14" s="260"/>
      <c r="R14" s="260"/>
      <c r="S14" s="261"/>
      <c r="T14" s="260"/>
      <c r="U14" s="260"/>
      <c r="V14" s="260"/>
      <c r="W14" s="260"/>
      <c r="X14" s="260"/>
      <c r="Y14" s="260"/>
      <c r="Z14" s="260"/>
      <c r="AA14" s="260"/>
    </row>
    <row r="15" spans="1:27" ht="14.25">
      <c r="A15" s="1"/>
      <c r="B15" s="36"/>
      <c r="C15" s="300" t="s">
        <v>195</v>
      </c>
      <c r="D15" s="267"/>
      <c r="E15" s="76">
        <v>100</v>
      </c>
      <c r="F15" s="77">
        <v>100</v>
      </c>
      <c r="G15" s="77">
        <f t="shared" si="1"/>
        <v>0</v>
      </c>
      <c r="H15" s="260"/>
      <c r="I15" s="260"/>
      <c r="J15" s="260"/>
      <c r="K15" s="260"/>
      <c r="L15" s="260"/>
      <c r="M15" s="260"/>
      <c r="N15" s="260"/>
      <c r="O15" s="260"/>
      <c r="P15" s="260"/>
      <c r="Q15" s="260"/>
      <c r="R15" s="260"/>
      <c r="S15" s="261"/>
      <c r="T15" s="260"/>
      <c r="U15" s="260"/>
      <c r="V15" s="260"/>
      <c r="W15" s="260"/>
      <c r="X15" s="260"/>
      <c r="Y15" s="260"/>
      <c r="Z15" s="260"/>
      <c r="AA15" s="260"/>
    </row>
    <row r="16" spans="1:27" ht="14.25">
      <c r="A16" s="1"/>
      <c r="B16" s="36"/>
      <c r="C16" s="300" t="s">
        <v>196</v>
      </c>
      <c r="D16" s="267"/>
      <c r="E16" s="76">
        <v>100</v>
      </c>
      <c r="F16" s="77">
        <v>100</v>
      </c>
      <c r="G16" s="77">
        <f t="shared" si="1"/>
        <v>0</v>
      </c>
      <c r="H16" s="260"/>
      <c r="I16" s="260"/>
      <c r="J16" s="260"/>
      <c r="K16" s="260"/>
      <c r="L16" s="260"/>
      <c r="M16" s="260"/>
      <c r="N16" s="260"/>
      <c r="O16" s="260"/>
      <c r="P16" s="260"/>
      <c r="Q16" s="260"/>
      <c r="R16" s="260"/>
      <c r="S16" s="261"/>
      <c r="T16" s="260"/>
      <c r="U16" s="260"/>
      <c r="V16" s="260"/>
      <c r="W16" s="260"/>
      <c r="X16" s="260"/>
      <c r="Y16" s="260"/>
      <c r="Z16" s="260"/>
      <c r="AA16" s="260"/>
    </row>
    <row r="17" spans="1:27">
      <c r="A17" s="1"/>
      <c r="B17" s="36"/>
      <c r="C17" s="310" t="s">
        <v>197</v>
      </c>
      <c r="D17" s="265"/>
      <c r="E17" s="324"/>
      <c r="F17" s="265"/>
      <c r="G17" s="245"/>
      <c r="H17" s="260"/>
      <c r="I17" s="260"/>
      <c r="J17" s="260"/>
      <c r="K17" s="260"/>
      <c r="L17" s="260"/>
      <c r="M17" s="260"/>
      <c r="N17" s="260"/>
      <c r="O17" s="260"/>
      <c r="P17" s="260"/>
      <c r="Q17" s="260"/>
      <c r="R17" s="260"/>
      <c r="S17" s="261"/>
      <c r="T17" s="260"/>
      <c r="U17" s="260"/>
      <c r="V17" s="260"/>
      <c r="W17" s="260"/>
      <c r="X17" s="260"/>
      <c r="Y17" s="260"/>
      <c r="Z17" s="260"/>
      <c r="AA17" s="260"/>
    </row>
    <row r="18" spans="1:27" ht="14.25">
      <c r="A18" s="1"/>
      <c r="B18" s="36"/>
      <c r="C18" s="300" t="s">
        <v>198</v>
      </c>
      <c r="D18" s="267"/>
      <c r="E18" s="76">
        <v>100</v>
      </c>
      <c r="F18" s="77">
        <v>100</v>
      </c>
      <c r="G18" s="77">
        <f t="shared" ref="G18:G21" si="2">E18-F18</f>
        <v>0</v>
      </c>
      <c r="H18" s="260"/>
      <c r="I18" s="260"/>
      <c r="J18" s="260"/>
      <c r="K18" s="260"/>
      <c r="L18" s="260"/>
      <c r="M18" s="260"/>
      <c r="N18" s="260"/>
      <c r="O18" s="260"/>
      <c r="P18" s="260"/>
      <c r="Q18" s="260"/>
      <c r="R18" s="260"/>
      <c r="S18" s="261"/>
      <c r="T18" s="260"/>
      <c r="U18" s="260"/>
      <c r="V18" s="260"/>
      <c r="W18" s="260"/>
      <c r="X18" s="260"/>
      <c r="Y18" s="260"/>
      <c r="Z18" s="260"/>
      <c r="AA18" s="260"/>
    </row>
    <row r="19" spans="1:27" ht="14.25">
      <c r="A19" s="1"/>
      <c r="B19" s="36"/>
      <c r="C19" s="300" t="s">
        <v>199</v>
      </c>
      <c r="D19" s="267"/>
      <c r="E19" s="76">
        <v>100</v>
      </c>
      <c r="F19" s="77">
        <v>100</v>
      </c>
      <c r="G19" s="77">
        <f t="shared" si="2"/>
        <v>0</v>
      </c>
      <c r="H19" s="260"/>
      <c r="I19" s="260"/>
      <c r="J19" s="260"/>
      <c r="K19" s="260"/>
      <c r="L19" s="260"/>
      <c r="M19" s="260"/>
      <c r="N19" s="260"/>
      <c r="O19" s="260"/>
      <c r="P19" s="260"/>
      <c r="Q19" s="260"/>
      <c r="R19" s="260"/>
      <c r="S19" s="261"/>
      <c r="T19" s="260"/>
      <c r="U19" s="260"/>
      <c r="V19" s="260"/>
      <c r="W19" s="260"/>
      <c r="X19" s="260"/>
      <c r="Y19" s="260"/>
      <c r="Z19" s="260"/>
      <c r="AA19" s="260"/>
    </row>
    <row r="20" spans="1:27" ht="14.25">
      <c r="A20" s="1"/>
      <c r="B20" s="36"/>
      <c r="C20" s="300" t="s">
        <v>200</v>
      </c>
      <c r="D20" s="267"/>
      <c r="E20" s="76">
        <v>100</v>
      </c>
      <c r="F20" s="77">
        <v>100</v>
      </c>
      <c r="G20" s="77">
        <f t="shared" si="2"/>
        <v>0</v>
      </c>
      <c r="H20" s="260"/>
      <c r="I20" s="260"/>
      <c r="J20" s="260"/>
      <c r="K20" s="260"/>
      <c r="L20" s="260"/>
      <c r="M20" s="260"/>
      <c r="N20" s="260"/>
      <c r="O20" s="260"/>
      <c r="P20" s="260"/>
      <c r="Q20" s="260"/>
      <c r="R20" s="260"/>
      <c r="S20" s="261"/>
      <c r="T20" s="260"/>
      <c r="U20" s="260"/>
      <c r="V20" s="260"/>
      <c r="W20" s="260"/>
      <c r="X20" s="260"/>
      <c r="Y20" s="260"/>
      <c r="Z20" s="260"/>
      <c r="AA20" s="260"/>
    </row>
    <row r="21" spans="1:27" ht="15.75" customHeight="1">
      <c r="A21" s="1"/>
      <c r="B21" s="36"/>
      <c r="C21" s="300" t="s">
        <v>201</v>
      </c>
      <c r="D21" s="267"/>
      <c r="E21" s="76">
        <v>100</v>
      </c>
      <c r="F21" s="77">
        <v>100</v>
      </c>
      <c r="G21" s="77">
        <f t="shared" si="2"/>
        <v>0</v>
      </c>
      <c r="H21" s="260"/>
      <c r="I21" s="260"/>
      <c r="J21" s="260"/>
      <c r="K21" s="260"/>
      <c r="L21" s="260"/>
      <c r="M21" s="260"/>
      <c r="N21" s="260"/>
      <c r="O21" s="260"/>
      <c r="P21" s="260"/>
      <c r="Q21" s="260"/>
      <c r="R21" s="260"/>
      <c r="S21" s="261"/>
      <c r="T21" s="260"/>
      <c r="U21" s="260"/>
      <c r="V21" s="260"/>
      <c r="W21" s="260"/>
      <c r="X21" s="260"/>
      <c r="Y21" s="260"/>
      <c r="Z21" s="260"/>
      <c r="AA21" s="260"/>
    </row>
    <row r="22" spans="1:27" ht="15.75" customHeight="1">
      <c r="A22" s="1"/>
      <c r="B22" s="36"/>
      <c r="C22" s="311" t="s">
        <v>202</v>
      </c>
      <c r="D22" s="265"/>
      <c r="E22" s="325"/>
      <c r="F22" s="265"/>
      <c r="G22" s="246"/>
      <c r="H22" s="260"/>
      <c r="I22" s="260"/>
      <c r="J22" s="260"/>
      <c r="K22" s="260"/>
      <c r="L22" s="260"/>
      <c r="M22" s="260"/>
      <c r="N22" s="260"/>
      <c r="O22" s="260"/>
      <c r="P22" s="260"/>
      <c r="Q22" s="260"/>
      <c r="R22" s="260"/>
      <c r="S22" s="261"/>
      <c r="T22" s="260"/>
      <c r="U22" s="260"/>
      <c r="V22" s="260"/>
      <c r="W22" s="260"/>
      <c r="X22" s="260"/>
      <c r="Y22" s="260"/>
      <c r="Z22" s="260"/>
      <c r="AA22" s="260"/>
    </row>
    <row r="23" spans="1:27" ht="15.75" customHeight="1">
      <c r="A23" s="1"/>
      <c r="B23" s="36"/>
      <c r="C23" s="300" t="s">
        <v>203</v>
      </c>
      <c r="D23" s="267"/>
      <c r="E23" s="76">
        <v>100</v>
      </c>
      <c r="F23" s="77">
        <v>100</v>
      </c>
      <c r="G23" s="77">
        <f t="shared" ref="G23:G25" si="3">E23-F23</f>
        <v>0</v>
      </c>
      <c r="H23" s="260"/>
      <c r="I23" s="260"/>
      <c r="J23" s="260"/>
      <c r="K23" s="260"/>
      <c r="L23" s="260"/>
      <c r="M23" s="260"/>
      <c r="N23" s="260"/>
      <c r="O23" s="260"/>
      <c r="P23" s="260"/>
      <c r="Q23" s="260"/>
      <c r="R23" s="260"/>
      <c r="S23" s="261"/>
      <c r="T23" s="260"/>
      <c r="U23" s="260"/>
      <c r="V23" s="260"/>
      <c r="W23" s="260"/>
      <c r="X23" s="260"/>
      <c r="Y23" s="260"/>
      <c r="Z23" s="260"/>
      <c r="AA23" s="260"/>
    </row>
    <row r="24" spans="1:27" ht="15.75" customHeight="1">
      <c r="A24" s="1"/>
      <c r="B24" s="36"/>
      <c r="C24" s="300" t="s">
        <v>204</v>
      </c>
      <c r="D24" s="267"/>
      <c r="E24" s="76">
        <v>100</v>
      </c>
      <c r="F24" s="77">
        <v>100</v>
      </c>
      <c r="G24" s="77">
        <f t="shared" si="3"/>
        <v>0</v>
      </c>
      <c r="H24" s="260"/>
      <c r="I24" s="260"/>
      <c r="J24" s="260"/>
      <c r="K24" s="260"/>
      <c r="L24" s="260"/>
      <c r="M24" s="260"/>
      <c r="N24" s="260"/>
      <c r="O24" s="260"/>
      <c r="P24" s="260"/>
      <c r="Q24" s="260"/>
      <c r="R24" s="260"/>
      <c r="S24" s="261"/>
      <c r="T24" s="260"/>
      <c r="U24" s="260"/>
      <c r="V24" s="260"/>
      <c r="W24" s="260"/>
      <c r="X24" s="260"/>
      <c r="Y24" s="260"/>
      <c r="Z24" s="260"/>
      <c r="AA24" s="260"/>
    </row>
    <row r="25" spans="1:27" ht="15.75" customHeight="1">
      <c r="A25" s="1"/>
      <c r="B25" s="36"/>
      <c r="C25" s="300" t="s">
        <v>205</v>
      </c>
      <c r="D25" s="267"/>
      <c r="E25" s="76">
        <v>100</v>
      </c>
      <c r="F25" s="77">
        <v>100</v>
      </c>
      <c r="G25" s="77">
        <f t="shared" si="3"/>
        <v>0</v>
      </c>
      <c r="H25" s="260"/>
      <c r="I25" s="260"/>
      <c r="J25" s="260"/>
      <c r="K25" s="260"/>
      <c r="L25" s="260"/>
      <c r="M25" s="260"/>
      <c r="N25" s="260"/>
      <c r="O25" s="260"/>
      <c r="P25" s="260"/>
      <c r="Q25" s="260"/>
      <c r="R25" s="260"/>
      <c r="S25" s="261"/>
      <c r="T25" s="260"/>
      <c r="U25" s="260"/>
      <c r="V25" s="260"/>
      <c r="W25" s="260"/>
      <c r="X25" s="260"/>
      <c r="Y25" s="260"/>
      <c r="Z25" s="260"/>
      <c r="AA25" s="260"/>
    </row>
    <row r="26" spans="1:27" ht="15.75" customHeight="1">
      <c r="A26" s="1"/>
      <c r="B26" s="36"/>
      <c r="C26" s="315" t="s">
        <v>157</v>
      </c>
      <c r="D26" s="265"/>
      <c r="E26" s="326"/>
      <c r="F26" s="265"/>
      <c r="G26" s="247"/>
      <c r="H26" s="260"/>
      <c r="I26" s="260"/>
      <c r="J26" s="260"/>
      <c r="K26" s="260"/>
      <c r="L26" s="260"/>
      <c r="M26" s="260"/>
      <c r="N26" s="260"/>
      <c r="O26" s="260"/>
      <c r="P26" s="260"/>
      <c r="Q26" s="260"/>
      <c r="R26" s="260"/>
      <c r="S26" s="261"/>
      <c r="T26" s="260"/>
      <c r="U26" s="260"/>
      <c r="V26" s="260"/>
      <c r="W26" s="260"/>
      <c r="X26" s="260"/>
      <c r="Y26" s="260"/>
      <c r="Z26" s="260"/>
      <c r="AA26" s="260"/>
    </row>
    <row r="27" spans="1:27" ht="15.75" customHeight="1">
      <c r="A27" s="1"/>
      <c r="B27" s="36"/>
      <c r="C27" s="300" t="s">
        <v>206</v>
      </c>
      <c r="D27" s="267"/>
      <c r="E27" s="76">
        <v>100</v>
      </c>
      <c r="F27" s="77">
        <v>100</v>
      </c>
      <c r="G27" s="77">
        <f t="shared" ref="G27:G31" si="4">E27-F27</f>
        <v>0</v>
      </c>
      <c r="H27" s="260"/>
      <c r="I27" s="260"/>
      <c r="J27" s="260"/>
      <c r="K27" s="260"/>
      <c r="L27" s="260"/>
      <c r="M27" s="260"/>
      <c r="N27" s="260"/>
      <c r="O27" s="260"/>
      <c r="P27" s="260"/>
      <c r="Q27" s="260"/>
      <c r="R27" s="260"/>
      <c r="S27" s="261"/>
      <c r="T27" s="260"/>
      <c r="U27" s="260"/>
      <c r="V27" s="260"/>
      <c r="W27" s="260"/>
      <c r="X27" s="260"/>
      <c r="Y27" s="260"/>
      <c r="Z27" s="260"/>
      <c r="AA27" s="260"/>
    </row>
    <row r="28" spans="1:27" ht="15.75" customHeight="1">
      <c r="A28" s="1"/>
      <c r="B28" s="36"/>
      <c r="C28" s="300" t="s">
        <v>207</v>
      </c>
      <c r="D28" s="267"/>
      <c r="E28" s="76">
        <v>100</v>
      </c>
      <c r="F28" s="77">
        <v>100</v>
      </c>
      <c r="G28" s="77">
        <f t="shared" si="4"/>
        <v>0</v>
      </c>
      <c r="H28" s="260"/>
      <c r="I28" s="260"/>
      <c r="J28" s="260"/>
      <c r="K28" s="260"/>
      <c r="L28" s="260"/>
      <c r="M28" s="260"/>
      <c r="N28" s="260"/>
      <c r="O28" s="260"/>
      <c r="P28" s="260"/>
      <c r="Q28" s="260"/>
      <c r="R28" s="260"/>
      <c r="S28" s="261"/>
      <c r="T28" s="260"/>
      <c r="U28" s="260"/>
      <c r="V28" s="260"/>
      <c r="W28" s="260"/>
      <c r="X28" s="260"/>
      <c r="Y28" s="260"/>
      <c r="Z28" s="260"/>
      <c r="AA28" s="260"/>
    </row>
    <row r="29" spans="1:27" ht="15.75" customHeight="1">
      <c r="A29" s="1"/>
      <c r="B29" s="36"/>
      <c r="C29" s="300" t="s">
        <v>208</v>
      </c>
      <c r="D29" s="267"/>
      <c r="E29" s="76">
        <v>100</v>
      </c>
      <c r="F29" s="77">
        <v>100</v>
      </c>
      <c r="G29" s="77">
        <f t="shared" si="4"/>
        <v>0</v>
      </c>
      <c r="H29" s="260"/>
      <c r="I29" s="260"/>
      <c r="J29" s="260"/>
      <c r="K29" s="260"/>
      <c r="L29" s="260"/>
      <c r="M29" s="260"/>
      <c r="N29" s="260"/>
      <c r="O29" s="260"/>
      <c r="P29" s="260"/>
      <c r="Q29" s="260"/>
      <c r="R29" s="260"/>
      <c r="S29" s="261"/>
      <c r="T29" s="260"/>
      <c r="U29" s="260"/>
      <c r="V29" s="260"/>
      <c r="W29" s="260"/>
      <c r="X29" s="260"/>
      <c r="Y29" s="260"/>
      <c r="Z29" s="260"/>
      <c r="AA29" s="260"/>
    </row>
    <row r="30" spans="1:27" ht="15.75" customHeight="1">
      <c r="A30" s="1"/>
      <c r="B30" s="36"/>
      <c r="C30" s="300" t="s">
        <v>209</v>
      </c>
      <c r="D30" s="267"/>
      <c r="E30" s="76">
        <v>100</v>
      </c>
      <c r="F30" s="77">
        <v>100</v>
      </c>
      <c r="G30" s="77">
        <f t="shared" si="4"/>
        <v>0</v>
      </c>
      <c r="H30" s="260"/>
      <c r="I30" s="260"/>
      <c r="J30" s="260"/>
      <c r="K30" s="260"/>
      <c r="L30" s="260"/>
      <c r="M30" s="260"/>
      <c r="N30" s="260"/>
      <c r="O30" s="260"/>
      <c r="P30" s="260"/>
      <c r="Q30" s="260"/>
      <c r="R30" s="260"/>
      <c r="S30" s="261"/>
      <c r="T30" s="260"/>
      <c r="U30" s="260"/>
      <c r="V30" s="260"/>
      <c r="W30" s="260"/>
      <c r="X30" s="260"/>
      <c r="Y30" s="260"/>
      <c r="Z30" s="260"/>
      <c r="AA30" s="260"/>
    </row>
    <row r="31" spans="1:27" ht="15.75" customHeight="1">
      <c r="A31" s="1"/>
      <c r="B31" s="36"/>
      <c r="C31" s="306" t="s">
        <v>196</v>
      </c>
      <c r="D31" s="307"/>
      <c r="E31" s="80">
        <v>100</v>
      </c>
      <c r="F31" s="81">
        <v>100</v>
      </c>
      <c r="G31" s="81">
        <f t="shared" si="4"/>
        <v>0</v>
      </c>
      <c r="H31" s="260"/>
      <c r="I31" s="260"/>
      <c r="J31" s="260"/>
      <c r="K31" s="260"/>
      <c r="L31" s="260"/>
      <c r="M31" s="260"/>
      <c r="N31" s="260"/>
      <c r="O31" s="260"/>
      <c r="P31" s="260"/>
      <c r="Q31" s="260"/>
      <c r="R31" s="260"/>
      <c r="S31" s="261"/>
      <c r="T31" s="260"/>
      <c r="U31" s="260"/>
      <c r="V31" s="260"/>
      <c r="W31" s="260"/>
      <c r="X31" s="260"/>
      <c r="Y31" s="260"/>
      <c r="Z31" s="260"/>
      <c r="AA31" s="260"/>
    </row>
    <row r="32" spans="1:27" ht="15.75" customHeight="1">
      <c r="A32" s="1"/>
      <c r="B32" s="36"/>
      <c r="C32" s="292" t="s">
        <v>42</v>
      </c>
      <c r="D32" s="296"/>
      <c r="E32" s="146">
        <f t="shared" ref="E32:G32" si="5">SUM(E8:E12,E14:E16,E18:E21,E23:E25,E27:E31)</f>
        <v>2000</v>
      </c>
      <c r="F32" s="147">
        <f t="shared" si="5"/>
        <v>2000</v>
      </c>
      <c r="G32" s="147">
        <f t="shared" si="5"/>
        <v>0</v>
      </c>
      <c r="H32" s="262"/>
      <c r="I32" s="262"/>
      <c r="J32" s="262"/>
      <c r="K32" s="262"/>
      <c r="L32" s="262"/>
      <c r="M32" s="262"/>
      <c r="N32" s="262"/>
      <c r="O32" s="262"/>
      <c r="P32" s="262"/>
      <c r="Q32" s="262"/>
      <c r="R32" s="262"/>
      <c r="S32" s="263"/>
      <c r="T32" s="262"/>
      <c r="U32" s="262"/>
      <c r="V32" s="262"/>
      <c r="W32" s="262"/>
      <c r="X32" s="262"/>
      <c r="Y32" s="262"/>
      <c r="Z32" s="262"/>
      <c r="AA32" s="262"/>
    </row>
    <row r="33" spans="1:27" ht="31.5" customHeight="1">
      <c r="A33" s="1"/>
      <c r="B33" s="36"/>
      <c r="C33" s="31"/>
      <c r="D33" s="31"/>
      <c r="E33" s="1"/>
      <c r="F33" s="1"/>
      <c r="G33" s="1"/>
      <c r="H33" s="1"/>
      <c r="I33" s="1"/>
      <c r="J33" s="1"/>
      <c r="K33" s="1"/>
      <c r="L33" s="1"/>
      <c r="M33" s="1"/>
      <c r="N33" s="1"/>
      <c r="O33" s="1"/>
      <c r="P33" s="1"/>
      <c r="Q33" s="1"/>
      <c r="R33" s="1"/>
      <c r="S33" s="39"/>
      <c r="T33" s="1"/>
      <c r="U33" s="1"/>
      <c r="V33" s="1"/>
      <c r="W33" s="1"/>
      <c r="X33" s="1"/>
      <c r="Y33" s="1"/>
      <c r="Z33" s="1"/>
      <c r="AA33" s="1"/>
    </row>
    <row r="34" spans="1:27" ht="37.5" customHeight="1">
      <c r="A34" s="1"/>
      <c r="B34" s="36"/>
      <c r="C34" s="297" t="s">
        <v>43</v>
      </c>
      <c r="D34" s="293"/>
      <c r="E34" s="228" t="s">
        <v>32</v>
      </c>
      <c r="F34" s="229" t="s">
        <v>33</v>
      </c>
      <c r="G34" s="230" t="s">
        <v>34</v>
      </c>
      <c r="H34" s="1"/>
      <c r="I34" s="1"/>
      <c r="J34" s="1"/>
      <c r="K34" s="1"/>
      <c r="L34" s="1"/>
      <c r="M34" s="1"/>
      <c r="N34" s="1"/>
      <c r="O34" s="1"/>
      <c r="P34" s="1"/>
      <c r="Q34" s="1"/>
      <c r="R34" s="1"/>
      <c r="S34" s="39"/>
      <c r="T34" s="1"/>
      <c r="U34" s="1"/>
      <c r="V34" s="1"/>
      <c r="W34" s="1"/>
      <c r="X34" s="1"/>
      <c r="Y34" s="1"/>
      <c r="Z34" s="1"/>
      <c r="AA34" s="1"/>
    </row>
    <row r="35" spans="1:27" ht="15" customHeight="1">
      <c r="A35" s="1"/>
      <c r="B35" s="36"/>
      <c r="C35" s="309" t="s">
        <v>187</v>
      </c>
      <c r="D35" s="286"/>
      <c r="E35" s="210">
        <f t="shared" ref="E35:F35" si="6">SUM(E8:E12)</f>
        <v>500</v>
      </c>
      <c r="F35" s="211">
        <f t="shared" si="6"/>
        <v>500</v>
      </c>
      <c r="G35" s="211">
        <f t="shared" ref="G35:G40" si="7">E35-F35</f>
        <v>0</v>
      </c>
      <c r="H35" s="1"/>
      <c r="I35" s="1"/>
      <c r="J35" s="1"/>
      <c r="K35" s="1"/>
      <c r="L35" s="1"/>
      <c r="M35" s="1"/>
      <c r="N35" s="1"/>
      <c r="O35" s="1"/>
      <c r="P35" s="1"/>
      <c r="Q35" s="1"/>
      <c r="R35" s="1"/>
      <c r="S35" s="39"/>
      <c r="T35" s="1"/>
      <c r="U35" s="1"/>
      <c r="V35" s="1"/>
      <c r="W35" s="1"/>
      <c r="X35" s="1"/>
      <c r="Y35" s="1"/>
      <c r="Z35" s="1"/>
      <c r="AA35" s="1"/>
    </row>
    <row r="36" spans="1:27" ht="15" customHeight="1">
      <c r="A36" s="1"/>
      <c r="B36" s="36"/>
      <c r="C36" s="301" t="s">
        <v>193</v>
      </c>
      <c r="D36" s="265"/>
      <c r="E36" s="76">
        <f t="shared" ref="E36:F36" si="8">SUM(E14:E16)</f>
        <v>300</v>
      </c>
      <c r="F36" s="77">
        <f t="shared" si="8"/>
        <v>300</v>
      </c>
      <c r="G36" s="77">
        <f t="shared" si="7"/>
        <v>0</v>
      </c>
      <c r="H36" s="1"/>
      <c r="I36" s="1"/>
      <c r="J36" s="1"/>
      <c r="K36" s="1"/>
      <c r="L36" s="1"/>
      <c r="M36" s="1"/>
      <c r="N36" s="1"/>
      <c r="O36" s="1"/>
      <c r="P36" s="1"/>
      <c r="Q36" s="1"/>
      <c r="R36" s="1"/>
      <c r="S36" s="39"/>
      <c r="T36" s="1"/>
      <c r="U36" s="1"/>
      <c r="V36" s="1"/>
      <c r="W36" s="1"/>
      <c r="X36" s="1"/>
      <c r="Y36" s="1"/>
      <c r="Z36" s="1"/>
      <c r="AA36" s="1"/>
    </row>
    <row r="37" spans="1:27" ht="15" customHeight="1">
      <c r="A37" s="1"/>
      <c r="B37" s="36"/>
      <c r="C37" s="310" t="s">
        <v>197</v>
      </c>
      <c r="D37" s="265"/>
      <c r="E37" s="76">
        <f t="shared" ref="E37:F37" si="9">SUM(E18:E21)</f>
        <v>400</v>
      </c>
      <c r="F37" s="77">
        <f t="shared" si="9"/>
        <v>400</v>
      </c>
      <c r="G37" s="77">
        <f t="shared" si="7"/>
        <v>0</v>
      </c>
      <c r="H37" s="1"/>
      <c r="I37" s="1"/>
      <c r="J37" s="1"/>
      <c r="K37" s="1"/>
      <c r="L37" s="1"/>
      <c r="M37" s="1"/>
      <c r="N37" s="1"/>
      <c r="O37" s="1"/>
      <c r="P37" s="1"/>
      <c r="Q37" s="1"/>
      <c r="R37" s="1"/>
      <c r="S37" s="39"/>
      <c r="T37" s="1"/>
      <c r="U37" s="1"/>
      <c r="V37" s="1"/>
      <c r="W37" s="1"/>
      <c r="X37" s="1"/>
      <c r="Y37" s="1"/>
      <c r="Z37" s="1"/>
      <c r="AA37" s="1"/>
    </row>
    <row r="38" spans="1:27" ht="15" customHeight="1">
      <c r="A38" s="1"/>
      <c r="B38" s="36"/>
      <c r="C38" s="311" t="s">
        <v>202</v>
      </c>
      <c r="D38" s="265"/>
      <c r="E38" s="76">
        <f t="shared" ref="E38:F38" si="10">SUM(E23:E25)</f>
        <v>300</v>
      </c>
      <c r="F38" s="77">
        <f t="shared" si="10"/>
        <v>300</v>
      </c>
      <c r="G38" s="77">
        <f t="shared" si="7"/>
        <v>0</v>
      </c>
      <c r="H38" s="1"/>
      <c r="I38" s="1"/>
      <c r="J38" s="1"/>
      <c r="K38" s="1"/>
      <c r="L38" s="1"/>
      <c r="M38" s="1"/>
      <c r="N38" s="1"/>
      <c r="O38" s="1"/>
      <c r="P38" s="1"/>
      <c r="Q38" s="1"/>
      <c r="R38" s="1"/>
      <c r="S38" s="39"/>
      <c r="T38" s="1"/>
      <c r="U38" s="1"/>
      <c r="V38" s="1"/>
      <c r="W38" s="1"/>
      <c r="X38" s="1"/>
      <c r="Y38" s="1"/>
      <c r="Z38" s="1"/>
      <c r="AA38" s="1"/>
    </row>
    <row r="39" spans="1:27" ht="15" customHeight="1">
      <c r="A39" s="1"/>
      <c r="B39" s="36"/>
      <c r="C39" s="315" t="s">
        <v>157</v>
      </c>
      <c r="D39" s="265"/>
      <c r="E39" s="80">
        <f t="shared" ref="E39:F39" si="11">SUM(E27:E31)</f>
        <v>500</v>
      </c>
      <c r="F39" s="81">
        <f t="shared" si="11"/>
        <v>500</v>
      </c>
      <c r="G39" s="81">
        <f t="shared" si="7"/>
        <v>0</v>
      </c>
      <c r="H39" s="1"/>
      <c r="I39" s="1"/>
      <c r="J39" s="1"/>
      <c r="K39" s="1"/>
      <c r="L39" s="1"/>
      <c r="M39" s="1"/>
      <c r="N39" s="1"/>
      <c r="O39" s="1"/>
      <c r="P39" s="1"/>
      <c r="Q39" s="1"/>
      <c r="R39" s="1"/>
      <c r="S39" s="39"/>
      <c r="T39" s="1"/>
      <c r="U39" s="1"/>
      <c r="V39" s="1"/>
      <c r="W39" s="1"/>
      <c r="X39" s="1"/>
      <c r="Y39" s="1"/>
      <c r="Z39" s="1"/>
      <c r="AA39" s="1"/>
    </row>
    <row r="40" spans="1:27" ht="15" customHeight="1">
      <c r="A40" s="1"/>
      <c r="B40" s="36"/>
      <c r="C40" s="292" t="s">
        <v>42</v>
      </c>
      <c r="D40" s="293"/>
      <c r="E40" s="84">
        <f t="shared" ref="E40:F40" si="12">SUM(E35:E39)</f>
        <v>2000</v>
      </c>
      <c r="F40" s="85">
        <f t="shared" si="12"/>
        <v>2000</v>
      </c>
      <c r="G40" s="85">
        <f t="shared" si="7"/>
        <v>0</v>
      </c>
      <c r="H40" s="1"/>
      <c r="I40" s="1"/>
      <c r="J40" s="1"/>
      <c r="K40" s="1"/>
      <c r="L40" s="1"/>
      <c r="M40" s="1"/>
      <c r="N40" s="1"/>
      <c r="O40" s="1"/>
      <c r="P40" s="1"/>
      <c r="Q40" s="1"/>
      <c r="R40" s="1"/>
      <c r="S40" s="39"/>
      <c r="T40" s="1"/>
      <c r="U40" s="1"/>
      <c r="V40" s="1"/>
      <c r="W40" s="1"/>
      <c r="X40" s="1"/>
      <c r="Y40" s="1"/>
      <c r="Z40" s="1"/>
      <c r="AA40" s="1"/>
    </row>
    <row r="41" spans="1:27" ht="15.75" customHeight="1">
      <c r="A41" s="1"/>
      <c r="B41" s="36"/>
      <c r="C41" s="31"/>
      <c r="D41" s="31"/>
      <c r="E41" s="1"/>
      <c r="F41" s="1"/>
      <c r="G41" s="1"/>
      <c r="H41" s="1"/>
      <c r="I41" s="1"/>
      <c r="J41" s="1"/>
      <c r="K41" s="1"/>
      <c r="L41" s="1"/>
      <c r="M41" s="1"/>
      <c r="N41" s="1"/>
      <c r="O41" s="1"/>
      <c r="P41" s="1"/>
      <c r="Q41" s="1"/>
      <c r="R41" s="1"/>
      <c r="S41" s="39"/>
      <c r="T41" s="1"/>
      <c r="U41" s="1"/>
      <c r="V41" s="1"/>
      <c r="W41" s="1"/>
      <c r="X41" s="1"/>
      <c r="Y41" s="1"/>
      <c r="Z41" s="1"/>
      <c r="AA41" s="1"/>
    </row>
    <row r="42" spans="1:27" ht="15.75" customHeight="1">
      <c r="A42" s="1"/>
      <c r="B42" s="36"/>
      <c r="C42" s="31"/>
      <c r="D42" s="31"/>
      <c r="E42" s="1"/>
      <c r="F42" s="1"/>
      <c r="G42" s="1"/>
      <c r="H42" s="1"/>
      <c r="I42" s="1"/>
      <c r="J42" s="1"/>
      <c r="K42" s="1"/>
      <c r="L42" s="1"/>
      <c r="M42" s="1"/>
      <c r="N42" s="1"/>
      <c r="O42" s="1"/>
      <c r="P42" s="1"/>
      <c r="Q42" s="1"/>
      <c r="R42" s="1"/>
      <c r="S42" s="39"/>
      <c r="T42" s="1"/>
      <c r="U42" s="1"/>
      <c r="V42" s="1"/>
      <c r="W42" s="1"/>
      <c r="X42" s="1"/>
      <c r="Y42" s="1"/>
      <c r="Z42" s="1"/>
      <c r="AA42" s="1"/>
    </row>
    <row r="43" spans="1:27" ht="15.75" customHeight="1">
      <c r="A43" s="1"/>
      <c r="B43" s="36"/>
      <c r="C43" s="31"/>
      <c r="D43" s="31"/>
      <c r="E43" s="1"/>
      <c r="F43" s="1"/>
      <c r="G43" s="1"/>
      <c r="H43" s="1"/>
      <c r="I43" s="1"/>
      <c r="J43" s="1"/>
      <c r="K43" s="1"/>
      <c r="L43" s="1"/>
      <c r="M43" s="1"/>
      <c r="N43" s="1"/>
      <c r="O43" s="1"/>
      <c r="P43" s="1"/>
      <c r="Q43" s="1"/>
      <c r="R43" s="1"/>
      <c r="S43" s="39"/>
      <c r="T43" s="1"/>
      <c r="U43" s="1"/>
      <c r="V43" s="1"/>
      <c r="W43" s="1"/>
      <c r="X43" s="1"/>
      <c r="Y43" s="1"/>
      <c r="Z43" s="1"/>
      <c r="AA43" s="1"/>
    </row>
    <row r="44" spans="1:27" ht="15.75" customHeight="1">
      <c r="A44" s="1"/>
      <c r="B44" s="36"/>
      <c r="C44" s="31"/>
      <c r="D44" s="31"/>
      <c r="E44" s="1"/>
      <c r="F44" s="1"/>
      <c r="G44" s="1"/>
      <c r="H44" s="1"/>
      <c r="I44" s="1"/>
      <c r="J44" s="1"/>
      <c r="K44" s="1"/>
      <c r="L44" s="1"/>
      <c r="M44" s="1"/>
      <c r="N44" s="1"/>
      <c r="O44" s="1"/>
      <c r="P44" s="1"/>
      <c r="Q44" s="1"/>
      <c r="R44" s="1"/>
      <c r="S44" s="39"/>
      <c r="T44" s="1"/>
      <c r="U44" s="1"/>
      <c r="V44" s="1"/>
      <c r="W44" s="1"/>
      <c r="X44" s="1"/>
      <c r="Y44" s="1"/>
      <c r="Z44" s="1"/>
      <c r="AA44" s="1"/>
    </row>
    <row r="45" spans="1:27" ht="15.75" customHeight="1">
      <c r="A45" s="1"/>
      <c r="B45" s="36"/>
      <c r="C45" s="31"/>
      <c r="D45" s="31"/>
      <c r="E45" s="1"/>
      <c r="F45" s="1"/>
      <c r="G45" s="1"/>
      <c r="H45" s="1"/>
      <c r="I45" s="1"/>
      <c r="J45" s="1"/>
      <c r="K45" s="1"/>
      <c r="L45" s="1"/>
      <c r="M45" s="1"/>
      <c r="N45" s="1"/>
      <c r="O45" s="1"/>
      <c r="P45" s="1"/>
      <c r="Q45" s="1"/>
      <c r="R45" s="1"/>
      <c r="S45" s="39"/>
      <c r="T45" s="1"/>
      <c r="U45" s="1"/>
      <c r="V45" s="1"/>
      <c r="W45" s="1"/>
      <c r="X45" s="1"/>
      <c r="Y45" s="1"/>
      <c r="Z45" s="1"/>
      <c r="AA45" s="1"/>
    </row>
    <row r="46" spans="1:27" ht="15.75" customHeight="1">
      <c r="A46" s="1"/>
      <c r="B46" s="36"/>
      <c r="C46" s="31"/>
      <c r="D46" s="31"/>
      <c r="E46" s="1"/>
      <c r="F46" s="1"/>
      <c r="G46" s="1"/>
      <c r="H46" s="1"/>
      <c r="I46" s="1"/>
      <c r="J46" s="1"/>
      <c r="K46" s="1"/>
      <c r="L46" s="1"/>
      <c r="M46" s="1"/>
      <c r="N46" s="1"/>
      <c r="O46" s="1"/>
      <c r="P46" s="1"/>
      <c r="Q46" s="1"/>
      <c r="R46" s="1"/>
      <c r="S46" s="39"/>
      <c r="T46" s="1"/>
      <c r="U46" s="1"/>
      <c r="V46" s="1"/>
      <c r="W46" s="1"/>
      <c r="X46" s="1"/>
      <c r="Y46" s="1"/>
      <c r="Z46" s="1"/>
      <c r="AA46" s="1"/>
    </row>
    <row r="47" spans="1:27" ht="15.75" customHeight="1">
      <c r="A47" s="1"/>
      <c r="B47" s="36"/>
      <c r="C47" s="31"/>
      <c r="D47" s="31"/>
      <c r="E47" s="1"/>
      <c r="F47" s="1"/>
      <c r="G47" s="1"/>
      <c r="H47" s="1"/>
      <c r="I47" s="1"/>
      <c r="J47" s="1"/>
      <c r="K47" s="1"/>
      <c r="L47" s="1"/>
      <c r="M47" s="1"/>
      <c r="N47" s="1"/>
      <c r="O47" s="1"/>
      <c r="P47" s="1"/>
      <c r="Q47" s="1"/>
      <c r="R47" s="1"/>
      <c r="S47" s="39"/>
      <c r="T47" s="1"/>
      <c r="U47" s="1"/>
      <c r="V47" s="1"/>
      <c r="W47" s="1"/>
      <c r="X47" s="1"/>
      <c r="Y47" s="1"/>
      <c r="Z47" s="1"/>
      <c r="AA47" s="1"/>
    </row>
    <row r="48" spans="1:27" ht="15.75" customHeight="1">
      <c r="A48" s="1"/>
      <c r="B48" s="36"/>
      <c r="C48" s="31"/>
      <c r="D48" s="31"/>
      <c r="E48" s="1"/>
      <c r="F48" s="1"/>
      <c r="G48" s="1"/>
      <c r="H48" s="1"/>
      <c r="I48" s="1"/>
      <c r="J48" s="1"/>
      <c r="K48" s="1"/>
      <c r="L48" s="1"/>
      <c r="M48" s="1"/>
      <c r="N48" s="1"/>
      <c r="O48" s="1"/>
      <c r="P48" s="1"/>
      <c r="Q48" s="1"/>
      <c r="R48" s="1"/>
      <c r="S48" s="39"/>
      <c r="T48" s="1"/>
      <c r="U48" s="1"/>
      <c r="V48" s="1"/>
      <c r="W48" s="1"/>
      <c r="X48" s="1"/>
      <c r="Y48" s="1"/>
      <c r="Z48" s="1"/>
      <c r="AA48" s="1"/>
    </row>
    <row r="49" spans="1:27" ht="15.75" customHeight="1">
      <c r="A49" s="1"/>
      <c r="B49" s="36"/>
      <c r="C49" s="31"/>
      <c r="D49" s="31"/>
      <c r="E49" s="1"/>
      <c r="F49" s="1"/>
      <c r="G49" s="1"/>
      <c r="H49" s="1"/>
      <c r="I49" s="1"/>
      <c r="J49" s="1"/>
      <c r="K49" s="1"/>
      <c r="L49" s="1"/>
      <c r="M49" s="1"/>
      <c r="N49" s="1"/>
      <c r="O49" s="1"/>
      <c r="P49" s="1"/>
      <c r="Q49" s="1"/>
      <c r="R49" s="1"/>
      <c r="S49" s="39"/>
      <c r="T49" s="1"/>
      <c r="U49" s="1"/>
      <c r="V49" s="1"/>
      <c r="W49" s="1"/>
      <c r="X49" s="1"/>
      <c r="Y49" s="1"/>
      <c r="Z49" s="1"/>
      <c r="AA49" s="1"/>
    </row>
    <row r="50" spans="1:27" ht="15.75" customHeight="1">
      <c r="A50" s="1"/>
      <c r="B50" s="36"/>
      <c r="C50" s="31"/>
      <c r="D50" s="31"/>
      <c r="E50" s="1"/>
      <c r="F50" s="1"/>
      <c r="G50" s="1"/>
      <c r="H50" s="1"/>
      <c r="I50" s="1"/>
      <c r="J50" s="1"/>
      <c r="K50" s="1"/>
      <c r="L50" s="1"/>
      <c r="M50" s="1"/>
      <c r="N50" s="1"/>
      <c r="O50" s="1"/>
      <c r="P50" s="1"/>
      <c r="Q50" s="1"/>
      <c r="R50" s="1"/>
      <c r="S50" s="39"/>
      <c r="T50" s="1"/>
      <c r="U50" s="1"/>
      <c r="V50" s="1"/>
      <c r="W50" s="1"/>
      <c r="X50" s="1"/>
      <c r="Y50" s="1"/>
      <c r="Z50" s="1"/>
      <c r="AA50" s="1"/>
    </row>
    <row r="51" spans="1:27" ht="15.75" customHeight="1">
      <c r="A51" s="1"/>
      <c r="B51" s="36"/>
      <c r="C51" s="31"/>
      <c r="D51" s="31"/>
      <c r="E51" s="1"/>
      <c r="F51" s="1"/>
      <c r="G51" s="1"/>
      <c r="H51" s="1"/>
      <c r="I51" s="1"/>
      <c r="J51" s="1"/>
      <c r="K51" s="1"/>
      <c r="L51" s="1"/>
      <c r="M51" s="1"/>
      <c r="N51" s="1"/>
      <c r="O51" s="1"/>
      <c r="P51" s="1"/>
      <c r="Q51" s="1"/>
      <c r="R51" s="1"/>
      <c r="S51" s="39"/>
      <c r="T51" s="1"/>
      <c r="U51" s="1"/>
      <c r="V51" s="1"/>
      <c r="W51" s="1"/>
      <c r="X51" s="1"/>
      <c r="Y51" s="1"/>
      <c r="Z51" s="1"/>
      <c r="AA51" s="1"/>
    </row>
    <row r="52" spans="1:27" ht="15.75" customHeight="1">
      <c r="A52" s="1"/>
      <c r="B52" s="36"/>
      <c r="C52" s="31"/>
      <c r="D52" s="31"/>
      <c r="E52" s="1"/>
      <c r="F52" s="1"/>
      <c r="G52" s="1"/>
      <c r="H52" s="1"/>
      <c r="I52" s="1"/>
      <c r="J52" s="1"/>
      <c r="K52" s="1"/>
      <c r="L52" s="1"/>
      <c r="M52" s="1"/>
      <c r="N52" s="1"/>
      <c r="O52" s="1"/>
      <c r="P52" s="1"/>
      <c r="Q52" s="1"/>
      <c r="R52" s="1"/>
      <c r="S52" s="39"/>
      <c r="T52" s="1"/>
      <c r="U52" s="1"/>
      <c r="V52" s="1"/>
      <c r="W52" s="1"/>
      <c r="X52" s="1"/>
      <c r="Y52" s="1"/>
      <c r="Z52" s="1"/>
      <c r="AA52" s="1"/>
    </row>
    <row r="53" spans="1:27" ht="15.75" customHeight="1">
      <c r="A53" s="1"/>
      <c r="B53" s="36"/>
      <c r="C53" s="31"/>
      <c r="D53" s="31"/>
      <c r="E53" s="1"/>
      <c r="F53" s="1"/>
      <c r="G53" s="1"/>
      <c r="H53" s="1"/>
      <c r="I53" s="1"/>
      <c r="J53" s="1"/>
      <c r="K53" s="1"/>
      <c r="L53" s="1"/>
      <c r="M53" s="1"/>
      <c r="N53" s="1"/>
      <c r="O53" s="1"/>
      <c r="P53" s="1"/>
      <c r="Q53" s="1"/>
      <c r="R53" s="1"/>
      <c r="S53" s="39"/>
      <c r="T53" s="1"/>
      <c r="U53" s="1"/>
      <c r="V53" s="1"/>
      <c r="W53" s="1"/>
      <c r="X53" s="1"/>
      <c r="Y53" s="1"/>
      <c r="Z53" s="1"/>
      <c r="AA53" s="1"/>
    </row>
    <row r="54" spans="1:27" ht="15.75" customHeight="1">
      <c r="A54" s="1"/>
      <c r="B54" s="36"/>
      <c r="C54" s="31"/>
      <c r="D54" s="31"/>
      <c r="E54" s="1"/>
      <c r="F54" s="1"/>
      <c r="G54" s="1"/>
      <c r="H54" s="1"/>
      <c r="I54" s="1"/>
      <c r="J54" s="1"/>
      <c r="K54" s="1"/>
      <c r="L54" s="1"/>
      <c r="M54" s="1"/>
      <c r="N54" s="1"/>
      <c r="O54" s="1"/>
      <c r="P54" s="1"/>
      <c r="Q54" s="1"/>
      <c r="R54" s="1"/>
      <c r="S54" s="39"/>
      <c r="T54" s="1"/>
      <c r="U54" s="1"/>
      <c r="V54" s="1"/>
      <c r="W54" s="1"/>
      <c r="X54" s="1"/>
      <c r="Y54" s="1"/>
      <c r="Z54" s="1"/>
      <c r="AA54" s="1"/>
    </row>
    <row r="55" spans="1:27" ht="15.75" customHeight="1">
      <c r="A55" s="1"/>
      <c r="B55" s="36"/>
      <c r="C55" s="31"/>
      <c r="D55" s="31"/>
      <c r="E55" s="1"/>
      <c r="F55" s="1"/>
      <c r="G55" s="1"/>
      <c r="H55" s="1"/>
      <c r="I55" s="1"/>
      <c r="J55" s="1"/>
      <c r="K55" s="1"/>
      <c r="L55" s="1"/>
      <c r="M55" s="1"/>
      <c r="N55" s="1"/>
      <c r="O55" s="1"/>
      <c r="P55" s="1"/>
      <c r="Q55" s="1"/>
      <c r="R55" s="1"/>
      <c r="S55" s="39"/>
      <c r="T55" s="1"/>
      <c r="U55" s="1"/>
      <c r="V55" s="1"/>
      <c r="W55" s="1"/>
      <c r="X55" s="1"/>
      <c r="Y55" s="1"/>
      <c r="Z55" s="1"/>
      <c r="AA55" s="1"/>
    </row>
    <row r="56" spans="1:27" ht="15.75" customHeight="1">
      <c r="A56" s="1"/>
      <c r="B56" s="36"/>
      <c r="C56" s="31"/>
      <c r="D56" s="31"/>
      <c r="E56" s="1"/>
      <c r="F56" s="1"/>
      <c r="G56" s="1"/>
      <c r="H56" s="1"/>
      <c r="I56" s="1"/>
      <c r="J56" s="1"/>
      <c r="K56" s="1"/>
      <c r="L56" s="1"/>
      <c r="M56" s="1"/>
      <c r="N56" s="1"/>
      <c r="O56" s="1"/>
      <c r="P56" s="1"/>
      <c r="Q56" s="1"/>
      <c r="R56" s="1"/>
      <c r="S56" s="39"/>
      <c r="T56" s="1"/>
      <c r="U56" s="1"/>
      <c r="V56" s="1"/>
      <c r="W56" s="1"/>
      <c r="X56" s="1"/>
      <c r="Y56" s="1"/>
      <c r="Z56" s="1"/>
      <c r="AA56" s="1"/>
    </row>
    <row r="57" spans="1:27" ht="15.75" customHeight="1">
      <c r="A57" s="1"/>
      <c r="B57" s="36"/>
      <c r="C57" s="31"/>
      <c r="D57" s="31"/>
      <c r="E57" s="1"/>
      <c r="F57" s="1"/>
      <c r="G57" s="1"/>
      <c r="H57" s="1"/>
      <c r="I57" s="1"/>
      <c r="J57" s="1"/>
      <c r="K57" s="1"/>
      <c r="L57" s="1"/>
      <c r="M57" s="1"/>
      <c r="N57" s="1"/>
      <c r="O57" s="1"/>
      <c r="P57" s="1"/>
      <c r="Q57" s="1"/>
      <c r="R57" s="1"/>
      <c r="S57" s="39"/>
      <c r="T57" s="1"/>
      <c r="U57" s="1"/>
      <c r="V57" s="1"/>
      <c r="W57" s="1"/>
      <c r="X57" s="1"/>
      <c r="Y57" s="1"/>
      <c r="Z57" s="1"/>
      <c r="AA57" s="1"/>
    </row>
    <row r="58" spans="1:27" ht="15.75" customHeight="1">
      <c r="A58" s="1"/>
      <c r="B58" s="36"/>
      <c r="C58" s="31"/>
      <c r="D58" s="31"/>
      <c r="E58" s="1"/>
      <c r="F58" s="1"/>
      <c r="G58" s="1"/>
      <c r="H58" s="1"/>
      <c r="I58" s="1"/>
      <c r="J58" s="1"/>
      <c r="K58" s="1"/>
      <c r="L58" s="1"/>
      <c r="M58" s="1"/>
      <c r="N58" s="1"/>
      <c r="O58" s="1"/>
      <c r="P58" s="1"/>
      <c r="Q58" s="1"/>
      <c r="R58" s="1"/>
      <c r="S58" s="39"/>
      <c r="T58" s="1"/>
      <c r="U58" s="1"/>
      <c r="V58" s="1"/>
      <c r="W58" s="1"/>
      <c r="X58" s="1"/>
      <c r="Y58" s="1"/>
      <c r="Z58" s="1"/>
      <c r="AA58" s="1"/>
    </row>
    <row r="59" spans="1:27" ht="15.75" customHeight="1">
      <c r="A59" s="1"/>
      <c r="B59" s="88"/>
      <c r="C59" s="89"/>
      <c r="D59" s="89"/>
      <c r="E59" s="90"/>
      <c r="F59" s="90"/>
      <c r="G59" s="90"/>
      <c r="H59" s="90"/>
      <c r="I59" s="90"/>
      <c r="J59" s="90"/>
      <c r="K59" s="90"/>
      <c r="L59" s="90"/>
      <c r="M59" s="90"/>
      <c r="N59" s="90"/>
      <c r="O59" s="90"/>
      <c r="P59" s="90"/>
      <c r="Q59" s="90"/>
      <c r="R59" s="90"/>
      <c r="S59" s="91"/>
      <c r="T59" s="1"/>
      <c r="U59" s="1"/>
      <c r="V59" s="1"/>
      <c r="W59" s="1"/>
      <c r="X59" s="1"/>
      <c r="Y59" s="1"/>
      <c r="Z59" s="1"/>
      <c r="AA59" s="1"/>
    </row>
    <row r="60" spans="1:27" ht="15.75" customHeight="1">
      <c r="A60" s="1"/>
      <c r="B60" s="1"/>
      <c r="C60" s="31"/>
      <c r="D60" s="3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31"/>
      <c r="D61" s="3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31"/>
      <c r="D62" s="3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31"/>
      <c r="D63" s="3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31"/>
      <c r="D64" s="3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31"/>
      <c r="D65" s="3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31"/>
      <c r="D66" s="3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31"/>
      <c r="D67" s="3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31"/>
      <c r="D68" s="3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31"/>
      <c r="D69" s="3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31"/>
      <c r="D70" s="3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31"/>
      <c r="D71" s="3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31"/>
      <c r="D72" s="3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31"/>
      <c r="D73" s="3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31"/>
      <c r="D74" s="3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31"/>
      <c r="D75" s="3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31"/>
      <c r="D76" s="3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31"/>
      <c r="D77" s="3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31"/>
      <c r="D78" s="3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31"/>
      <c r="D79" s="3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31"/>
      <c r="D80" s="3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31"/>
      <c r="D81" s="3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31"/>
      <c r="D82" s="3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31"/>
      <c r="D83" s="3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31"/>
      <c r="D84" s="3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31"/>
      <c r="D85" s="3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31"/>
      <c r="D86" s="3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31"/>
      <c r="D87" s="3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31"/>
      <c r="D88" s="3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31"/>
      <c r="D89" s="3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31"/>
      <c r="D90" s="3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31"/>
      <c r="D91" s="3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31"/>
      <c r="D92" s="3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31"/>
      <c r="D93" s="3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31"/>
      <c r="D94" s="3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31"/>
      <c r="D95" s="3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31"/>
      <c r="D96" s="3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31"/>
      <c r="D97" s="3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31"/>
      <c r="D98" s="3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31"/>
      <c r="D99" s="3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31"/>
      <c r="D100" s="3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31"/>
      <c r="D101" s="3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31"/>
      <c r="D102" s="3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31"/>
      <c r="D103" s="3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31"/>
      <c r="D104" s="3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31"/>
      <c r="D105" s="3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31"/>
      <c r="D106" s="3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31"/>
      <c r="D107" s="3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31"/>
      <c r="D108" s="3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31"/>
      <c r="D109" s="3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31"/>
      <c r="D110" s="3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31"/>
      <c r="D111" s="3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31"/>
      <c r="D112" s="3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31"/>
      <c r="D113" s="3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31"/>
      <c r="D114" s="3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31"/>
      <c r="D115" s="3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31"/>
      <c r="D116" s="3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31"/>
      <c r="D117" s="3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31"/>
      <c r="D118" s="3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31"/>
      <c r="D119" s="3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31"/>
      <c r="D120" s="3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31"/>
      <c r="D121" s="3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31"/>
      <c r="D122" s="3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31"/>
      <c r="D123" s="3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31"/>
      <c r="D124" s="3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31"/>
      <c r="D125" s="3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31"/>
      <c r="D126" s="3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31"/>
      <c r="D127" s="3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31"/>
      <c r="D128" s="3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31"/>
      <c r="D129" s="3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31"/>
      <c r="D130" s="3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31"/>
      <c r="D131" s="3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31"/>
      <c r="D132" s="3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31"/>
      <c r="D133" s="3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31"/>
      <c r="D134" s="3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31"/>
      <c r="D135" s="3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31"/>
      <c r="D136" s="3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31"/>
      <c r="D137" s="3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31"/>
      <c r="D138" s="3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31"/>
      <c r="D139" s="3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31"/>
      <c r="D140" s="3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31"/>
      <c r="D141" s="3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31"/>
      <c r="D142" s="3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31"/>
      <c r="D143" s="3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31"/>
      <c r="D144" s="3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31"/>
      <c r="D145" s="3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31"/>
      <c r="D146" s="3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31"/>
      <c r="D147" s="3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31"/>
      <c r="D148" s="3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31"/>
      <c r="D149" s="3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31"/>
      <c r="D150" s="3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31"/>
      <c r="D151" s="3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31"/>
      <c r="D152" s="3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31"/>
      <c r="D153" s="3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31"/>
      <c r="D154" s="3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31"/>
      <c r="D155" s="3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31"/>
      <c r="D156" s="3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31"/>
      <c r="D157" s="3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31"/>
      <c r="D158" s="3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31"/>
      <c r="D159" s="3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31"/>
      <c r="D160" s="3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31"/>
      <c r="D161" s="3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31"/>
      <c r="D162" s="3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31"/>
      <c r="D163" s="3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31"/>
      <c r="D164" s="3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31"/>
      <c r="D165" s="3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31"/>
      <c r="D166" s="3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31"/>
      <c r="D167" s="3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31"/>
      <c r="D168" s="3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31"/>
      <c r="D169" s="3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31"/>
      <c r="D170" s="3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31"/>
      <c r="D171" s="3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31"/>
      <c r="D172" s="3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31"/>
      <c r="D173" s="3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31"/>
      <c r="D174" s="3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31"/>
      <c r="D175" s="3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31"/>
      <c r="D176" s="3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31"/>
      <c r="D177" s="3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31"/>
      <c r="D178" s="3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31"/>
      <c r="D179" s="3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31"/>
      <c r="D180" s="3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31"/>
      <c r="D181" s="3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31"/>
      <c r="D182" s="3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31"/>
      <c r="D183" s="3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31"/>
      <c r="D184" s="3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31"/>
      <c r="D185" s="3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31"/>
      <c r="D186" s="3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31"/>
      <c r="D187" s="3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31"/>
      <c r="D188" s="3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31"/>
      <c r="D189" s="3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31"/>
      <c r="D190" s="3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31"/>
      <c r="D191" s="3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31"/>
      <c r="D192" s="3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31"/>
      <c r="D193" s="3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31"/>
      <c r="D194" s="3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31"/>
      <c r="D195" s="3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31"/>
      <c r="D196" s="3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31"/>
      <c r="D197" s="3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31"/>
      <c r="D198" s="3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31"/>
      <c r="D199" s="3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31"/>
      <c r="D200" s="3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31"/>
      <c r="D201" s="3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31"/>
      <c r="D202" s="3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31"/>
      <c r="D203" s="3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31"/>
      <c r="D204" s="3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31"/>
      <c r="D205" s="3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31"/>
      <c r="D206" s="3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31"/>
      <c r="D207" s="3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31"/>
      <c r="D208" s="3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31"/>
      <c r="D209" s="3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31"/>
      <c r="D210" s="3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31"/>
      <c r="D211" s="3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31"/>
      <c r="D212" s="3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31"/>
      <c r="D213" s="3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31"/>
      <c r="D214" s="3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31"/>
      <c r="D215" s="3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31"/>
      <c r="D216" s="3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31"/>
      <c r="D217" s="3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31"/>
      <c r="D218" s="3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31"/>
      <c r="D219" s="3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31"/>
      <c r="D220" s="3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31"/>
      <c r="D221" s="3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31"/>
      <c r="D222" s="3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31"/>
      <c r="D223" s="3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31"/>
      <c r="D224" s="3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31"/>
      <c r="D225" s="3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31"/>
      <c r="D226" s="3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31"/>
      <c r="D227" s="3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31"/>
      <c r="D228" s="3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31"/>
      <c r="D229" s="3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31"/>
      <c r="D230" s="3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31"/>
      <c r="D231" s="3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31"/>
      <c r="D232" s="3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31"/>
      <c r="D233" s="3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31"/>
      <c r="D234" s="3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31"/>
      <c r="D235" s="3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31"/>
      <c r="D236" s="3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31"/>
      <c r="D237" s="3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31"/>
      <c r="D238" s="3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31"/>
      <c r="D239" s="3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31"/>
      <c r="D240" s="3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C40:D40"/>
    <mergeCell ref="C28:D28"/>
    <mergeCell ref="C29:D29"/>
    <mergeCell ref="C30:D30"/>
    <mergeCell ref="C31:D31"/>
    <mergeCell ref="C32:D32"/>
    <mergeCell ref="C34:D34"/>
    <mergeCell ref="C35:D35"/>
    <mergeCell ref="C27:D27"/>
    <mergeCell ref="C36:D36"/>
    <mergeCell ref="C37:D37"/>
    <mergeCell ref="C38:D38"/>
    <mergeCell ref="C39:D39"/>
    <mergeCell ref="C23:D23"/>
    <mergeCell ref="C24:D24"/>
    <mergeCell ref="C25:D25"/>
    <mergeCell ref="C26:D26"/>
    <mergeCell ref="E26:F26"/>
    <mergeCell ref="C18:D18"/>
    <mergeCell ref="C19:D19"/>
    <mergeCell ref="C20:D20"/>
    <mergeCell ref="C21:D21"/>
    <mergeCell ref="E22:F22"/>
    <mergeCell ref="C22:D22"/>
    <mergeCell ref="E13:F13"/>
    <mergeCell ref="C14:D14"/>
    <mergeCell ref="C15:D15"/>
    <mergeCell ref="C16:D16"/>
    <mergeCell ref="C17:D17"/>
    <mergeCell ref="E17:F17"/>
    <mergeCell ref="C9:D9"/>
    <mergeCell ref="C10:D10"/>
    <mergeCell ref="C11:D11"/>
    <mergeCell ref="C12:D12"/>
    <mergeCell ref="C13:D13"/>
    <mergeCell ref="C4:I4"/>
    <mergeCell ref="E5:F5"/>
    <mergeCell ref="C6:D6"/>
    <mergeCell ref="C7:D7"/>
    <mergeCell ref="C8:D8"/>
  </mergeCells>
  <conditionalFormatting sqref="G8:G31">
    <cfRule type="cellIs" dxfId="0" priority="1" operator="lessThan">
      <formula>0</formula>
    </cfRule>
  </conditionalFormatting>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How to Use This Template</vt:lpstr>
      <vt:lpstr>Master Marketing Budget</vt:lpstr>
      <vt:lpstr>Product Marketing Budget</vt:lpstr>
      <vt:lpstr>Content Budget</vt:lpstr>
      <vt:lpstr>Paid Advertising Budget</vt:lpstr>
      <vt:lpstr>Public Relations Budget</vt:lpstr>
      <vt:lpstr>Branding &amp; Creative Budget</vt:lpstr>
      <vt:lpstr>Website Redesign Budget</vt:lpstr>
      <vt:lpstr>Event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Siti Sopiah</cp:lastModifiedBy>
  <dcterms:created xsi:type="dcterms:W3CDTF">2021-03-18T17:51:10Z</dcterms:created>
  <dcterms:modified xsi:type="dcterms:W3CDTF">2024-06-13T05:04:23Z</dcterms:modified>
</cp:coreProperties>
</file>